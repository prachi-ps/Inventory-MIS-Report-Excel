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Data Analytics Projects\MIS Inventory Project\"/>
    </mc:Choice>
  </mc:AlternateContent>
  <xr:revisionPtr revIDLastSave="0" documentId="13_ncr:1_{4689562D-C060-46BC-8F10-A6B111A0CBB0}" xr6:coauthVersionLast="47" xr6:coauthVersionMax="47" xr10:uidLastSave="{00000000-0000-0000-0000-000000000000}"/>
  <bookViews>
    <workbookView xWindow="-110" yWindow="-110" windowWidth="19420" windowHeight="10300" tabRatio="862" firstSheet="1" activeTab="8" xr2:uid="{14983C2A-04E7-4353-952D-B7FB0A7EA6C0}"/>
  </bookViews>
  <sheets>
    <sheet name="Raw Data" sheetId="1" r:id="rId1"/>
    <sheet name="Data Profile" sheetId="4" r:id="rId2"/>
    <sheet name="Working Sheet" sheetId="2" r:id="rId3"/>
    <sheet name="Summary" sheetId="5" r:id="rId4"/>
    <sheet name="Category Analysis" sheetId="6" r:id="rId5"/>
    <sheet name="Suplier Analysis" sheetId="7" r:id="rId6"/>
    <sheet name="Stock Alert" sheetId="8" r:id="rId7"/>
    <sheet name="Pivot Tables" sheetId="9" r:id="rId8"/>
    <sheet name="MIS Report" sheetId="11" r:id="rId9"/>
  </sheets>
  <definedNames>
    <definedName name="_xlnm._FilterDatabase" localSheetId="2" hidden="1">'Working Sheet'!$A$1:$Q$991</definedName>
    <definedName name="_xlnm.Print_Area" localSheetId="8">'MIS Report'!$A$1:$H$45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1" l="1"/>
  <c r="C12" i="11"/>
  <c r="C11" i="11"/>
  <c r="C10" i="11"/>
  <c r="C9" i="11"/>
  <c r="C8" i="11"/>
  <c r="C7" i="11"/>
  <c r="C6" i="11" a="1"/>
  <c r="C6" i="11" s="1"/>
  <c r="C5" i="11" a="1"/>
  <c r="C5" i="11" s="1"/>
  <c r="C4" i="11"/>
  <c r="C3" i="11"/>
  <c r="X170" i="8"/>
  <c r="X212" i="8"/>
  <c r="X371" i="8"/>
  <c r="X28" i="8"/>
  <c r="X171" i="8"/>
  <c r="X438" i="8"/>
  <c r="X61" i="8"/>
  <c r="X163" i="8"/>
  <c r="X405" i="8"/>
  <c r="X195" i="8"/>
  <c r="X430" i="8"/>
  <c r="X329" i="8"/>
  <c r="X345" i="8"/>
  <c r="X246" i="8"/>
  <c r="X234" i="8"/>
  <c r="X362" i="8"/>
  <c r="X283" i="8"/>
  <c r="X112" i="8"/>
  <c r="X40" i="8"/>
  <c r="X414" i="8"/>
  <c r="X284" i="8"/>
  <c r="X247" i="8"/>
  <c r="X311" i="8"/>
  <c r="X199" i="8"/>
  <c r="X305" i="8"/>
  <c r="X135" i="8"/>
  <c r="X106" i="8"/>
  <c r="X200" i="8"/>
  <c r="X375" i="8"/>
  <c r="X363" i="8"/>
  <c r="X275" i="8"/>
  <c r="X41" i="8"/>
  <c r="X285" i="8"/>
  <c r="X196" i="8"/>
  <c r="X182" i="8"/>
  <c r="X406" i="8"/>
  <c r="X353" i="8"/>
  <c r="X251" i="8"/>
  <c r="X295" i="8"/>
  <c r="X75" i="8"/>
  <c r="X286" i="8"/>
  <c r="X415" i="8"/>
  <c r="X120" i="8"/>
  <c r="X287" i="8"/>
  <c r="X439" i="8"/>
  <c r="X46" i="8"/>
  <c r="X416" i="8"/>
  <c r="X276" i="8"/>
  <c r="X431" i="8"/>
  <c r="X80" i="8"/>
  <c r="X76" i="8"/>
  <c r="X392" i="8"/>
  <c r="X136" i="8"/>
  <c r="X252" i="8"/>
  <c r="X177" i="8"/>
  <c r="X121" i="8"/>
  <c r="X42" i="8"/>
  <c r="X122" i="8"/>
  <c r="X43" i="8"/>
  <c r="X268" i="8"/>
  <c r="X354" i="8"/>
  <c r="X330" i="8"/>
  <c r="X322" i="8"/>
  <c r="X107" i="8"/>
  <c r="X407" i="8"/>
  <c r="X306" i="8"/>
  <c r="X312" i="8"/>
  <c r="X57" i="8"/>
  <c r="X141" i="8"/>
  <c r="X183" i="8"/>
  <c r="X296" i="8"/>
  <c r="X184" i="8"/>
  <c r="X355" i="8"/>
  <c r="X408" i="8"/>
  <c r="X288" i="8"/>
  <c r="X96" i="8"/>
  <c r="X339" i="8"/>
  <c r="X123" i="8"/>
  <c r="X307" i="8"/>
  <c r="X129" i="8"/>
  <c r="X62" i="8"/>
  <c r="X101" i="8"/>
  <c r="X313" i="8"/>
  <c r="X331" i="8"/>
  <c r="X172" i="8"/>
  <c r="X130" i="8"/>
  <c r="X457" i="8"/>
  <c r="X47" i="8"/>
  <c r="X156" i="8"/>
  <c r="X253" i="8"/>
  <c r="X229" i="8"/>
  <c r="X356" i="8"/>
  <c r="X142" i="8"/>
  <c r="X143" i="8"/>
  <c r="X409" i="8"/>
  <c r="X381" i="8"/>
  <c r="X277" i="8"/>
  <c r="X278" i="8"/>
  <c r="X108" i="8"/>
  <c r="X376" i="8"/>
  <c r="X146" i="8"/>
  <c r="X178" i="8"/>
  <c r="X323" i="8"/>
  <c r="X185" i="8"/>
  <c r="X164" i="8"/>
  <c r="X3" i="8"/>
  <c r="X8" i="8"/>
  <c r="X393" i="8"/>
  <c r="X160" i="8"/>
  <c r="X173" i="8"/>
  <c r="X113" i="8"/>
  <c r="X346" i="8"/>
  <c r="X147" i="8"/>
  <c r="X262" i="8"/>
  <c r="X179" i="8"/>
  <c r="X17" i="8"/>
  <c r="X207" i="8"/>
  <c r="X222" i="8"/>
  <c r="X148" i="8"/>
  <c r="X38" i="8"/>
  <c r="X7" i="8"/>
  <c r="X382" i="8"/>
  <c r="X186" i="8"/>
  <c r="X240" i="8"/>
  <c r="X191" i="8"/>
  <c r="X458" i="8"/>
  <c r="X248" i="8"/>
  <c r="X241" i="8"/>
  <c r="X15" i="8"/>
  <c r="X383" i="8"/>
  <c r="X394" i="8"/>
  <c r="X72" i="8"/>
  <c r="X289" i="8"/>
  <c r="X73" i="8"/>
  <c r="X347" i="8"/>
  <c r="X230" i="8"/>
  <c r="X165" i="8"/>
  <c r="X297" i="8"/>
  <c r="X48" i="8"/>
  <c r="X290" i="8"/>
  <c r="X432" i="8"/>
  <c r="X269" i="8"/>
  <c r="X49" i="8"/>
  <c r="X77" i="8"/>
  <c r="X348" i="8"/>
  <c r="X231" i="8"/>
  <c r="X78" i="8"/>
  <c r="X137" i="8"/>
  <c r="X97" i="8"/>
  <c r="X332" i="8"/>
  <c r="X298" i="8"/>
  <c r="X364" i="8"/>
  <c r="X81" i="8"/>
  <c r="X459" i="8"/>
  <c r="X299" i="8"/>
  <c r="X44" i="8"/>
  <c r="X124" i="8"/>
  <c r="X138" i="8"/>
  <c r="X300" i="8"/>
  <c r="X291" i="8"/>
  <c r="X53" i="8"/>
  <c r="X270" i="8"/>
  <c r="X93" i="8"/>
  <c r="X9" i="8"/>
  <c r="X33" i="8"/>
  <c r="X54" i="8"/>
  <c r="X114" i="8"/>
  <c r="X102" i="8"/>
  <c r="X55" i="8"/>
  <c r="X82" i="8"/>
  <c r="X18" i="8"/>
  <c r="X384" i="8"/>
  <c r="X460" i="8"/>
  <c r="X340" i="8"/>
  <c r="X223" i="8"/>
  <c r="X254" i="8"/>
  <c r="X83" i="8"/>
  <c r="X174" i="8"/>
  <c r="X65" i="8"/>
  <c r="X385" i="8"/>
  <c r="X395" i="8"/>
  <c r="X208" i="8"/>
  <c r="X235" i="8"/>
  <c r="X103" i="8"/>
  <c r="X396" i="8"/>
  <c r="X109" i="8"/>
  <c r="X153" i="8"/>
  <c r="X139" i="8"/>
  <c r="X187" i="8"/>
  <c r="X461" i="8"/>
  <c r="X324" i="8"/>
  <c r="X433" i="8"/>
  <c r="X232" i="8"/>
  <c r="X209" i="8"/>
  <c r="X462" i="8"/>
  <c r="X372" i="8"/>
  <c r="X341" i="8"/>
  <c r="X115" i="8"/>
  <c r="X434" i="8"/>
  <c r="X435" i="8"/>
  <c r="X140" i="8"/>
  <c r="X301" i="8"/>
  <c r="X213" i="8"/>
  <c r="X386" i="8"/>
  <c r="X255" i="8"/>
  <c r="X25" i="8"/>
  <c r="X440" i="8"/>
  <c r="X441" i="8"/>
  <c r="X377" i="8"/>
  <c r="X436" i="8"/>
  <c r="X50" i="8"/>
  <c r="X224" i="8"/>
  <c r="X144" i="8"/>
  <c r="X90" i="8"/>
  <c r="X58" i="8"/>
  <c r="X387" i="8"/>
  <c r="X116" i="8"/>
  <c r="X417" i="8"/>
  <c r="X19" i="8"/>
  <c r="X21" i="8"/>
  <c r="X20" i="8"/>
  <c r="X314" i="8"/>
  <c r="X442" i="8"/>
  <c r="X34" i="8"/>
  <c r="X197" i="8"/>
  <c r="X22" i="8"/>
  <c r="X315" i="8"/>
  <c r="X242" i="8"/>
  <c r="X279" i="8"/>
  <c r="X365" i="8"/>
  <c r="X378" i="8"/>
  <c r="X157" i="8"/>
  <c r="X214" i="8"/>
  <c r="X166" i="8"/>
  <c r="X316" i="8"/>
  <c r="X263" i="8"/>
  <c r="X167" i="8"/>
  <c r="X35" i="8"/>
  <c r="X51" i="8"/>
  <c r="X36" i="8"/>
  <c r="X30" i="8"/>
  <c r="X201" i="8"/>
  <c r="X418" i="8"/>
  <c r="X12" i="8"/>
  <c r="X6" i="8"/>
  <c r="X349" i="8"/>
  <c r="X16" i="8"/>
  <c r="X448" i="8"/>
  <c r="X66" i="8"/>
  <c r="X98" i="8"/>
  <c r="X192" i="8"/>
  <c r="X236" i="8"/>
  <c r="X23" i="8"/>
  <c r="X198" i="8"/>
  <c r="X373" i="8"/>
  <c r="X237" i="8"/>
  <c r="X264" i="8"/>
  <c r="X79" i="8"/>
  <c r="X265" i="8"/>
  <c r="X84" i="8"/>
  <c r="X350" i="8"/>
  <c r="X202" i="8"/>
  <c r="X88" i="8"/>
  <c r="X292" i="8"/>
  <c r="X225" i="8"/>
  <c r="X74" i="8"/>
  <c r="X419" i="8"/>
  <c r="X266" i="8"/>
  <c r="X215" i="8"/>
  <c r="X420" i="8"/>
  <c r="X59" i="8"/>
  <c r="X52" i="8"/>
  <c r="X302" i="8"/>
  <c r="X29" i="8"/>
  <c r="X94" i="8"/>
  <c r="X388" i="8"/>
  <c r="X421" i="8"/>
  <c r="X131" i="8"/>
  <c r="X132" i="8"/>
  <c r="X351" i="8"/>
  <c r="X449" i="8"/>
  <c r="X333" i="8"/>
  <c r="X271" i="8"/>
  <c r="X410" i="8"/>
  <c r="X180" i="8"/>
  <c r="X149" i="8"/>
  <c r="X243" i="8"/>
  <c r="X389" i="8"/>
  <c r="X422" i="8"/>
  <c r="X256" i="8"/>
  <c r="X4" i="8"/>
  <c r="X342" i="8"/>
  <c r="X411" i="8"/>
  <c r="X374" i="8"/>
  <c r="X125" i="8"/>
  <c r="X31" i="8"/>
  <c r="X238" i="8"/>
  <c r="X308" i="8"/>
  <c r="X150" i="8"/>
  <c r="X110" i="8"/>
  <c r="X450" i="8"/>
  <c r="X257" i="8"/>
  <c r="X85" i="8"/>
  <c r="X226" i="8"/>
  <c r="X357" i="8"/>
  <c r="X463" i="8"/>
  <c r="X464" i="8"/>
  <c r="X86" i="8"/>
  <c r="X203" i="8"/>
  <c r="X216" i="8"/>
  <c r="X317" i="8"/>
  <c r="X267" i="8"/>
  <c r="X272" i="8"/>
  <c r="X358" i="8"/>
  <c r="X334" i="8"/>
  <c r="X133" i="8"/>
  <c r="X325" i="8"/>
  <c r="X273" i="8"/>
  <c r="X397" i="8"/>
  <c r="X188" i="8"/>
  <c r="X390" i="8"/>
  <c r="X117" i="8"/>
  <c r="X366" i="8"/>
  <c r="X158" i="8"/>
  <c r="X126" i="8"/>
  <c r="X104" i="8"/>
  <c r="X210" i="8"/>
  <c r="X303" i="8"/>
  <c r="X168" i="8"/>
  <c r="X39" i="8"/>
  <c r="X239" i="8"/>
  <c r="X367" i="8"/>
  <c r="X258" i="8"/>
  <c r="X412" i="8"/>
  <c r="X2" i="8"/>
  <c r="X204" i="8"/>
  <c r="X423" i="8"/>
  <c r="X443" i="8"/>
  <c r="X5" i="8"/>
  <c r="X205" i="8"/>
  <c r="X134" i="8"/>
  <c r="X99" i="8"/>
  <c r="X118" i="8"/>
  <c r="X259" i="8"/>
  <c r="X100" i="8"/>
  <c r="X424" i="8"/>
  <c r="X451" i="8"/>
  <c r="X326" i="8"/>
  <c r="X379" i="8"/>
  <c r="X309" i="8"/>
  <c r="X151" i="8"/>
  <c r="X318" i="8"/>
  <c r="X319" i="8"/>
  <c r="X244" i="8"/>
  <c r="X68" i="8"/>
  <c r="X37" i="8"/>
  <c r="X63" i="8"/>
  <c r="X320" i="8"/>
  <c r="X154" i="8"/>
  <c r="X206" i="8"/>
  <c r="X452" i="8"/>
  <c r="X413" i="8"/>
  <c r="X175" i="8"/>
  <c r="X87" i="8"/>
  <c r="X69" i="8"/>
  <c r="X352" i="8"/>
  <c r="X444" i="8"/>
  <c r="X161" i="8"/>
  <c r="X368" i="8"/>
  <c r="X343" i="8"/>
  <c r="X369" i="8"/>
  <c r="X453" i="8"/>
  <c r="X233" i="8"/>
  <c r="X398" i="8"/>
  <c r="X67" i="8"/>
  <c r="X359" i="8"/>
  <c r="X335" i="8"/>
  <c r="X280" i="8"/>
  <c r="X327" i="8"/>
  <c r="X260" i="8"/>
  <c r="X26" i="8"/>
  <c r="X10" i="8"/>
  <c r="X45" i="8"/>
  <c r="X454" i="8"/>
  <c r="X360" i="8"/>
  <c r="X261" i="8"/>
  <c r="X399" i="8"/>
  <c r="X111" i="8"/>
  <c r="X127" i="8"/>
  <c r="X445" i="8"/>
  <c r="X425" i="8"/>
  <c r="X336" i="8"/>
  <c r="X159" i="8"/>
  <c r="X400" i="8"/>
  <c r="X152" i="8"/>
  <c r="X391" i="8"/>
  <c r="X310" i="8"/>
  <c r="X91" i="8"/>
  <c r="X105" i="8"/>
  <c r="X446" i="8"/>
  <c r="X60" i="8"/>
  <c r="X328" i="8"/>
  <c r="X145" i="8"/>
  <c r="X227" i="8"/>
  <c r="X281" i="8"/>
  <c r="X162" i="8"/>
  <c r="X193" i="8"/>
  <c r="X13" i="8"/>
  <c r="X447" i="8"/>
  <c r="X211" i="8"/>
  <c r="X155" i="8"/>
  <c r="X27" i="8"/>
  <c r="X92" i="8"/>
  <c r="X361" i="8"/>
  <c r="X370" i="8"/>
  <c r="X426" i="8"/>
  <c r="X217" i="8"/>
  <c r="X455" i="8"/>
  <c r="X89" i="8"/>
  <c r="X194" i="8"/>
  <c r="X427" i="8"/>
  <c r="X321" i="8"/>
  <c r="X95" i="8"/>
  <c r="X249" i="8"/>
  <c r="X401" i="8"/>
  <c r="X169" i="8"/>
  <c r="X56" i="8"/>
  <c r="X218" i="8"/>
  <c r="X465" i="8"/>
  <c r="X282" i="8"/>
  <c r="X402" i="8"/>
  <c r="X14" i="8"/>
  <c r="X293" i="8"/>
  <c r="X189" i="8"/>
  <c r="X428" i="8"/>
  <c r="X403" i="8"/>
  <c r="X245" i="8"/>
  <c r="X32" i="8"/>
  <c r="X64" i="8"/>
  <c r="X70" i="8"/>
  <c r="X219" i="8"/>
  <c r="X274" i="8"/>
  <c r="X228" i="8"/>
  <c r="X176" i="8"/>
  <c r="X11" i="8"/>
  <c r="X344" i="8"/>
  <c r="X220" i="8"/>
  <c r="X119" i="8"/>
  <c r="X181" i="8"/>
  <c r="X250" i="8"/>
  <c r="X190" i="8"/>
  <c r="X337" i="8"/>
  <c r="X437" i="8"/>
  <c r="X221" i="8"/>
  <c r="X71" i="8"/>
  <c r="X456" i="8"/>
  <c r="X128" i="8"/>
  <c r="X338" i="8"/>
  <c r="X404" i="8"/>
  <c r="X24" i="8"/>
  <c r="X429" i="8"/>
  <c r="X466" i="8"/>
  <c r="X380" i="8"/>
  <c r="X304" i="8"/>
  <c r="X294" i="8"/>
  <c r="W215" i="8"/>
  <c r="W171" i="8"/>
  <c r="W322" i="8"/>
  <c r="W441" i="8"/>
  <c r="W11" i="8"/>
  <c r="W236" i="8"/>
  <c r="W160" i="8"/>
  <c r="W58" i="8"/>
  <c r="W3" i="8"/>
  <c r="W268" i="8"/>
  <c r="W6" i="8"/>
  <c r="W417" i="8"/>
  <c r="W292" i="8"/>
  <c r="W346" i="8"/>
  <c r="W248" i="8"/>
  <c r="W284" i="8"/>
  <c r="W207" i="8"/>
  <c r="W176" i="8"/>
  <c r="W415" i="8"/>
  <c r="W299" i="8"/>
  <c r="W418" i="8"/>
  <c r="W167" i="8"/>
  <c r="W304" i="8"/>
  <c r="W96" i="8"/>
  <c r="W41" i="8"/>
  <c r="W36" i="8"/>
  <c r="W367" i="8"/>
  <c r="W459" i="8"/>
  <c r="W40" i="8"/>
  <c r="W364" i="8"/>
  <c r="W286" i="8"/>
  <c r="W344" i="8"/>
  <c r="W333" i="8"/>
  <c r="W105" i="8"/>
  <c r="W455" i="8"/>
  <c r="W274" i="8"/>
  <c r="W182" i="8"/>
  <c r="W115" i="8"/>
  <c r="W307" i="8"/>
  <c r="W428" i="8"/>
  <c r="W32" i="8"/>
  <c r="W52" i="8"/>
  <c r="W453" i="8"/>
  <c r="W410" i="8"/>
  <c r="W399" i="8"/>
  <c r="W225" i="8"/>
  <c r="W306" i="8"/>
  <c r="W315" i="8"/>
  <c r="W328" i="8"/>
  <c r="W429" i="8"/>
  <c r="W195" i="8"/>
  <c r="W61" i="8"/>
  <c r="W149" i="8"/>
  <c r="W99" i="8"/>
  <c r="W358" i="8"/>
  <c r="W438" i="8"/>
  <c r="W98" i="8"/>
  <c r="W38" i="8"/>
  <c r="W15" i="8"/>
  <c r="W301" i="8"/>
  <c r="W210" i="8"/>
  <c r="W273" i="8"/>
  <c r="W440" i="8"/>
  <c r="W294" i="8"/>
  <c r="W351" i="8"/>
  <c r="W391" i="8"/>
  <c r="W431" i="8"/>
  <c r="W154" i="8"/>
  <c r="W90" i="8"/>
  <c r="W157" i="8"/>
  <c r="W57" i="8"/>
  <c r="W282" i="8"/>
  <c r="W159" i="8"/>
  <c r="W228" i="8"/>
  <c r="W302" i="8"/>
  <c r="W123" i="8"/>
  <c r="W212" i="8"/>
  <c r="W332" i="8"/>
  <c r="W21" i="8"/>
  <c r="W91" i="8"/>
  <c r="W280" i="8"/>
  <c r="W243" i="8"/>
  <c r="W81" i="8"/>
  <c r="W69" i="8"/>
  <c r="W457" i="8"/>
  <c r="W111" i="8"/>
  <c r="W414" i="8"/>
  <c r="W321" i="8"/>
  <c r="W135" i="8"/>
  <c r="W343" i="8"/>
  <c r="W435" i="8"/>
  <c r="W317" i="8"/>
  <c r="W117" i="8"/>
  <c r="W389" i="8"/>
  <c r="W264" i="8"/>
  <c r="W425" i="8"/>
  <c r="W121" i="8"/>
  <c r="W198" i="8"/>
  <c r="W82" i="8"/>
  <c r="W384" i="8"/>
  <c r="W421" i="8"/>
  <c r="W386" i="8"/>
  <c r="W246" i="8"/>
  <c r="W50" i="8"/>
  <c r="W155" i="8"/>
  <c r="W319" i="8"/>
  <c r="W378" i="8"/>
  <c r="W9" i="8"/>
  <c r="W327" i="8"/>
  <c r="W158" i="8"/>
  <c r="W297" i="8"/>
  <c r="W361" i="8"/>
  <c r="W250" i="8"/>
  <c r="W49" i="8"/>
  <c r="W331" i="8"/>
  <c r="W340" i="8"/>
  <c r="W114" i="8"/>
  <c r="W165" i="8"/>
  <c r="W426" i="8"/>
  <c r="W305" i="8"/>
  <c r="W95" i="8"/>
  <c r="W37" i="8"/>
  <c r="W20" i="8"/>
  <c r="W226" i="8"/>
  <c r="W372" i="8"/>
  <c r="W118" i="8"/>
  <c r="W452" i="8"/>
  <c r="W325" i="8"/>
  <c r="W101" i="8"/>
  <c r="W74" i="8"/>
  <c r="W281" i="8"/>
  <c r="W153" i="8"/>
  <c r="W193" i="8"/>
  <c r="W298" i="8"/>
  <c r="W329" i="8"/>
  <c r="W224" i="8"/>
  <c r="W379" i="8"/>
  <c r="W62" i="8"/>
  <c r="W48" i="8"/>
  <c r="W406" i="8"/>
  <c r="W381" i="8"/>
  <c r="W348" i="8"/>
  <c r="W366" i="8"/>
  <c r="W238" i="8"/>
  <c r="W180" i="8"/>
  <c r="W87" i="8"/>
  <c r="W134" i="8"/>
  <c r="W106" i="8"/>
  <c r="W270" i="8"/>
  <c r="W241" i="8"/>
  <c r="W420" i="8"/>
  <c r="W138" i="8"/>
  <c r="W102" i="8"/>
  <c r="W293" i="8"/>
  <c r="W63" i="8"/>
  <c r="W47" i="8"/>
  <c r="W70" i="8"/>
  <c r="W403" i="8"/>
  <c r="W356" i="8"/>
  <c r="W148" i="8"/>
  <c r="W25" i="8"/>
  <c r="W409" i="8"/>
  <c r="W142" i="8"/>
  <c r="W129" i="8"/>
  <c r="W289" i="8"/>
  <c r="W269" i="8"/>
  <c r="W177" i="8"/>
  <c r="W124" i="8"/>
  <c r="W370" i="8"/>
  <c r="W217" i="8"/>
  <c r="W263" i="8"/>
  <c r="W442" i="8"/>
  <c r="W166" i="8"/>
  <c r="W181" i="8"/>
  <c r="W393" i="8"/>
  <c r="W402" i="8"/>
  <c r="W458" i="8"/>
  <c r="W239" i="8"/>
  <c r="W219" i="8"/>
  <c r="W277" i="8"/>
  <c r="W424" i="8"/>
  <c r="W196" i="8"/>
  <c r="W191" i="8"/>
  <c r="W407" i="8"/>
  <c r="W251" i="8"/>
  <c r="W169" i="8"/>
  <c r="W444" i="8"/>
  <c r="W395" i="8"/>
  <c r="W288" i="8"/>
  <c r="W30" i="8"/>
  <c r="W185" i="8"/>
  <c r="W186" i="8"/>
  <c r="W60" i="8"/>
  <c r="W262" i="8"/>
  <c r="W427" i="8"/>
  <c r="W244" i="8"/>
  <c r="W255" i="8"/>
  <c r="W51" i="8"/>
  <c r="W56" i="8"/>
  <c r="W17" i="8"/>
  <c r="W450" i="8"/>
  <c r="W400" i="8"/>
  <c r="W242" i="8"/>
  <c r="W443" i="8"/>
  <c r="W256" i="8"/>
  <c r="W94" i="8"/>
  <c r="W345" i="8"/>
  <c r="W223" i="8"/>
  <c r="W334" i="8"/>
  <c r="W363" i="8"/>
  <c r="W454" i="8"/>
  <c r="W92" i="8"/>
  <c r="W27" i="8"/>
  <c r="W394" i="8"/>
  <c r="W128" i="8"/>
  <c r="W120" i="8"/>
  <c r="W68" i="8"/>
  <c r="W218" i="8"/>
  <c r="W23" i="8"/>
  <c r="W447" i="8"/>
  <c r="W200" i="8"/>
  <c r="W291" i="8"/>
  <c r="W229" i="8"/>
  <c r="W405" i="8"/>
  <c r="W330" i="8"/>
  <c r="W222" i="8"/>
  <c r="W144" i="8"/>
  <c r="W131" i="8"/>
  <c r="W368" i="8"/>
  <c r="W197" i="8"/>
  <c r="W359" i="8"/>
  <c r="W347" i="8"/>
  <c r="W104" i="8"/>
  <c r="W4" i="8"/>
  <c r="W419" i="8"/>
  <c r="W146" i="8"/>
  <c r="W24" i="8"/>
  <c r="W53" i="8"/>
  <c r="W202" i="8"/>
  <c r="W464" i="8"/>
  <c r="W19" i="8"/>
  <c r="W283" i="8"/>
  <c r="W350" i="8"/>
  <c r="W178" i="8"/>
  <c r="W194" i="8"/>
  <c r="W2" i="8"/>
  <c r="W352" i="8"/>
  <c r="W463" i="8"/>
  <c r="W416" i="8"/>
  <c r="W162" i="8"/>
  <c r="W221" i="8"/>
  <c r="W183" i="8"/>
  <c r="W456" i="8"/>
  <c r="W85" i="8"/>
  <c r="W18" i="8"/>
  <c r="W209" i="8"/>
  <c r="W287" i="8"/>
  <c r="W237" i="8"/>
  <c r="W354" i="8"/>
  <c r="W140" i="8"/>
  <c r="W214" i="8"/>
  <c r="W267" i="8"/>
  <c r="W42" i="8"/>
  <c r="W86" i="8"/>
  <c r="W316" i="8"/>
  <c r="W324" i="8"/>
  <c r="W189" i="8"/>
  <c r="W365" i="8"/>
  <c r="W227" i="8"/>
  <c r="W310" i="8"/>
  <c r="W72" i="8"/>
  <c r="W188" i="8"/>
  <c r="W383" i="8"/>
  <c r="W462" i="8"/>
  <c r="W150" i="8"/>
  <c r="W342" i="8"/>
  <c r="W84" i="8"/>
  <c r="W116" i="8"/>
  <c r="W296" i="8"/>
  <c r="W355" i="8"/>
  <c r="W119" i="8"/>
  <c r="W44" i="8"/>
  <c r="W233" i="8"/>
  <c r="W7" i="8"/>
  <c r="W309" i="8"/>
  <c r="W326" i="8"/>
  <c r="W76" i="8"/>
  <c r="W295" i="8"/>
  <c r="W290" i="8"/>
  <c r="W385" i="8"/>
  <c r="W451" i="8"/>
  <c r="W204" i="8"/>
  <c r="W13" i="8"/>
  <c r="W460" i="8"/>
  <c r="W33" i="8"/>
  <c r="W231" i="8"/>
  <c r="W445" i="8"/>
  <c r="W234" i="8"/>
  <c r="W29" i="8"/>
  <c r="W369" i="8"/>
  <c r="W390" i="8"/>
  <c r="W31" i="8"/>
  <c r="W401" i="8"/>
  <c r="W382" i="8"/>
  <c r="W253" i="8"/>
  <c r="W10" i="8"/>
  <c r="W373" i="8"/>
  <c r="W275" i="8"/>
  <c r="W161" i="8"/>
  <c r="W77" i="8"/>
  <c r="W203" i="8"/>
  <c r="W449" i="8"/>
  <c r="W261" i="8"/>
  <c r="W127" i="8"/>
  <c r="W100" i="8"/>
  <c r="W265" i="8"/>
  <c r="W397" i="8"/>
  <c r="W336" i="8"/>
  <c r="W141" i="8"/>
  <c r="W34" i="8"/>
  <c r="W163" i="8"/>
  <c r="W205" i="8"/>
  <c r="W66" i="8"/>
  <c r="W446" i="8"/>
  <c r="W64" i="8"/>
  <c r="W132" i="8"/>
  <c r="W201" i="8"/>
  <c r="W303" i="8"/>
  <c r="W152" i="8"/>
  <c r="W380" i="8"/>
  <c r="W279" i="8"/>
  <c r="W39" i="8"/>
  <c r="W439" i="8"/>
  <c r="W187" i="8"/>
  <c r="W59" i="8"/>
  <c r="W374" i="8"/>
  <c r="W97" i="8"/>
  <c r="W254" i="8"/>
  <c r="W437" i="8"/>
  <c r="W89" i="8"/>
  <c r="W190" i="8"/>
  <c r="W272" i="8"/>
  <c r="W130" i="8"/>
  <c r="W108" i="8"/>
  <c r="W216" i="8"/>
  <c r="W323" i="8"/>
  <c r="W16" i="8"/>
  <c r="W314" i="8"/>
  <c r="W145" i="8"/>
  <c r="W75" i="8"/>
  <c r="W164" i="8"/>
  <c r="W398" i="8"/>
  <c r="W271" i="8"/>
  <c r="W434" i="8"/>
  <c r="W357" i="8"/>
  <c r="W413" i="8"/>
  <c r="W430" i="8"/>
  <c r="W318" i="8"/>
  <c r="W206" i="8"/>
  <c r="W232" i="8"/>
  <c r="W79" i="8"/>
  <c r="W93" i="8"/>
  <c r="W199" i="8"/>
  <c r="W107" i="8"/>
  <c r="W43" i="8"/>
  <c r="W433" i="8"/>
  <c r="W308" i="8"/>
  <c r="W422" i="8"/>
  <c r="W412" i="8"/>
  <c r="W147" i="8"/>
  <c r="W353" i="8"/>
  <c r="W113" i="8"/>
  <c r="W278" i="8"/>
  <c r="W404" i="8"/>
  <c r="W170" i="8"/>
  <c r="W175" i="8"/>
  <c r="W448" i="8"/>
  <c r="W112" i="8"/>
  <c r="W260" i="8"/>
  <c r="W35" i="8"/>
  <c r="W377" i="8"/>
  <c r="W285" i="8"/>
  <c r="W257" i="8"/>
  <c r="W5" i="8"/>
  <c r="W258" i="8"/>
  <c r="W320" i="8"/>
  <c r="W54" i="8"/>
  <c r="W220" i="8"/>
  <c r="W22" i="8"/>
  <c r="W179" i="8"/>
  <c r="W88" i="8"/>
  <c r="W143" i="8"/>
  <c r="W466" i="8"/>
  <c r="W387" i="8"/>
  <c r="W80" i="8"/>
  <c r="W26" i="8"/>
  <c r="W436" i="8"/>
  <c r="W168" i="8"/>
  <c r="W103" i="8"/>
  <c r="W252" i="8"/>
  <c r="W78" i="8"/>
  <c r="W411" i="8"/>
  <c r="W55" i="8"/>
  <c r="W423" i="8"/>
  <c r="W245" i="8"/>
  <c r="W133" i="8"/>
  <c r="W461" i="8"/>
  <c r="W73" i="8"/>
  <c r="W122" i="8"/>
  <c r="W230" i="8"/>
  <c r="W337" i="8"/>
  <c r="W110" i="8"/>
  <c r="W388" i="8"/>
  <c r="W376" i="8"/>
  <c r="W139" i="8"/>
  <c r="W371" i="8"/>
  <c r="W408" i="8"/>
  <c r="W156" i="8"/>
  <c r="W208" i="8"/>
  <c r="W312" i="8"/>
  <c r="W109" i="8"/>
  <c r="W45" i="8"/>
  <c r="W360" i="8"/>
  <c r="W46" i="8"/>
  <c r="W83" i="8"/>
  <c r="W300" i="8"/>
  <c r="W259" i="8"/>
  <c r="W396" i="8"/>
  <c r="W192" i="8"/>
  <c r="W375" i="8"/>
  <c r="W339" i="8"/>
  <c r="W28" i="8"/>
  <c r="W392" i="8"/>
  <c r="W335" i="8"/>
  <c r="W213" i="8"/>
  <c r="W465" i="8"/>
  <c r="W12" i="8"/>
  <c r="W362" i="8"/>
  <c r="W174" i="8"/>
  <c r="W14" i="8"/>
  <c r="W126" i="8"/>
  <c r="W151" i="8"/>
  <c r="W341" i="8"/>
  <c r="W240" i="8"/>
  <c r="W8" i="8"/>
  <c r="W235" i="8"/>
  <c r="W67" i="8"/>
  <c r="W125" i="8"/>
  <c r="W349" i="8"/>
  <c r="W137" i="8"/>
  <c r="W266" i="8"/>
  <c r="W313" i="8"/>
  <c r="W338" i="8"/>
  <c r="W249" i="8"/>
  <c r="W65" i="8"/>
  <c r="W173" i="8"/>
  <c r="W136" i="8"/>
  <c r="W172" i="8"/>
  <c r="W247" i="8"/>
  <c r="W311" i="8"/>
  <c r="W276" i="8"/>
  <c r="W211" i="8"/>
  <c r="W432" i="8"/>
  <c r="W71" i="8"/>
  <c r="W184" i="8"/>
  <c r="A2" i="7" a="1"/>
  <c r="F3" i="6"/>
  <c r="F4" i="6"/>
  <c r="F5" i="6"/>
  <c r="F6" i="6"/>
  <c r="F7" i="6"/>
  <c r="F8" i="6"/>
  <c r="F2" i="6"/>
  <c r="C3" i="6"/>
  <c r="C4" i="6"/>
  <c r="C5" i="6"/>
  <c r="C6" i="6"/>
  <c r="C7" i="6"/>
  <c r="C8" i="6"/>
  <c r="C2" i="6"/>
  <c r="B3" i="6"/>
  <c r="B4" i="6"/>
  <c r="B5" i="6"/>
  <c r="B6" i="6"/>
  <c r="B7" i="6"/>
  <c r="B8" i="6"/>
  <c r="B2" i="6"/>
  <c r="C12" i="5"/>
  <c r="C11" i="5"/>
  <c r="C10" i="5"/>
  <c r="C8" i="5"/>
  <c r="C7" i="5"/>
  <c r="C6" i="5"/>
  <c r="C5" i="5" a="1"/>
  <c r="C5" i="5" s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C4" i="5" a="1"/>
  <c r="C4" i="5" s="1"/>
  <c r="C3" i="5"/>
  <c r="C2" i="5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A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G2" i="6"/>
  <c r="G3" i="6"/>
  <c r="G4" i="6"/>
  <c r="G5" i="6"/>
  <c r="G6" i="6"/>
  <c r="G7" i="6"/>
  <c r="G8" i="6"/>
  <c r="B9" i="6"/>
  <c r="C9" i="6"/>
  <c r="E4" i="6"/>
  <c r="E3" i="6"/>
  <c r="E7" i="6"/>
  <c r="E5" i="6"/>
  <c r="E6" i="6"/>
  <c r="E8" i="6"/>
  <c r="E2" i="6"/>
  <c r="D2" i="6"/>
  <c r="D3" i="6"/>
  <c r="D4" i="6"/>
  <c r="D5" i="6"/>
  <c r="D6" i="6"/>
  <c r="D7" i="6"/>
  <c r="D8" i="6"/>
  <c r="C9" i="5"/>
  <c r="G4" i="7" l="1"/>
  <c r="G3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292" i="7"/>
  <c r="G295" i="7"/>
  <c r="G298" i="7"/>
  <c r="G300" i="7"/>
  <c r="G303" i="7"/>
  <c r="G305" i="7"/>
  <c r="G308" i="7"/>
  <c r="G311" i="7"/>
  <c r="G313" i="7"/>
  <c r="G316" i="7"/>
  <c r="G318" i="7"/>
  <c r="G321" i="7"/>
  <c r="G323" i="7"/>
  <c r="G326" i="7"/>
  <c r="G328" i="7"/>
  <c r="G331" i="7"/>
  <c r="G333" i="7"/>
  <c r="G336" i="7"/>
  <c r="G339" i="7"/>
  <c r="G341" i="7"/>
  <c r="G344" i="7"/>
  <c r="G346" i="7"/>
  <c r="G349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288" i="7"/>
  <c r="G291" i="7"/>
  <c r="G294" i="7"/>
  <c r="G297" i="7"/>
  <c r="G301" i="7"/>
  <c r="G304" i="7"/>
  <c r="G307" i="7"/>
  <c r="G310" i="7"/>
  <c r="G314" i="7"/>
  <c r="G317" i="7"/>
  <c r="G320" i="7"/>
  <c r="G324" i="7"/>
  <c r="G327" i="7"/>
  <c r="G330" i="7"/>
  <c r="G334" i="7"/>
  <c r="G337" i="7"/>
  <c r="G340" i="7"/>
  <c r="G343" i="7"/>
  <c r="G347" i="7"/>
  <c r="G350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9" i="7"/>
  <c r="G290" i="7"/>
  <c r="G293" i="7"/>
  <c r="G296" i="7"/>
  <c r="G299" i="7"/>
  <c r="G302" i="7"/>
  <c r="G306" i="7"/>
  <c r="G309" i="7"/>
  <c r="G312" i="7"/>
  <c r="G315" i="7"/>
  <c r="G319" i="7"/>
  <c r="G322" i="7"/>
  <c r="G325" i="7"/>
  <c r="G329" i="7"/>
  <c r="G332" i="7"/>
  <c r="G335" i="7"/>
  <c r="G338" i="7"/>
  <c r="G342" i="7"/>
  <c r="G345" i="7"/>
  <c r="G348" i="7"/>
  <c r="G351" i="7"/>
  <c r="G9" i="6"/>
  <c r="F2" i="7"/>
  <c r="F352" i="7" s="1"/>
  <c r="E2" i="7"/>
  <c r="E352" i="7" s="1"/>
  <c r="D2" i="7"/>
  <c r="B2" i="7"/>
  <c r="B352" i="7" s="1"/>
  <c r="C2" i="7"/>
  <c r="C352" i="7" s="1"/>
  <c r="E9" i="6"/>
  <c r="D9" i="6"/>
  <c r="D352" i="7" l="1"/>
  <c r="G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<sst xmlns="http://schemas.openxmlformats.org/spreadsheetml/2006/main" count="22104" uniqueCount="3906">
  <si>
    <t>Product_Name</t>
  </si>
  <si>
    <t>Catagory</t>
  </si>
  <si>
    <t>Supplier_Name</t>
  </si>
  <si>
    <t>Warehouse_Location</t>
  </si>
  <si>
    <t>Status</t>
  </si>
  <si>
    <t>Product_ID</t>
  </si>
  <si>
    <t>Supplier_ID</t>
  </si>
  <si>
    <t>Date_Received</t>
  </si>
  <si>
    <t>Last_Order_Date</t>
  </si>
  <si>
    <t>Expiration_Date</t>
  </si>
  <si>
    <t>Stock_Quantity</t>
  </si>
  <si>
    <t>Reorder_Level</t>
  </si>
  <si>
    <t>Reorder_Quantity</t>
  </si>
  <si>
    <t>Unit_Price</t>
  </si>
  <si>
    <t>Sales_Volume</t>
  </si>
  <si>
    <t>Inventory_Turnover_Rate</t>
  </si>
  <si>
    <t>percentage</t>
  </si>
  <si>
    <t>Bell Pepper</t>
  </si>
  <si>
    <t>Fruits &amp; Vegetables</t>
  </si>
  <si>
    <t>Eimbee</t>
  </si>
  <si>
    <t>20 Pennsylvania Parkway</t>
  </si>
  <si>
    <t>Discontinued</t>
  </si>
  <si>
    <t>29-017-6255</t>
  </si>
  <si>
    <t>43-348-2450</t>
  </si>
  <si>
    <t>1/31/2025</t>
  </si>
  <si>
    <t>$4.60</t>
  </si>
  <si>
    <t>Vegetable Oil</t>
  </si>
  <si>
    <t>Oils &amp; Fats</t>
  </si>
  <si>
    <t>Digitube</t>
  </si>
  <si>
    <t>03643 Oakridge Lane</t>
  </si>
  <si>
    <t>Backordered</t>
  </si>
  <si>
    <t>79-569-8856</t>
  </si>
  <si>
    <t>04-854-7165</t>
  </si>
  <si>
    <t>5/19/2024</t>
  </si>
  <si>
    <t>$2.00</t>
  </si>
  <si>
    <t>Parmesan Cheese</t>
  </si>
  <si>
    <t>Dairy</t>
  </si>
  <si>
    <t>BlogXS</t>
  </si>
  <si>
    <t>73 Graedel Street</t>
  </si>
  <si>
    <t>28-146-2641</t>
  </si>
  <si>
    <t>82-995-0739</t>
  </si>
  <si>
    <t>12/21/2024</t>
  </si>
  <si>
    <t>$12.00</t>
  </si>
  <si>
    <t>Carrot</t>
  </si>
  <si>
    <t>Avaveo</t>
  </si>
  <si>
    <t>44801 Myrtle Center</t>
  </si>
  <si>
    <t>11-581-9869</t>
  </si>
  <si>
    <t>22-867-3079</t>
  </si>
  <si>
    <t>9/26/2024</t>
  </si>
  <si>
    <t>$1.50</t>
  </si>
  <si>
    <t>Garlic</t>
  </si>
  <si>
    <t>Katz</t>
  </si>
  <si>
    <t>6195 Monterey Center</t>
  </si>
  <si>
    <t>13-202-4809</t>
  </si>
  <si>
    <t>24-281-7685</t>
  </si>
  <si>
    <t>7/28/2024</t>
  </si>
  <si>
    <t>5/20/2024</t>
  </si>
  <si>
    <t>$7.00</t>
  </si>
  <si>
    <t>Lemon</t>
  </si>
  <si>
    <t>Yata</t>
  </si>
  <si>
    <t>5141 Anniversary Crossing</t>
  </si>
  <si>
    <t>70-145-2550</t>
  </si>
  <si>
    <t>75-849-4524</t>
  </si>
  <si>
    <t>$2.40</t>
  </si>
  <si>
    <t>Coconut Sugar</t>
  </si>
  <si>
    <t>Grains &amp; Pulses</t>
  </si>
  <si>
    <t>Lazz</t>
  </si>
  <si>
    <t>38583 2nd Pass</t>
  </si>
  <si>
    <t>Active</t>
  </si>
  <si>
    <t>10-626-8536</t>
  </si>
  <si>
    <t>23-274-3305</t>
  </si>
  <si>
    <t>1/29/2025</t>
  </si>
  <si>
    <t>3/30/2024</t>
  </si>
  <si>
    <t>$5.00</t>
  </si>
  <si>
    <t>Anchovies</t>
  </si>
  <si>
    <t>Seafood</t>
  </si>
  <si>
    <t>Zoonder</t>
  </si>
  <si>
    <t>86 Porter Junction</t>
  </si>
  <si>
    <t>42-879-9478</t>
  </si>
  <si>
    <t>00-900-0119</t>
  </si>
  <si>
    <t>2/23/2025</t>
  </si>
  <si>
    <t>8/22/2024</t>
  </si>
  <si>
    <t>$10.00</t>
  </si>
  <si>
    <t>Cheese</t>
  </si>
  <si>
    <t>Oozz</t>
  </si>
  <si>
    <t>05518 Saint Paul Street</t>
  </si>
  <si>
    <t>82-380-5378</t>
  </si>
  <si>
    <t>96-353-3049</t>
  </si>
  <si>
    <t>$9.00</t>
  </si>
  <si>
    <t>Yogurt</t>
  </si>
  <si>
    <t>Jaxnation</t>
  </si>
  <si>
    <t>14042 Dottie Avenue</t>
  </si>
  <si>
    <t>23-265-8144</t>
  </si>
  <si>
    <t>31-524-1628</t>
  </si>
  <si>
    <t>10/25/2024</t>
  </si>
  <si>
    <t>$1.70</t>
  </si>
  <si>
    <t>Cheddar Cheese</t>
  </si>
  <si>
    <t>Gabcube</t>
  </si>
  <si>
    <t>5 Oxford Pass</t>
  </si>
  <si>
    <t>62-393-9939</t>
  </si>
  <si>
    <t>93-877-9384</t>
  </si>
  <si>
    <t>Avocado Oil</t>
  </si>
  <si>
    <t>Dabtype</t>
  </si>
  <si>
    <t>3622 Anhalt Lane</t>
  </si>
  <si>
    <t>90-343-9640</t>
  </si>
  <si>
    <t>54-919-9424</t>
  </si>
  <si>
    <t>Orange</t>
  </si>
  <si>
    <t>Flashdog</t>
  </si>
  <si>
    <t>3 Bashford Court</t>
  </si>
  <si>
    <t>36-899-5324</t>
  </si>
  <si>
    <t>02-656-3112</t>
  </si>
  <si>
    <t>12/19/2024</t>
  </si>
  <si>
    <t>$2.90</t>
  </si>
  <si>
    <t>Digestive Biscuit</t>
  </si>
  <si>
    <t>Bakery</t>
  </si>
  <si>
    <t>Devshare</t>
  </si>
  <si>
    <t>2 Carioca Crossing</t>
  </si>
  <si>
    <t>41-538-3129</t>
  </si>
  <si>
    <t>91-589-9007</t>
  </si>
  <si>
    <t>3/17/2024</t>
  </si>
  <si>
    <t>7/31/2024</t>
  </si>
  <si>
    <t>$4.00</t>
  </si>
  <si>
    <t>Cauliflower</t>
  </si>
  <si>
    <t>Cogilith</t>
  </si>
  <si>
    <t>01 Northfield Road</t>
  </si>
  <si>
    <t>47-843-8207</t>
  </si>
  <si>
    <t>55-838-9088</t>
  </si>
  <si>
    <t>12/27/2024</t>
  </si>
  <si>
    <t>$2.50</t>
  </si>
  <si>
    <t>Pear</t>
  </si>
  <si>
    <t>Roodel</t>
  </si>
  <si>
    <t>2004 Cody Plaza</t>
  </si>
  <si>
    <t>94-071-2261</t>
  </si>
  <si>
    <t>25-706-2146</t>
  </si>
  <si>
    <t>$4.50</t>
  </si>
  <si>
    <t>Egg (Turkey)</t>
  </si>
  <si>
    <t>Bluezoom</t>
  </si>
  <si>
    <t>94862 Beilfuss Terrace</t>
  </si>
  <si>
    <t>12-998-3882</t>
  </si>
  <si>
    <t>06-151-9076</t>
  </si>
  <si>
    <t>8/17/2024</t>
  </si>
  <si>
    <t>5/26/2024</t>
  </si>
  <si>
    <t>Ricotta Cheese</t>
  </si>
  <si>
    <t>Skimia</t>
  </si>
  <si>
    <t>10342 Division Place</t>
  </si>
  <si>
    <t>36-127-4273</t>
  </si>
  <si>
    <t>05-719-6858</t>
  </si>
  <si>
    <t>$6.20</t>
  </si>
  <si>
    <t>Eggplant</t>
  </si>
  <si>
    <t>Blogpad</t>
  </si>
  <si>
    <t>52 Namekagon Junction</t>
  </si>
  <si>
    <t>13-144-2169</t>
  </si>
  <si>
    <t>11-742-5033</t>
  </si>
  <si>
    <t>$3.00</t>
  </si>
  <si>
    <t>Whole Wheat Flour</t>
  </si>
  <si>
    <t>Dabjam</t>
  </si>
  <si>
    <t>21343 Brentwood Circle</t>
  </si>
  <si>
    <t>86-978-6666</t>
  </si>
  <si>
    <t>43-979-2253</t>
  </si>
  <si>
    <t>7/26/2024</t>
  </si>
  <si>
    <t>9/15/2024</t>
  </si>
  <si>
    <t>$2.70</t>
  </si>
  <si>
    <t>Arabica Coffee</t>
  </si>
  <si>
    <t>Beverages</t>
  </si>
  <si>
    <t>Feedmix</t>
  </si>
  <si>
    <t>36 3rd Place</t>
  </si>
  <si>
    <t>40-681-9981</t>
  </si>
  <si>
    <t>54-470-2479</t>
  </si>
  <si>
    <t>5/29/2024</t>
  </si>
  <si>
    <t>$20.00</t>
  </si>
  <si>
    <t>Sweet Potato</t>
  </si>
  <si>
    <t>Trupe</t>
  </si>
  <si>
    <t>7015 Ramsey Lane</t>
  </si>
  <si>
    <t>13-962-6263</t>
  </si>
  <si>
    <t>26-061-5253</t>
  </si>
  <si>
    <t>12/23/2024</t>
  </si>
  <si>
    <t>11/18/2024</t>
  </si>
  <si>
    <t>Mango</t>
  </si>
  <si>
    <t>Meevee</t>
  </si>
  <si>
    <t>48 Vahlen Place</t>
  </si>
  <si>
    <t>10-002-6494</t>
  </si>
  <si>
    <t>47-509-7282</t>
  </si>
  <si>
    <t>$4.80</t>
  </si>
  <si>
    <t>Kale</t>
  </si>
  <si>
    <t>85 Farwell Parkway</t>
  </si>
  <si>
    <t>29-741-8132</t>
  </si>
  <si>
    <t>49-384-4540</t>
  </si>
  <si>
    <t>7/14/2024</t>
  </si>
  <si>
    <t>Jasmine Rice</t>
  </si>
  <si>
    <t>Topicware</t>
  </si>
  <si>
    <t>07 Pankratz Point</t>
  </si>
  <si>
    <t>30-806-3823</t>
  </si>
  <si>
    <t>36-451-3173</t>
  </si>
  <si>
    <t>$4.75</t>
  </si>
  <si>
    <t>Sourdough Bread</t>
  </si>
  <si>
    <t>Plajo</t>
  </si>
  <si>
    <t>338 Annamark Court</t>
  </si>
  <si>
    <t>71-074-6292</t>
  </si>
  <si>
    <t>42-201-4495</t>
  </si>
  <si>
    <t>10/17/2024</t>
  </si>
  <si>
    <t>Green Coffee</t>
  </si>
  <si>
    <t>Skyndu</t>
  </si>
  <si>
    <t>35 Golf Course Alley</t>
  </si>
  <si>
    <t>95-738-4658</t>
  </si>
  <si>
    <t>67-404-3362</t>
  </si>
  <si>
    <t>11/26/2024</t>
  </si>
  <si>
    <t>10/30/2024</t>
  </si>
  <si>
    <t>Yotz</t>
  </si>
  <si>
    <t>96 Westridge Junction</t>
  </si>
  <si>
    <t>55-154-4728</t>
  </si>
  <si>
    <t>33-466-7894</t>
  </si>
  <si>
    <t>3/29/2024</t>
  </si>
  <si>
    <t>Tilapia</t>
  </si>
  <si>
    <t>Vinder</t>
  </si>
  <si>
    <t>57 Eastwood Junction</t>
  </si>
  <si>
    <t>46-255-3073</t>
  </si>
  <si>
    <t>68-230-9130</t>
  </si>
  <si>
    <t>Arborio Rice</t>
  </si>
  <si>
    <t>Geba</t>
  </si>
  <si>
    <t>31 Sullivan Hill</t>
  </si>
  <si>
    <t>95-640-0293</t>
  </si>
  <si>
    <t>43-575-2151</t>
  </si>
  <si>
    <t>Bread Flour</t>
  </si>
  <si>
    <t>Dazzlesphere</t>
  </si>
  <si>
    <t>49148 Meadow Ridge Way</t>
  </si>
  <si>
    <t>45-250-4679</t>
  </si>
  <si>
    <t>80-328-4990</t>
  </si>
  <si>
    <t>11/23/2024</t>
  </si>
  <si>
    <t>Cucumber</t>
  </si>
  <si>
    <t>Kanoodle</t>
  </si>
  <si>
    <t>38 Killdeer Point</t>
  </si>
  <si>
    <t>03-833-3577</t>
  </si>
  <si>
    <t>87-032-6971</t>
  </si>
  <si>
    <t>8/20/2024</t>
  </si>
  <si>
    <t>10/16/2024</t>
  </si>
  <si>
    <t>$1.80</t>
  </si>
  <si>
    <t>01 Gateway Plaza</t>
  </si>
  <si>
    <t>08-961-3009</t>
  </si>
  <si>
    <t>41-825-5869</t>
  </si>
  <si>
    <t>$9.20</t>
  </si>
  <si>
    <t>Milk</t>
  </si>
  <si>
    <t>Centimia</t>
  </si>
  <si>
    <t>36483 Burning Wood Pass</t>
  </si>
  <si>
    <t>20-405-4865</t>
  </si>
  <si>
    <t>16-019-7101</t>
  </si>
  <si>
    <t>9/18/2024</t>
  </si>
  <si>
    <t>$0.90</t>
  </si>
  <si>
    <t>Lime</t>
  </si>
  <si>
    <t>Livefish</t>
  </si>
  <si>
    <t>3 Meadow Valley Court</t>
  </si>
  <si>
    <t>49-377-9731</t>
  </si>
  <si>
    <t>56-823-5908</t>
  </si>
  <si>
    <t>4/19/2024</t>
  </si>
  <si>
    <t>Rice Flour</t>
  </si>
  <si>
    <t>Quatz</t>
  </si>
  <si>
    <t>47817 Oneill Park</t>
  </si>
  <si>
    <t>39-810-2042</t>
  </si>
  <si>
    <t>65-620-9866</t>
  </si>
  <si>
    <t>1/25/2025</t>
  </si>
  <si>
    <t>Rhyloo</t>
  </si>
  <si>
    <t>94 Mallory Center</t>
  </si>
  <si>
    <t>53-805-9523</t>
  </si>
  <si>
    <t>99-864-0256</t>
  </si>
  <si>
    <t>3/19/2024</t>
  </si>
  <si>
    <t>5/14/2024</t>
  </si>
  <si>
    <t>Shuffledrive</t>
  </si>
  <si>
    <t>19 Shoshone Circle</t>
  </si>
  <si>
    <t>14-305-5348</t>
  </si>
  <si>
    <t>71-092-6845</t>
  </si>
  <si>
    <t>3/20/2024</t>
  </si>
  <si>
    <t>Sour Cream</t>
  </si>
  <si>
    <t>Skyvu</t>
  </si>
  <si>
    <t>805 Center Parkway</t>
  </si>
  <si>
    <t>51-459-5630</t>
  </si>
  <si>
    <t>29-567-3732</t>
  </si>
  <si>
    <t>9/29/2024</t>
  </si>
  <si>
    <t>12/14/2024</t>
  </si>
  <si>
    <t>Whole Wheat Bread</t>
  </si>
  <si>
    <t>46 Delaware Place</t>
  </si>
  <si>
    <t>88-183-5781</t>
  </si>
  <si>
    <t>49-247-1217</t>
  </si>
  <si>
    <t>8/24/2024</t>
  </si>
  <si>
    <t>$3.50</t>
  </si>
  <si>
    <t>Robusta Coffee</t>
  </si>
  <si>
    <t>Devpulse</t>
  </si>
  <si>
    <t>2374 Chive Court</t>
  </si>
  <si>
    <t>41-735-9837</t>
  </si>
  <si>
    <t>35-462-7569</t>
  </si>
  <si>
    <t>8/28/2024</t>
  </si>
  <si>
    <t>Chocolate Biscuit</t>
  </si>
  <si>
    <t>Yodo</t>
  </si>
  <si>
    <t>7561 5th Terrace</t>
  </si>
  <si>
    <t>88-977-0175</t>
  </si>
  <si>
    <t>58-087-3463</t>
  </si>
  <si>
    <t>3/21/2024</t>
  </si>
  <si>
    <t>7/19/2024</t>
  </si>
  <si>
    <t>Palm Oil</t>
  </si>
  <si>
    <t>Skipstorm</t>
  </si>
  <si>
    <t>703 Hermina Center</t>
  </si>
  <si>
    <t>66-327-2821</t>
  </si>
  <si>
    <t>82-525-7224</t>
  </si>
  <si>
    <t>5/27/2024</t>
  </si>
  <si>
    <t>Camido</t>
  </si>
  <si>
    <t>709 Vidon Avenue</t>
  </si>
  <si>
    <t>08-114-3922</t>
  </si>
  <si>
    <t>19-418-7213</t>
  </si>
  <si>
    <t>2/25/2024</t>
  </si>
  <si>
    <t>2/15/2025</t>
  </si>
  <si>
    <t>Sesame Oil</t>
  </si>
  <si>
    <t>0313 Rockefeller Street</t>
  </si>
  <si>
    <t>95-090-2788</t>
  </si>
  <si>
    <t>95-715-6047</t>
  </si>
  <si>
    <t>8/26/2024</t>
  </si>
  <si>
    <t>$6.50</t>
  </si>
  <si>
    <t>Lettuce</t>
  </si>
  <si>
    <t>Fadeo</t>
  </si>
  <si>
    <t>19069 Cordelia Drive</t>
  </si>
  <si>
    <t>26-690-3784</t>
  </si>
  <si>
    <t>70-463-6597</t>
  </si>
  <si>
    <t>10/14/2024</t>
  </si>
  <si>
    <t>Feta Cheese</t>
  </si>
  <si>
    <t>Rhynyx</t>
  </si>
  <si>
    <t>60356 Derek Lane</t>
  </si>
  <si>
    <t>46-753-8430</t>
  </si>
  <si>
    <t>35-042-9391</t>
  </si>
  <si>
    <t>11/19/2024</t>
  </si>
  <si>
    <t>Apricot</t>
  </si>
  <si>
    <t>Skinix</t>
  </si>
  <si>
    <t>36687 Maple Avenue</t>
  </si>
  <si>
    <t>15-905-7750</t>
  </si>
  <si>
    <t>48-176-1622</t>
  </si>
  <si>
    <t>Peanut Oil</t>
  </si>
  <si>
    <t>Tagopia</t>
  </si>
  <si>
    <t>13 Westport Hill</t>
  </si>
  <si>
    <t>11-891-8213</t>
  </si>
  <si>
    <t>25-741-5987</t>
  </si>
  <si>
    <t>11/13/2024</t>
  </si>
  <si>
    <t>Olive Oil</t>
  </si>
  <si>
    <t>Realmix</t>
  </si>
  <si>
    <t>65 Chinook Circle</t>
  </si>
  <si>
    <t>82-811-7988</t>
  </si>
  <si>
    <t>41-772-9238</t>
  </si>
  <si>
    <t>6/13/2024</t>
  </si>
  <si>
    <t>12/13/2024</t>
  </si>
  <si>
    <t>$6.00</t>
  </si>
  <si>
    <t>Gigaclub</t>
  </si>
  <si>
    <t>759 Waywood Court</t>
  </si>
  <si>
    <t>31-746-4951</t>
  </si>
  <si>
    <t>70-212-0990</t>
  </si>
  <si>
    <t>$2.75</t>
  </si>
  <si>
    <t>Egg (Duck)</t>
  </si>
  <si>
    <t>45190 Fordem Court</t>
  </si>
  <si>
    <t>97-300-7511</t>
  </si>
  <si>
    <t>47-687-2255</t>
  </si>
  <si>
    <t>7/17/2024</t>
  </si>
  <si>
    <t>$1.00</t>
  </si>
  <si>
    <t>Pineapple</t>
  </si>
  <si>
    <t>Brainverse</t>
  </si>
  <si>
    <t>0 Delladonna Place</t>
  </si>
  <si>
    <t>88-304-2855</t>
  </si>
  <si>
    <t>59-570-2020</t>
  </si>
  <si>
    <t>1/24/2025</t>
  </si>
  <si>
    <t>Skyba</t>
  </si>
  <si>
    <t>63 Debra Park</t>
  </si>
  <si>
    <t>53-008-2419</t>
  </si>
  <si>
    <t>86-841-6074</t>
  </si>
  <si>
    <t>157 David Center</t>
  </si>
  <si>
    <t>76-340-4432</t>
  </si>
  <si>
    <t>79-915-4185</t>
  </si>
  <si>
    <t>3/28/2024</t>
  </si>
  <si>
    <t>$1.75</t>
  </si>
  <si>
    <t>Trout</t>
  </si>
  <si>
    <t>Blogtag</t>
  </si>
  <si>
    <t>4508 Shopko Trail</t>
  </si>
  <si>
    <t>26-010-9519</t>
  </si>
  <si>
    <t>28-837-4164</t>
  </si>
  <si>
    <t>Onion</t>
  </si>
  <si>
    <t>Oba</t>
  </si>
  <si>
    <t>74 Menomonie Point</t>
  </si>
  <si>
    <t>08-940-8578</t>
  </si>
  <si>
    <t>37-686-1726</t>
  </si>
  <si>
    <t>11/22/2024</t>
  </si>
  <si>
    <t>Cream</t>
  </si>
  <si>
    <t>Oyondu</t>
  </si>
  <si>
    <t>74997 Katie Terrace</t>
  </si>
  <si>
    <t>54-374-9986</t>
  </si>
  <si>
    <t>33-818-4917</t>
  </si>
  <si>
    <t>10/22/2024</t>
  </si>
  <si>
    <t>Sardines</t>
  </si>
  <si>
    <t>Eayo</t>
  </si>
  <si>
    <t>7819 Fallview Park</t>
  </si>
  <si>
    <t>67-625-9704</t>
  </si>
  <si>
    <t>13-475-1009</t>
  </si>
  <si>
    <t>7/18/2024</t>
  </si>
  <si>
    <t>Avamba</t>
  </si>
  <si>
    <t>744 Green Center</t>
  </si>
  <si>
    <t>56-635-6764</t>
  </si>
  <si>
    <t>20-257-6927</t>
  </si>
  <si>
    <t>1/16/2025</t>
  </si>
  <si>
    <t>Mybuzz</t>
  </si>
  <si>
    <t>31 Loomis Park</t>
  </si>
  <si>
    <t>10-445-0741</t>
  </si>
  <si>
    <t>82-470-7146</t>
  </si>
  <si>
    <t>3/31/2024</t>
  </si>
  <si>
    <t>Twitterwire</t>
  </si>
  <si>
    <t>1170 Shasta Circle</t>
  </si>
  <si>
    <t>76-584-4790</t>
  </si>
  <si>
    <t>58-213-1146</t>
  </si>
  <si>
    <t>Plum</t>
  </si>
  <si>
    <t>Topicstorm</t>
  </si>
  <si>
    <t>15068 Scoville Court</t>
  </si>
  <si>
    <t>57-437-1828</t>
  </si>
  <si>
    <t>54-226-4308</t>
  </si>
  <si>
    <t>Sushi Rice</t>
  </si>
  <si>
    <t>5743 Superior Place</t>
  </si>
  <si>
    <t>62-777-6010</t>
  </si>
  <si>
    <t>40-914-7156</t>
  </si>
  <si>
    <t>$4.25</t>
  </si>
  <si>
    <t>Black Rice</t>
  </si>
  <si>
    <t>3296 Walton Court</t>
  </si>
  <si>
    <t>06-955-3428</t>
  </si>
  <si>
    <t>54-031-2945</t>
  </si>
  <si>
    <t>9/22/2024</t>
  </si>
  <si>
    <t>Wild Rice</t>
  </si>
  <si>
    <t>Wordpedia</t>
  </si>
  <si>
    <t>5 Toban Circle</t>
  </si>
  <si>
    <t>04-758-0410</t>
  </si>
  <si>
    <t>56-231-2524</t>
  </si>
  <si>
    <t>8/16/2024</t>
  </si>
  <si>
    <t>Kayveo</t>
  </si>
  <si>
    <t>8569 Bashford Court</t>
  </si>
  <si>
    <t>06-655-5498</t>
  </si>
  <si>
    <t>89-574-3430</t>
  </si>
  <si>
    <t>9/28/2024</t>
  </si>
  <si>
    <t>$9.75</t>
  </si>
  <si>
    <t>Pomegranate</t>
  </si>
  <si>
    <t>Meeveo</t>
  </si>
  <si>
    <t>31892 Pennsylvania Street</t>
  </si>
  <si>
    <t>76-401-7083</t>
  </si>
  <si>
    <t>29-156-0691</t>
  </si>
  <si>
    <t>Npath</t>
  </si>
  <si>
    <t>6382 Anniversary Pass</t>
  </si>
  <si>
    <t>30-429-2162</t>
  </si>
  <si>
    <t>05-100-7102</t>
  </si>
  <si>
    <t>1/15/2025</t>
  </si>
  <si>
    <t>$6.15</t>
  </si>
  <si>
    <t>Riffpedia</t>
  </si>
  <si>
    <t>09189 2nd Drive</t>
  </si>
  <si>
    <t>49-730-0159</t>
  </si>
  <si>
    <t>62-766-8232</t>
  </si>
  <si>
    <t>Cabbage</t>
  </si>
  <si>
    <t>Lajo</t>
  </si>
  <si>
    <t>081 Jana Lane</t>
  </si>
  <si>
    <t>31-745-6850</t>
  </si>
  <si>
    <t>96-215-2767</t>
  </si>
  <si>
    <t>10/24/2024</t>
  </si>
  <si>
    <t>Vinte</t>
  </si>
  <si>
    <t>72083 Acker Crossing</t>
  </si>
  <si>
    <t>69-468-5468</t>
  </si>
  <si>
    <t>37-099-6976</t>
  </si>
  <si>
    <t>Gevee</t>
  </si>
  <si>
    <t>7744 Oxford Pass</t>
  </si>
  <si>
    <t>68-636-4774</t>
  </si>
  <si>
    <t>40-436-0171</t>
  </si>
  <si>
    <t>8/30/2024</t>
  </si>
  <si>
    <t>2/19/2025</t>
  </si>
  <si>
    <t>$1.45</t>
  </si>
  <si>
    <t>All-Purpose Flour</t>
  </si>
  <si>
    <t>050 Mcbride Avenue</t>
  </si>
  <si>
    <t>21-120-6238</t>
  </si>
  <si>
    <t>86-292-4587</t>
  </si>
  <si>
    <t>Wordify</t>
  </si>
  <si>
    <t>1 Merchant Circle</t>
  </si>
  <si>
    <t>92-995-8689</t>
  </si>
  <si>
    <t>18-682-7828</t>
  </si>
  <si>
    <t>Aibox</t>
  </si>
  <si>
    <t>97 Thierer Terrace</t>
  </si>
  <si>
    <t>15-045-8444</t>
  </si>
  <si>
    <t>29-143-2001</t>
  </si>
  <si>
    <t>3/27/2024</t>
  </si>
  <si>
    <t>Whipped Cream</t>
  </si>
  <si>
    <t>Yakitri</t>
  </si>
  <si>
    <t>069 Basil Center</t>
  </si>
  <si>
    <t>73-567-6194</t>
  </si>
  <si>
    <t>81-927-7236</t>
  </si>
  <si>
    <t>29 Vera Drive</t>
  </si>
  <si>
    <t>48-242-8445</t>
  </si>
  <si>
    <t>84-941-3034</t>
  </si>
  <si>
    <t>6/15/2024</t>
  </si>
  <si>
    <t>6/24/2024</t>
  </si>
  <si>
    <t>Quinu</t>
  </si>
  <si>
    <t>0584 Lindbergh Alley</t>
  </si>
  <si>
    <t>33-507-9886</t>
  </si>
  <si>
    <t>11-445-3951</t>
  </si>
  <si>
    <t>8/19/2024</t>
  </si>
  <si>
    <t>6/27/2024</t>
  </si>
  <si>
    <t>Grapes</t>
  </si>
  <si>
    <t>Thoughtmix</t>
  </si>
  <si>
    <t>183 Algoma Trail</t>
  </si>
  <si>
    <t>80-025-6757</t>
  </si>
  <si>
    <t>49-608-3851</t>
  </si>
  <si>
    <t>11/29/2024</t>
  </si>
  <si>
    <t>$5.50</t>
  </si>
  <si>
    <t>Sunflower Oil</t>
  </si>
  <si>
    <t>Photofeed</t>
  </si>
  <si>
    <t>7 Rutledge Pass</t>
  </si>
  <si>
    <t>36-296-9609</t>
  </si>
  <si>
    <t>46-041-1131</t>
  </si>
  <si>
    <t>01 Straubel Hill</t>
  </si>
  <si>
    <t>56-054-8664</t>
  </si>
  <si>
    <t>53-247-1844</t>
  </si>
  <si>
    <t>3/25/2024</t>
  </si>
  <si>
    <t>$2.45</t>
  </si>
  <si>
    <t>Mydo</t>
  </si>
  <si>
    <t>208 Miller Court</t>
  </si>
  <si>
    <t>64-478-4745</t>
  </si>
  <si>
    <t>36-780-8625</t>
  </si>
  <si>
    <t>4/20/2024</t>
  </si>
  <si>
    <t>Edgeify</t>
  </si>
  <si>
    <t>203 Mariners Cove Junction</t>
  </si>
  <si>
    <t>67-546-1568</t>
  </si>
  <si>
    <t>10-038-3988</t>
  </si>
  <si>
    <t>6/16/2024</t>
  </si>
  <si>
    <t>6810 Aberg Junction</t>
  </si>
  <si>
    <t>10-218-2680</t>
  </si>
  <si>
    <t>72-024-1595</t>
  </si>
  <si>
    <t>5/28/2024</t>
  </si>
  <si>
    <t>Short Grain Rice</t>
  </si>
  <si>
    <t>805 Nancy Crossing</t>
  </si>
  <si>
    <t>46-520-1819</t>
  </si>
  <si>
    <t>10-762-7936</t>
  </si>
  <si>
    <t>5/15/2024</t>
  </si>
  <si>
    <t>Tuna</t>
  </si>
  <si>
    <t>Meemm</t>
  </si>
  <si>
    <t>8 Fremont Circle</t>
  </si>
  <si>
    <t>87-791-5803</t>
  </si>
  <si>
    <t>89-843-0880</t>
  </si>
  <si>
    <t>$18.00</t>
  </si>
  <si>
    <t>Dynabox</t>
  </si>
  <si>
    <t>52 Victoria Plaza</t>
  </si>
  <si>
    <t>71-436-5841</t>
  </si>
  <si>
    <t>87-546-9674</t>
  </si>
  <si>
    <t>9/25/2024</t>
  </si>
  <si>
    <t>6/25/2024</t>
  </si>
  <si>
    <t>Wikizz</t>
  </si>
  <si>
    <t>1991 Kropf Way</t>
  </si>
  <si>
    <t>07-679-1199</t>
  </si>
  <si>
    <t>75-406-6250</t>
  </si>
  <si>
    <t>10/15/2024</t>
  </si>
  <si>
    <t>Banana</t>
  </si>
  <si>
    <t>Youfeed</t>
  </si>
  <si>
    <t>3825 Raven Avenue</t>
  </si>
  <si>
    <t>48-957-8596</t>
  </si>
  <si>
    <t>40-817-2222</t>
  </si>
  <si>
    <t>4/24/2024</t>
  </si>
  <si>
    <t>10/18/2024</t>
  </si>
  <si>
    <t>$53.82</t>
  </si>
  <si>
    <t>Coconut</t>
  </si>
  <si>
    <t>78884 Union Street</t>
  </si>
  <si>
    <t>20-325-1965</t>
  </si>
  <si>
    <t>97-155-1262</t>
  </si>
  <si>
    <t>5/21/2024</t>
  </si>
  <si>
    <t>Oloo</t>
  </si>
  <si>
    <t>3 Anthes Place</t>
  </si>
  <si>
    <t>51-069-0489</t>
  </si>
  <si>
    <t>19-978-0708</t>
  </si>
  <si>
    <t>5/30/2024</t>
  </si>
  <si>
    <t>Almond Flour</t>
  </si>
  <si>
    <t>Trudoo</t>
  </si>
  <si>
    <t>4627 Amoth Circle</t>
  </si>
  <si>
    <t>17-493-4579</t>
  </si>
  <si>
    <t>67-541-7091</t>
  </si>
  <si>
    <t>$9.50</t>
  </si>
  <si>
    <t>Topdrive</t>
  </si>
  <si>
    <t>2 Miller Lane</t>
  </si>
  <si>
    <t>46-622-3434</t>
  </si>
  <si>
    <t>85-473-1534</t>
  </si>
  <si>
    <t>7/23/2024</t>
  </si>
  <si>
    <t>591 Maple Junction</t>
  </si>
  <si>
    <t>05-899-1428</t>
  </si>
  <si>
    <t>17-494-5505</t>
  </si>
  <si>
    <t>Trunyx</t>
  </si>
  <si>
    <t>48 Golf View Pass</t>
  </si>
  <si>
    <t>60-632-8752</t>
  </si>
  <si>
    <t>07-948-8632</t>
  </si>
  <si>
    <t>1/26/2025</t>
  </si>
  <si>
    <t>752 Mccormick Way</t>
  </si>
  <si>
    <t>65-854-9364</t>
  </si>
  <si>
    <t>64-800-4141</t>
  </si>
  <si>
    <t>4/22/2024</t>
  </si>
  <si>
    <t>$6.30</t>
  </si>
  <si>
    <t>Greek Yogurt</t>
  </si>
  <si>
    <t>Thoughtstorm</t>
  </si>
  <si>
    <t>550 Clemons Plaza</t>
  </si>
  <si>
    <t>66-268-8345</t>
  </si>
  <si>
    <t>32-182-1895</t>
  </si>
  <si>
    <t>Peach</t>
  </si>
  <si>
    <t>04 Hagan Crossing</t>
  </si>
  <si>
    <t>13-673-7016</t>
  </si>
  <si>
    <t>78-726-6352</t>
  </si>
  <si>
    <t>7/22/2024</t>
  </si>
  <si>
    <t>JumpXS</t>
  </si>
  <si>
    <t>39 Lakewood Gardens Center</t>
  </si>
  <si>
    <t>20-054-3716</t>
  </si>
  <si>
    <t>49-591-1019</t>
  </si>
  <si>
    <t>9/16/2024</t>
  </si>
  <si>
    <t>Voomm</t>
  </si>
  <si>
    <t>5104 Jana Court</t>
  </si>
  <si>
    <t>11-073-0189</t>
  </si>
  <si>
    <t>75-190-3627</t>
  </si>
  <si>
    <t>9/21/2024</t>
  </si>
  <si>
    <t>Chatterbridge</t>
  </si>
  <si>
    <t>68086 Crowley Circle</t>
  </si>
  <si>
    <t>40-793-7235</t>
  </si>
  <si>
    <t>89-048-3542</t>
  </si>
  <si>
    <t>Skinte</t>
  </si>
  <si>
    <t>897 Independence Circle</t>
  </si>
  <si>
    <t>56-894-3733</t>
  </si>
  <si>
    <t>57-133-8386</t>
  </si>
  <si>
    <t>Asparagus</t>
  </si>
  <si>
    <t>Yabox</t>
  </si>
  <si>
    <t>0282 Emmet Hill</t>
  </si>
  <si>
    <t>83-117-7658</t>
  </si>
  <si>
    <t>61-424-7670</t>
  </si>
  <si>
    <t>Mushrooms</t>
  </si>
  <si>
    <t>Yakijo</t>
  </si>
  <si>
    <t>61 Waubesa Court</t>
  </si>
  <si>
    <t>72-989-2512</t>
  </si>
  <si>
    <t>03-117-6217</t>
  </si>
  <si>
    <t>10/28/2024</t>
  </si>
  <si>
    <t>Bubblebox</t>
  </si>
  <si>
    <t>1 Lillian Plaza</t>
  </si>
  <si>
    <t>58-229-1358</t>
  </si>
  <si>
    <t>66-883-2383</t>
  </si>
  <si>
    <t>$2.35</t>
  </si>
  <si>
    <t>Jatri</t>
  </si>
  <si>
    <t>4 Doe Crossing Avenue</t>
  </si>
  <si>
    <t>28-275-5901</t>
  </si>
  <si>
    <t>44-760-4337</t>
  </si>
  <si>
    <t>4/23/2024</t>
  </si>
  <si>
    <t>Black Tea</t>
  </si>
  <si>
    <t>Kare</t>
  </si>
  <si>
    <t>24 South Trail</t>
  </si>
  <si>
    <t>85-806-8672</t>
  </si>
  <si>
    <t>44-646-7502</t>
  </si>
  <si>
    <t>11/21/2024</t>
  </si>
  <si>
    <t>$4.70</t>
  </si>
  <si>
    <t>Midel</t>
  </si>
  <si>
    <t>8626 Chinook Parkway</t>
  </si>
  <si>
    <t>65-718-0492</t>
  </si>
  <si>
    <t>91-492-8216</t>
  </si>
  <si>
    <t>1/23/2025</t>
  </si>
  <si>
    <t>2/16/2025</t>
  </si>
  <si>
    <t>White Tea</t>
  </si>
  <si>
    <t>Brightbean</t>
  </si>
  <si>
    <t>5501 Fuller Way</t>
  </si>
  <si>
    <t>86-482-6451</t>
  </si>
  <si>
    <t>56-965-0404</t>
  </si>
  <si>
    <t>10/27/2024</t>
  </si>
  <si>
    <t>$25.00</t>
  </si>
  <si>
    <t>Browseblab</t>
  </si>
  <si>
    <t>5 Colorado Park</t>
  </si>
  <si>
    <t>48-289-0604</t>
  </si>
  <si>
    <t>94-261-1193</t>
  </si>
  <si>
    <t>6/20/2024</t>
  </si>
  <si>
    <t>White Rice</t>
  </si>
  <si>
    <t>Tagcat</t>
  </si>
  <si>
    <t>3053 Sachs Center</t>
  </si>
  <si>
    <t>21-809-7115</t>
  </si>
  <si>
    <t>57-774-4116</t>
  </si>
  <si>
    <t>2/24/2025</t>
  </si>
  <si>
    <t>Long Grain Rice</t>
  </si>
  <si>
    <t>Flashspan</t>
  </si>
  <si>
    <t>49263 Graceland Pass</t>
  </si>
  <si>
    <t>84-269-9130</t>
  </si>
  <si>
    <t>88-615-2915</t>
  </si>
  <si>
    <t>9/27/2024</t>
  </si>
  <si>
    <t>Devcast</t>
  </si>
  <si>
    <t>865 Eagle Crest Park</t>
  </si>
  <si>
    <t>54-758-4622</t>
  </si>
  <si>
    <t>94-903-2643</t>
  </si>
  <si>
    <t>Livepath</t>
  </si>
  <si>
    <t>36124 Carberry Junction</t>
  </si>
  <si>
    <t>65-867-4029</t>
  </si>
  <si>
    <t>70-591-9841</t>
  </si>
  <si>
    <t>Rye Bread</t>
  </si>
  <si>
    <t>Brainlounge</t>
  </si>
  <si>
    <t>6 Haas Circle</t>
  </si>
  <si>
    <t>24-310-9184</t>
  </si>
  <si>
    <t>69-378-2045</t>
  </si>
  <si>
    <t>Egg (Goose)</t>
  </si>
  <si>
    <t>Gabvine</t>
  </si>
  <si>
    <t>292 Utah Street</t>
  </si>
  <si>
    <t>53-930-2215</t>
  </si>
  <si>
    <t>42-210-6541</t>
  </si>
  <si>
    <t>Brown Rice</t>
  </si>
  <si>
    <t>Viva</t>
  </si>
  <si>
    <t>7403 Fuller Hill</t>
  </si>
  <si>
    <t>94-598-3383</t>
  </si>
  <si>
    <t>39-488-0039</t>
  </si>
  <si>
    <t>2696 Katie Road</t>
  </si>
  <si>
    <t>83-625-3618</t>
  </si>
  <si>
    <t>64-528-9996</t>
  </si>
  <si>
    <t>Browsetype</t>
  </si>
  <si>
    <t>86207 Tennyson Parkway</t>
  </si>
  <si>
    <t>13-844-2178</t>
  </si>
  <si>
    <t>66-832-1802</t>
  </si>
  <si>
    <t>3/24/2024</t>
  </si>
  <si>
    <t>Black Coffee</t>
  </si>
  <si>
    <t>57 Di Loreto Circle</t>
  </si>
  <si>
    <t>05-184-4175</t>
  </si>
  <si>
    <t>31-676-5646</t>
  </si>
  <si>
    <t>10/23/2024</t>
  </si>
  <si>
    <t>$15.00</t>
  </si>
  <si>
    <t>Fivebridge</t>
  </si>
  <si>
    <t>9 Kipling Road</t>
  </si>
  <si>
    <t>89-335-0155</t>
  </si>
  <si>
    <t>83-780-4531</t>
  </si>
  <si>
    <t>White Sugar</t>
  </si>
  <si>
    <t>1309 Elka Junction</t>
  </si>
  <si>
    <t>38-417-4656</t>
  </si>
  <si>
    <t>57-202-5756</t>
  </si>
  <si>
    <t>4/13/2024</t>
  </si>
  <si>
    <t>Photobean</t>
  </si>
  <si>
    <t>744 Lakewood Gardens Crossing</t>
  </si>
  <si>
    <t>74-305-1263</t>
  </si>
  <si>
    <t>83-076-5024</t>
  </si>
  <si>
    <t>Egg (Quail)</t>
  </si>
  <si>
    <t>Realpoint</t>
  </si>
  <si>
    <t>895 Northland Hill</t>
  </si>
  <si>
    <t>02-508-3777</t>
  </si>
  <si>
    <t>69-933-2582</t>
  </si>
  <si>
    <t>6/26/2024</t>
  </si>
  <si>
    <t>$0.80</t>
  </si>
  <si>
    <t>Herbal Tea</t>
  </si>
  <si>
    <t>Pixonyx</t>
  </si>
  <si>
    <t>26175 Oxford Way</t>
  </si>
  <si>
    <t>79-136-9840</t>
  </si>
  <si>
    <t>07-809-0926</t>
  </si>
  <si>
    <t>6/23/2024</t>
  </si>
  <si>
    <t>$30.00</t>
  </si>
  <si>
    <t>Coconut Oil</t>
  </si>
  <si>
    <t>95 Packers Lane</t>
  </si>
  <si>
    <t>35-299-0889</t>
  </si>
  <si>
    <t>16-776-9987</t>
  </si>
  <si>
    <t>4/21/2024</t>
  </si>
  <si>
    <t>Blogtags</t>
  </si>
  <si>
    <t>9 Clemons Hill</t>
  </si>
  <si>
    <t>41-594-5069</t>
  </si>
  <si>
    <t>45-471-5053</t>
  </si>
  <si>
    <t>Buttermilk</t>
  </si>
  <si>
    <t>Zoombox</t>
  </si>
  <si>
    <t>84336 Haas Place</t>
  </si>
  <si>
    <t>83-553-9523</t>
  </si>
  <si>
    <t>89-976-4338</t>
  </si>
  <si>
    <t>2/14/2025</t>
  </si>
  <si>
    <t>1/28/2025</t>
  </si>
  <si>
    <t>63787 Arkansas Street</t>
  </si>
  <si>
    <t>44-112-3331</t>
  </si>
  <si>
    <t>90-453-4096</t>
  </si>
  <si>
    <t>Skalith</t>
  </si>
  <si>
    <t>54706 Prairieview Point</t>
  </si>
  <si>
    <t>93-198-5984</t>
  </si>
  <si>
    <t>86-441-7850</t>
  </si>
  <si>
    <t>9/17/2024</t>
  </si>
  <si>
    <t>901 Norway Maple Crossing</t>
  </si>
  <si>
    <t>73-874-7534</t>
  </si>
  <si>
    <t>12-566-2563</t>
  </si>
  <si>
    <t>12/18/2024</t>
  </si>
  <si>
    <t>Evaporated Milk</t>
  </si>
  <si>
    <t>Demivee</t>
  </si>
  <si>
    <t>55309 6th Junction</t>
  </si>
  <si>
    <t>18-107-7886</t>
  </si>
  <si>
    <t>11-466-3182</t>
  </si>
  <si>
    <t>2/27/2024</t>
  </si>
  <si>
    <t>Jetwire</t>
  </si>
  <si>
    <t>6808 Chinook Parkway</t>
  </si>
  <si>
    <t>63-956-0739</t>
  </si>
  <si>
    <t>17-123-1252</t>
  </si>
  <si>
    <t>2/21/2025</t>
  </si>
  <si>
    <t>12/22/2024</t>
  </si>
  <si>
    <t>61707 Mariners Cove Park</t>
  </si>
  <si>
    <t>26-177-5690</t>
  </si>
  <si>
    <t>06-708-1412</t>
  </si>
  <si>
    <t>7/15/2024</t>
  </si>
  <si>
    <t>1/21/2025</t>
  </si>
  <si>
    <t>Powdered Sugar</t>
  </si>
  <si>
    <t>Devbug</t>
  </si>
  <si>
    <t>502 Sachs Circle</t>
  </si>
  <si>
    <t>47-749-3277</t>
  </si>
  <si>
    <t>96-551-3929</t>
  </si>
  <si>
    <t>2/29/2024</t>
  </si>
  <si>
    <t>9/13/2024</t>
  </si>
  <si>
    <t>Cod</t>
  </si>
  <si>
    <t>Kwimbee</t>
  </si>
  <si>
    <t>46 Colorado Place</t>
  </si>
  <si>
    <t>57-763-5501</t>
  </si>
  <si>
    <t>25-790-1641</t>
  </si>
  <si>
    <t>$8.00</t>
  </si>
  <si>
    <t>Voonyx</t>
  </si>
  <si>
    <t>00397 Bay Terrace</t>
  </si>
  <si>
    <t>90-230-9767</t>
  </si>
  <si>
    <t>70-515-9048</t>
  </si>
  <si>
    <t>11/17/2024</t>
  </si>
  <si>
    <t>Gigashots</t>
  </si>
  <si>
    <t>7 Bonner Terrace</t>
  </si>
  <si>
    <t>19-214-5762</t>
  </si>
  <si>
    <t>88-108-3774</t>
  </si>
  <si>
    <t>10/13/2024</t>
  </si>
  <si>
    <t>6292 Chive Street</t>
  </si>
  <si>
    <t>74-642-2435</t>
  </si>
  <si>
    <t>52-012-3409</t>
  </si>
  <si>
    <t>12/28/2024</t>
  </si>
  <si>
    <t>0023 Upham Road</t>
  </si>
  <si>
    <t>47-221-3391</t>
  </si>
  <si>
    <t>21-450-5520</t>
  </si>
  <si>
    <t>0 Moose Lane</t>
  </si>
  <si>
    <t>87-104-0187</t>
  </si>
  <si>
    <t>41-881-1166</t>
  </si>
  <si>
    <t>4 Nelson Alley</t>
  </si>
  <si>
    <t>87-272-6544</t>
  </si>
  <si>
    <t>93-699-8001</t>
  </si>
  <si>
    <t>2/13/2025</t>
  </si>
  <si>
    <t>Podcat</t>
  </si>
  <si>
    <t>84 Rusk Terrace</t>
  </si>
  <si>
    <t>06-340-6856</t>
  </si>
  <si>
    <t>11-005-7835</t>
  </si>
  <si>
    <t>11/25/2024</t>
  </si>
  <si>
    <t>Wordware</t>
  </si>
  <si>
    <t>662 Vernon Point</t>
  </si>
  <si>
    <t>80-020-8041</t>
  </si>
  <si>
    <t>66-684-1941</t>
  </si>
  <si>
    <t>Kiwi</t>
  </si>
  <si>
    <t>Zooveo</t>
  </si>
  <si>
    <t>42719 Milwaukee Avenue</t>
  </si>
  <si>
    <t>48-461-3742</t>
  </si>
  <si>
    <t>78-381-5054</t>
  </si>
  <si>
    <t>5/17/2024</t>
  </si>
  <si>
    <t>Vimbo</t>
  </si>
  <si>
    <t>86 Corben Crossing</t>
  </si>
  <si>
    <t>78-362-8578</t>
  </si>
  <si>
    <t>57-633-6273</t>
  </si>
  <si>
    <t>Haddock</t>
  </si>
  <si>
    <t>1 Monica Lane</t>
  </si>
  <si>
    <t>60-550-4771</t>
  </si>
  <si>
    <t>24-568-9517</t>
  </si>
  <si>
    <t>Feedfire</t>
  </si>
  <si>
    <t>321 Barby Parkway</t>
  </si>
  <si>
    <t>11-155-7826</t>
  </si>
  <si>
    <t>91-788-3177</t>
  </si>
  <si>
    <t>12/26/2024</t>
  </si>
  <si>
    <t>Bluejam</t>
  </si>
  <si>
    <t>093 Anhalt Crossing</t>
  </si>
  <si>
    <t>42-907-6946</t>
  </si>
  <si>
    <t>32-386-9832</t>
  </si>
  <si>
    <t>8/31/2024</t>
  </si>
  <si>
    <t>Tomato</t>
  </si>
  <si>
    <t>Demimbu</t>
  </si>
  <si>
    <t>43 Lakewood Junction</t>
  </si>
  <si>
    <t>99-048-8310</t>
  </si>
  <si>
    <t>70-453-8646</t>
  </si>
  <si>
    <t>Gouda Cheese</t>
  </si>
  <si>
    <t>Kamba</t>
  </si>
  <si>
    <t>6151 Forster Drive</t>
  </si>
  <si>
    <t>85-440-3667</t>
  </si>
  <si>
    <t>00-680-5333</t>
  </si>
  <si>
    <t>Quire</t>
  </si>
  <si>
    <t>76 Fisk Park</t>
  </si>
  <si>
    <t>93-571-7294</t>
  </si>
  <si>
    <t>77-842-0920</t>
  </si>
  <si>
    <t>5/22/2024</t>
  </si>
  <si>
    <t>$4.35</t>
  </si>
  <si>
    <t>Spinach</t>
  </si>
  <si>
    <t>58 Corscot Terrace</t>
  </si>
  <si>
    <t>82-977-7752</t>
  </si>
  <si>
    <t>57-473-8672</t>
  </si>
  <si>
    <t>0 Larry Terrace</t>
  </si>
  <si>
    <t>76-476-9996</t>
  </si>
  <si>
    <t>88-428-6227</t>
  </si>
  <si>
    <t>1/14/2025</t>
  </si>
  <si>
    <t>Canola Oil</t>
  </si>
  <si>
    <t>20 Butterfield Lane</t>
  </si>
  <si>
    <t>50-679-2072</t>
  </si>
  <si>
    <t>81-588-5701</t>
  </si>
  <si>
    <t>$2.30</t>
  </si>
  <si>
    <t>591 Maple Wood Drive</t>
  </si>
  <si>
    <t>50-329-3145</t>
  </si>
  <si>
    <t>88-418-3855</t>
  </si>
  <si>
    <t>12/20/2024</t>
  </si>
  <si>
    <t>336 Old Shore Lane</t>
  </si>
  <si>
    <t>52-392-5312</t>
  </si>
  <si>
    <t>78-092-4768</t>
  </si>
  <si>
    <t>7/24/2024</t>
  </si>
  <si>
    <t>Basmati Rice</t>
  </si>
  <si>
    <t>6500 Raven Drive</t>
  </si>
  <si>
    <t>47-663-5703</t>
  </si>
  <si>
    <t>52-062-2916</t>
  </si>
  <si>
    <t>6/14/2024</t>
  </si>
  <si>
    <t>9/14/2024</t>
  </si>
  <si>
    <t>Ozu</t>
  </si>
  <si>
    <t>96 American Ash Center</t>
  </si>
  <si>
    <t>58-122-2282</t>
  </si>
  <si>
    <t>55-773-9118</t>
  </si>
  <si>
    <t>6/30/2024</t>
  </si>
  <si>
    <t>Avamm</t>
  </si>
  <si>
    <t>12 Rigney Street</t>
  </si>
  <si>
    <t>84-151-2114</t>
  </si>
  <si>
    <t>79-704-1471</t>
  </si>
  <si>
    <t>Roomm</t>
  </si>
  <si>
    <t>2718 Londonderry Plaza</t>
  </si>
  <si>
    <t>93-682-2069</t>
  </si>
  <si>
    <t>60-038-7810</t>
  </si>
  <si>
    <t>41 Stephen Crossing</t>
  </si>
  <si>
    <t>48-789-9187</t>
  </si>
  <si>
    <t>95-944-5323</t>
  </si>
  <si>
    <t>11/15/2024</t>
  </si>
  <si>
    <t>Oatmeal Biscuit</t>
  </si>
  <si>
    <t>9269 Main Trail</t>
  </si>
  <si>
    <t>85-806-0613</t>
  </si>
  <si>
    <t>06-286-2758</t>
  </si>
  <si>
    <t>4/26/2024</t>
  </si>
  <si>
    <t>Wikido</t>
  </si>
  <si>
    <t>620 Mockingbird Pass</t>
  </si>
  <si>
    <t>19-244-9890</t>
  </si>
  <si>
    <t>98-107-0604</t>
  </si>
  <si>
    <t>37973 Parkside Junction</t>
  </si>
  <si>
    <t>60-285-3783</t>
  </si>
  <si>
    <t>58-827-9061</t>
  </si>
  <si>
    <t>Wikibox</t>
  </si>
  <si>
    <t>18 Comanche Junction</t>
  </si>
  <si>
    <t>34-547-0827</t>
  </si>
  <si>
    <t>30-853-8580</t>
  </si>
  <si>
    <t>1/17/2025</t>
  </si>
  <si>
    <t>Meejo</t>
  </si>
  <si>
    <t>30968 Anzinger Court</t>
  </si>
  <si>
    <t>06-731-2162</t>
  </si>
  <si>
    <t>17-546-8875</t>
  </si>
  <si>
    <t>Omba</t>
  </si>
  <si>
    <t>339 Paget Place</t>
  </si>
  <si>
    <t>48-193-1199</t>
  </si>
  <si>
    <t>63-924-5144</t>
  </si>
  <si>
    <t>12/24/2024</t>
  </si>
  <si>
    <t>Wordtune</t>
  </si>
  <si>
    <t>2693 6th Court</t>
  </si>
  <si>
    <t>40-003-7322</t>
  </si>
  <si>
    <t>41-644-3129</t>
  </si>
  <si>
    <t>Riffwire</t>
  </si>
  <si>
    <t>1 Elmside Parkway</t>
  </si>
  <si>
    <t>91-417-0366</t>
  </si>
  <si>
    <t>28-442-2578</t>
  </si>
  <si>
    <t>5325 Milwaukee Lane</t>
  </si>
  <si>
    <t>24-571-1080</t>
  </si>
  <si>
    <t>07-520-1107</t>
  </si>
  <si>
    <t>Yodoo</t>
  </si>
  <si>
    <t>38 Superior Road</t>
  </si>
  <si>
    <t>22-083-3347</t>
  </si>
  <si>
    <t>01-431-7544</t>
  </si>
  <si>
    <t>4/29/2024</t>
  </si>
  <si>
    <t>4/30/2024</t>
  </si>
  <si>
    <t>Talane</t>
  </si>
  <si>
    <t>96629 Nova Plaza</t>
  </si>
  <si>
    <t>09-101-1740</t>
  </si>
  <si>
    <t>63-836-1262</t>
  </si>
  <si>
    <t>Photobug</t>
  </si>
  <si>
    <t>657 Texas Street</t>
  </si>
  <si>
    <t>17-274-6898</t>
  </si>
  <si>
    <t>34-738-1209</t>
  </si>
  <si>
    <t>3/22/2024</t>
  </si>
  <si>
    <t>Dabshots</t>
  </si>
  <si>
    <t>17 Reinke Circle</t>
  </si>
  <si>
    <t>38-655-2312</t>
  </si>
  <si>
    <t>91-127-7174</t>
  </si>
  <si>
    <t>3 Bellgrove Way</t>
  </si>
  <si>
    <t>60-327-4114</t>
  </si>
  <si>
    <t>59-968-8346</t>
  </si>
  <si>
    <t>Green Beans</t>
  </si>
  <si>
    <t>00 Ridgeway Plaza</t>
  </si>
  <si>
    <t>54-281-3746</t>
  </si>
  <si>
    <t>08-824-4585</t>
  </si>
  <si>
    <t>42 Bunker Hill Junction</t>
  </si>
  <si>
    <t>25-349-7974</t>
  </si>
  <si>
    <t>82-737-6019</t>
  </si>
  <si>
    <t>6/22/2024</t>
  </si>
  <si>
    <t>701 Logan Court</t>
  </si>
  <si>
    <t>16-380-0753</t>
  </si>
  <si>
    <t>24-603-5521</t>
  </si>
  <si>
    <t>5/16/2024</t>
  </si>
  <si>
    <t>6 Lillian Junction</t>
  </si>
  <si>
    <t>38-049-9319</t>
  </si>
  <si>
    <t>90-447-5123</t>
  </si>
  <si>
    <t>72 Crownhardt Circle</t>
  </si>
  <si>
    <t>50-329-3360</t>
  </si>
  <si>
    <t>85-594-2570</t>
  </si>
  <si>
    <t>8/25/2024</t>
  </si>
  <si>
    <t>8524 Shelley Way</t>
  </si>
  <si>
    <t>19-610-2236</t>
  </si>
  <si>
    <t>53-799-3174</t>
  </si>
  <si>
    <t>Skippad</t>
  </si>
  <si>
    <t>9 Meadow Ridge Center</t>
  </si>
  <si>
    <t>46-632-8420</t>
  </si>
  <si>
    <t>27-996-8883</t>
  </si>
  <si>
    <t>5/23/2024</t>
  </si>
  <si>
    <t>$4.10</t>
  </si>
  <si>
    <t>Apple</t>
  </si>
  <si>
    <t>Jabbersphere</t>
  </si>
  <si>
    <t>2 Hooker Terrace</t>
  </si>
  <si>
    <t>14-836-2894</t>
  </si>
  <si>
    <t>82-157-4299</t>
  </si>
  <si>
    <t>Peas</t>
  </si>
  <si>
    <t>Youbridge</t>
  </si>
  <si>
    <t>56 Esker Park</t>
  </si>
  <si>
    <t>08-196-2703</t>
  </si>
  <si>
    <t>34-315-1199</t>
  </si>
  <si>
    <t>236 Gateway Lane</t>
  </si>
  <si>
    <t>87-097-5691</t>
  </si>
  <si>
    <t>26-213-7885</t>
  </si>
  <si>
    <t>8/29/2024</t>
  </si>
  <si>
    <t>3/26/2024</t>
  </si>
  <si>
    <t>2 Sunbrook Lane</t>
  </si>
  <si>
    <t>04-453-5485</t>
  </si>
  <si>
    <t>43-880-2879</t>
  </si>
  <si>
    <t>Cottage Cheese</t>
  </si>
  <si>
    <t>6172 Hovde Circle</t>
  </si>
  <si>
    <t>82-678-8097</t>
  </si>
  <si>
    <t>65-403-0311</t>
  </si>
  <si>
    <t>Bubblemix</t>
  </si>
  <si>
    <t>4 Sundown Place</t>
  </si>
  <si>
    <t>43-703-9939</t>
  </si>
  <si>
    <t>69-928-4929</t>
  </si>
  <si>
    <t>2/17/2025</t>
  </si>
  <si>
    <t>Multigrain Bread</t>
  </si>
  <si>
    <t>8 Mayer Trail</t>
  </si>
  <si>
    <t>28-433-8533</t>
  </si>
  <si>
    <t>81-694-0300</t>
  </si>
  <si>
    <t>$3.20</t>
  </si>
  <si>
    <t>2 Veith Crossing</t>
  </si>
  <si>
    <t>74-234-0628</t>
  </si>
  <si>
    <t>49-559-7092</t>
  </si>
  <si>
    <t>12/15/2024</t>
  </si>
  <si>
    <t>5/13/2024</t>
  </si>
  <si>
    <t>880 Calypso Road</t>
  </si>
  <si>
    <t>02-888-9412</t>
  </si>
  <si>
    <t>22-307-4653</t>
  </si>
  <si>
    <t>$2.48</t>
  </si>
  <si>
    <t>44051 Old Shore Junction</t>
  </si>
  <si>
    <t>80-658-6456</t>
  </si>
  <si>
    <t>42-080-6579</t>
  </si>
  <si>
    <t>Reallinks</t>
  </si>
  <si>
    <t>2446 Anhalt Way</t>
  </si>
  <si>
    <t>70-587-1204</t>
  </si>
  <si>
    <t>41-399-9203</t>
  </si>
  <si>
    <t>5 Anderson Trail</t>
  </si>
  <si>
    <t>88-951-9038</t>
  </si>
  <si>
    <t>14-713-5795</t>
  </si>
  <si>
    <t>70156 7th Junction</t>
  </si>
  <si>
    <t>45-317-9731</t>
  </si>
  <si>
    <t>05-779-0378</t>
  </si>
  <si>
    <t>183 Buell Park</t>
  </si>
  <si>
    <t>63-874-9747</t>
  </si>
  <si>
    <t>22-506-4911</t>
  </si>
  <si>
    <t>832 Goodland Alley</t>
  </si>
  <si>
    <t>44-546-5713</t>
  </si>
  <si>
    <t>61-382-5182</t>
  </si>
  <si>
    <t>836 Brown Alley</t>
  </si>
  <si>
    <t>23-070-2433</t>
  </si>
  <si>
    <t>82-235-9317</t>
  </si>
  <si>
    <t>InnoZ</t>
  </si>
  <si>
    <t>10997 Dexter Parkway</t>
  </si>
  <si>
    <t>91-257-3672</t>
  </si>
  <si>
    <t>30-438-6295</t>
  </si>
  <si>
    <t>154 Delladonna Hill</t>
  </si>
  <si>
    <t>69-561-2496</t>
  </si>
  <si>
    <t>38-790-7081</t>
  </si>
  <si>
    <t>3/18/2024</t>
  </si>
  <si>
    <t>$15.31</t>
  </si>
  <si>
    <t>Tekfly</t>
  </si>
  <si>
    <t>07855 Goodland Lane</t>
  </si>
  <si>
    <t>87-013-6488</t>
  </si>
  <si>
    <t>77-471-0792</t>
  </si>
  <si>
    <t>10/26/2024</t>
  </si>
  <si>
    <t>4/14/2024</t>
  </si>
  <si>
    <t>993 Kensington Drive</t>
  </si>
  <si>
    <t>31-969-4614</t>
  </si>
  <si>
    <t>83-104-8425</t>
  </si>
  <si>
    <t>Miboo</t>
  </si>
  <si>
    <t>779 Ridgeway Street</t>
  </si>
  <si>
    <t>96-209-1739</t>
  </si>
  <si>
    <t>82-930-7733</t>
  </si>
  <si>
    <t>Mydeo</t>
  </si>
  <si>
    <t>81878 Nobel Point</t>
  </si>
  <si>
    <t>20-022-3173</t>
  </si>
  <si>
    <t>54-188-1006</t>
  </si>
  <si>
    <t>2/22/2025</t>
  </si>
  <si>
    <t>6 Charing Cross Circle</t>
  </si>
  <si>
    <t>44-552-3909</t>
  </si>
  <si>
    <t>80-863-1186</t>
  </si>
  <si>
    <t>2/26/2024</t>
  </si>
  <si>
    <t>1/19/2025</t>
  </si>
  <si>
    <t>Zoomzone</t>
  </si>
  <si>
    <t>1519 Delaware Court</t>
  </si>
  <si>
    <t>40-902-1995</t>
  </si>
  <si>
    <t>86-879-7811</t>
  </si>
  <si>
    <t>2 Fair Oaks Pass</t>
  </si>
  <si>
    <t>07-846-4804</t>
  </si>
  <si>
    <t>30-605-2164</t>
  </si>
  <si>
    <t>Jaxworks</t>
  </si>
  <si>
    <t>18 Daystar Parkway</t>
  </si>
  <si>
    <t>17-504-3699</t>
  </si>
  <si>
    <t>81-276-8218</t>
  </si>
  <si>
    <t>Feedbug</t>
  </si>
  <si>
    <t>7 Spohn Avenue</t>
  </si>
  <si>
    <t>55-522-8242</t>
  </si>
  <si>
    <t>48-884-5431</t>
  </si>
  <si>
    <t>Chatterpoint</t>
  </si>
  <si>
    <t>39 Dahle Alley</t>
  </si>
  <si>
    <t>17-022-9721</t>
  </si>
  <si>
    <t>59-629-0798</t>
  </si>
  <si>
    <t>Skibox</t>
  </si>
  <si>
    <t>27408 Burning Wood Street</t>
  </si>
  <si>
    <t>03-940-0630</t>
  </si>
  <si>
    <t>49-762-8263</t>
  </si>
  <si>
    <t>10/31/2024</t>
  </si>
  <si>
    <t>3 Westerfield Crossing</t>
  </si>
  <si>
    <t>71-594-6552</t>
  </si>
  <si>
    <t>63-492-7603</t>
  </si>
  <si>
    <t>4/17/2024</t>
  </si>
  <si>
    <t>5756 Stephen Avenue</t>
  </si>
  <si>
    <t>20-225-3930</t>
  </si>
  <si>
    <t>73-069-2753</t>
  </si>
  <si>
    <t>Flipopia</t>
  </si>
  <si>
    <t>84239 Meadow Vale Trail</t>
  </si>
  <si>
    <t>53-151-5726</t>
  </si>
  <si>
    <t>93-180-4005</t>
  </si>
  <si>
    <t>Skidoo</t>
  </si>
  <si>
    <t>4784 Farmco Alley</t>
  </si>
  <si>
    <t>77-777-4536</t>
  </si>
  <si>
    <t>64-396-5538</t>
  </si>
  <si>
    <t>$4.40</t>
  </si>
  <si>
    <t>79 Monterey Avenue</t>
  </si>
  <si>
    <t>07-834-3320</t>
  </si>
  <si>
    <t>47-831-9154</t>
  </si>
  <si>
    <t>9/20/2024</t>
  </si>
  <si>
    <t>Youopia</t>
  </si>
  <si>
    <t>587 Vermont Terrace</t>
  </si>
  <si>
    <t>51-761-6320</t>
  </si>
  <si>
    <t>28-461-1136</t>
  </si>
  <si>
    <t>983 Sommers Circle</t>
  </si>
  <si>
    <t>34-291-4939</t>
  </si>
  <si>
    <t>39-284-1614</t>
  </si>
  <si>
    <t>11/24/2024</t>
  </si>
  <si>
    <t>51890 Lindbergh Terrace</t>
  </si>
  <si>
    <t>67-025-1245</t>
  </si>
  <si>
    <t>28-575-0716</t>
  </si>
  <si>
    <t>Thoughtbeat</t>
  </si>
  <si>
    <t>95 Kingsford Terrace</t>
  </si>
  <si>
    <t>63-936-0145</t>
  </si>
  <si>
    <t>69-415-3675</t>
  </si>
  <si>
    <t>Potato</t>
  </si>
  <si>
    <t>Thoughtbridge</t>
  </si>
  <si>
    <t>12710 Gulseth Circle</t>
  </si>
  <si>
    <t>27-495-1912</t>
  </si>
  <si>
    <t>34-667-8907</t>
  </si>
  <si>
    <t>5/24/2024</t>
  </si>
  <si>
    <t>$1.20</t>
  </si>
  <si>
    <t>Babbleopia</t>
  </si>
  <si>
    <t>1 Westport Crossing</t>
  </si>
  <si>
    <t>47-554-5780</t>
  </si>
  <si>
    <t>62-979-5038</t>
  </si>
  <si>
    <t>84305 Fair Oaks Plaza</t>
  </si>
  <si>
    <t>21-013-3508</t>
  </si>
  <si>
    <t>64-489-8494</t>
  </si>
  <si>
    <t>15 Oriole Park</t>
  </si>
  <si>
    <t>39-913-2999</t>
  </si>
  <si>
    <t>74-119-8973</t>
  </si>
  <si>
    <t>Vidoo</t>
  </si>
  <si>
    <t>43442 Homewood Street</t>
  </si>
  <si>
    <t>82-395-5070</t>
  </si>
  <si>
    <t>01-801-9502</t>
  </si>
  <si>
    <t>2/20/2025</t>
  </si>
  <si>
    <t>56830 Fremont Road</t>
  </si>
  <si>
    <t>62-100-2245</t>
  </si>
  <si>
    <t>18-110-8314</t>
  </si>
  <si>
    <t>$4.20</t>
  </si>
  <si>
    <t>10 Golf Course Hill</t>
  </si>
  <si>
    <t>09-712-3630</t>
  </si>
  <si>
    <t>17-807-6972</t>
  </si>
  <si>
    <t>9/30/2024</t>
  </si>
  <si>
    <t>Topicblab</t>
  </si>
  <si>
    <t>357 Maple Park</t>
  </si>
  <si>
    <t>25-010-9478</t>
  </si>
  <si>
    <t>24-576-3402</t>
  </si>
  <si>
    <t>Halibut</t>
  </si>
  <si>
    <t>7 Riverside Road</t>
  </si>
  <si>
    <t>03-919-9890</t>
  </si>
  <si>
    <t>69-289-8783</t>
  </si>
  <si>
    <t>7/25/2024</t>
  </si>
  <si>
    <t>Salmon</t>
  </si>
  <si>
    <t>4353 Dixon Circle</t>
  </si>
  <si>
    <t>61-293-6327</t>
  </si>
  <si>
    <t>00-023-7719</t>
  </si>
  <si>
    <t>12/29/2024</t>
  </si>
  <si>
    <t>Broccoli</t>
  </si>
  <si>
    <t>Abatz</t>
  </si>
  <si>
    <t>89 Karstens Alley</t>
  </si>
  <si>
    <t>08-519-5579</t>
  </si>
  <si>
    <t>32-178-2765</t>
  </si>
  <si>
    <t>Kimia</t>
  </si>
  <si>
    <t>898 Rowland Trail</t>
  </si>
  <si>
    <t>00-366-9496</t>
  </si>
  <si>
    <t>40-515-1141</t>
  </si>
  <si>
    <t>92655 Pond Park</t>
  </si>
  <si>
    <t>28-840-6096</t>
  </si>
  <si>
    <t>15-444-8224</t>
  </si>
  <si>
    <t>Eidel</t>
  </si>
  <si>
    <t>403 Loomis Way</t>
  </si>
  <si>
    <t>04-542-3863</t>
  </si>
  <si>
    <t>55-952-9832</t>
  </si>
  <si>
    <t>Jayo</t>
  </si>
  <si>
    <t>87784 Blaine Way</t>
  </si>
  <si>
    <t>18-199-5799</t>
  </si>
  <si>
    <t>76-870-2139</t>
  </si>
  <si>
    <t>4/28/2024</t>
  </si>
  <si>
    <t>Youtags</t>
  </si>
  <si>
    <t>32 Cottonwood Pass</t>
  </si>
  <si>
    <t>56-875-3717</t>
  </si>
  <si>
    <t>39-257-6162</t>
  </si>
  <si>
    <t>Kazu</t>
  </si>
  <si>
    <t>890 Eggendart Pass</t>
  </si>
  <si>
    <t>25-522-6043</t>
  </si>
  <si>
    <t>29-122-7037</t>
  </si>
  <si>
    <t>Quaxo</t>
  </si>
  <si>
    <t>4 Duke Way</t>
  </si>
  <si>
    <t>27-459-0724</t>
  </si>
  <si>
    <t>45-331-8563</t>
  </si>
  <si>
    <t>Corn Oil</t>
  </si>
  <si>
    <t>7 Gateway Center</t>
  </si>
  <si>
    <t>75-080-4909</t>
  </si>
  <si>
    <t>34-726-5887</t>
  </si>
  <si>
    <t>Tagtune</t>
  </si>
  <si>
    <t>459 Gateway Pass</t>
  </si>
  <si>
    <t>07-970-9352</t>
  </si>
  <si>
    <t>14-724-4622</t>
  </si>
  <si>
    <t>$4.45</t>
  </si>
  <si>
    <t>4929 Westend Point</t>
  </si>
  <si>
    <t>26-134-9069</t>
  </si>
  <si>
    <t>80-068-0825</t>
  </si>
  <si>
    <t>1/30/2025</t>
  </si>
  <si>
    <t>Cogibox</t>
  </si>
  <si>
    <t>160 Crowley Center</t>
  </si>
  <si>
    <t>08-396-2704</t>
  </si>
  <si>
    <t>94-186-9620</t>
  </si>
  <si>
    <t>62494 Longview Drive</t>
  </si>
  <si>
    <t>24-975-4231</t>
  </si>
  <si>
    <t>99-145-4924</t>
  </si>
  <si>
    <t>$2.10</t>
  </si>
  <si>
    <t>8499 Hanover Terrace</t>
  </si>
  <si>
    <t>28-197-9246</t>
  </si>
  <si>
    <t>31-281-2352</t>
  </si>
  <si>
    <t>48788 Chinook Place</t>
  </si>
  <si>
    <t>77-013-1553</t>
  </si>
  <si>
    <t>42-252-5861</t>
  </si>
  <si>
    <t>Linktype</t>
  </si>
  <si>
    <t>26266 Esker Point</t>
  </si>
  <si>
    <t>83-716-2177</t>
  </si>
  <si>
    <t>79-518-8344</t>
  </si>
  <si>
    <t>6410 Northwestern Pass</t>
  </si>
  <si>
    <t>55-164-7723</t>
  </si>
  <si>
    <t>85-454-9252</t>
  </si>
  <si>
    <t>0782 Dapin Avenue</t>
  </si>
  <si>
    <t>22-778-3553</t>
  </si>
  <si>
    <t>49-590-1752</t>
  </si>
  <si>
    <t>Voolith</t>
  </si>
  <si>
    <t>8 Thackeray Drive</t>
  </si>
  <si>
    <t>14-331-3739</t>
  </si>
  <si>
    <t>87-159-6467</t>
  </si>
  <si>
    <t>Jaxspan</t>
  </si>
  <si>
    <t>5 Forest Run Way</t>
  </si>
  <si>
    <t>47-578-4161</t>
  </si>
  <si>
    <t>96-001-5429</t>
  </si>
  <si>
    <t>Blognation</t>
  </si>
  <si>
    <t>230 Tony Court</t>
  </si>
  <si>
    <t>59-857-6577</t>
  </si>
  <si>
    <t>57-569-7172</t>
  </si>
  <si>
    <t>545 Linden Alley</t>
  </si>
  <si>
    <t>02-559-8196</t>
  </si>
  <si>
    <t>44-495-6660</t>
  </si>
  <si>
    <t>$5.20</t>
  </si>
  <si>
    <t>Meetz</t>
  </si>
  <si>
    <t>521 Burning Wood Trail</t>
  </si>
  <si>
    <t>13-900-9016</t>
  </si>
  <si>
    <t>63-969-9608</t>
  </si>
  <si>
    <t>9/19/2024</t>
  </si>
  <si>
    <t>Strawberries</t>
  </si>
  <si>
    <t>3 Buhler Place</t>
  </si>
  <si>
    <t>15-144-9413</t>
  </si>
  <si>
    <t>08-912-0895</t>
  </si>
  <si>
    <t>7/29/2024</t>
  </si>
  <si>
    <t>$5.90</t>
  </si>
  <si>
    <t>Layo</t>
  </si>
  <si>
    <t>23704 Algoma Park</t>
  </si>
  <si>
    <t>65-527-9488</t>
  </si>
  <si>
    <t>23-482-0516</t>
  </si>
  <si>
    <t>Eabox</t>
  </si>
  <si>
    <t>62 Thackeray Center</t>
  </si>
  <si>
    <t>74-818-3306</t>
  </si>
  <si>
    <t>75-536-2986</t>
  </si>
  <si>
    <t>7/27/2024</t>
  </si>
  <si>
    <t>Green Tea</t>
  </si>
  <si>
    <t>5306 Arkansas Avenue</t>
  </si>
  <si>
    <t>60-198-7050</t>
  </si>
  <si>
    <t>27-493-6787</t>
  </si>
  <si>
    <t>Swiss Cheese</t>
  </si>
  <si>
    <t>285 1st Park</t>
  </si>
  <si>
    <t>82-041-7211</t>
  </si>
  <si>
    <t>03-615-0558</t>
  </si>
  <si>
    <t>379 Duke Court</t>
  </si>
  <si>
    <t>17-002-4721</t>
  </si>
  <si>
    <t>38-310-4533</t>
  </si>
  <si>
    <t>2/18/2025</t>
  </si>
  <si>
    <t>10/29/2024</t>
  </si>
  <si>
    <t>Cherry</t>
  </si>
  <si>
    <t>07 Maple Wood Drive</t>
  </si>
  <si>
    <t>74-404-0582</t>
  </si>
  <si>
    <t>31-628-6696</t>
  </si>
  <si>
    <t>11/20/2024</t>
  </si>
  <si>
    <t>7444 Saint Paul Circle</t>
  </si>
  <si>
    <t>73-561-2867</t>
  </si>
  <si>
    <t>60-386-5077</t>
  </si>
  <si>
    <t>6/29/2024</t>
  </si>
  <si>
    <t>2 Scofield Street</t>
  </si>
  <si>
    <t>45-194-4094</t>
  </si>
  <si>
    <t>65-611-4749</t>
  </si>
  <si>
    <t>$3.90</t>
  </si>
  <si>
    <t>826 Melvin Pass</t>
  </si>
  <si>
    <t>92-362-3567</t>
  </si>
  <si>
    <t>40-056-7748</t>
  </si>
  <si>
    <t>12/25/2024</t>
  </si>
  <si>
    <t>Babbleset</t>
  </si>
  <si>
    <t>63578 Butternut Hill</t>
  </si>
  <si>
    <t>96-961-2193</t>
  </si>
  <si>
    <t>71-467-4910</t>
  </si>
  <si>
    <t>Zucchini</t>
  </si>
  <si>
    <t>Quimm</t>
  </si>
  <si>
    <t>66330 Northridge Street</t>
  </si>
  <si>
    <t>92-652-3737</t>
  </si>
  <si>
    <t>42-361-6981</t>
  </si>
  <si>
    <t>7/30/2024</t>
  </si>
  <si>
    <t>297 Petterle Way</t>
  </si>
  <si>
    <t>89-673-1543</t>
  </si>
  <si>
    <t>43-679-7350</t>
  </si>
  <si>
    <t>Butter Biscuit</t>
  </si>
  <si>
    <t>175 Sycamore Circle</t>
  </si>
  <si>
    <t>70-815-4015</t>
  </si>
  <si>
    <t>89-134-9717</t>
  </si>
  <si>
    <t>92321 Nelson Trail</t>
  </si>
  <si>
    <t>90-737-0044</t>
  </si>
  <si>
    <t>39-339-3869</t>
  </si>
  <si>
    <t>87417 Forest Pass</t>
  </si>
  <si>
    <t>67-473-7093</t>
  </si>
  <si>
    <t>92-830-6986</t>
  </si>
  <si>
    <t>Babblestorm</t>
  </si>
  <si>
    <t>00 Drewry Court</t>
  </si>
  <si>
    <t>22-621-2774</t>
  </si>
  <si>
    <t>70-901-6191</t>
  </si>
  <si>
    <t>25784 Old Gate Crossing</t>
  </si>
  <si>
    <t>15-240-6267</t>
  </si>
  <si>
    <t>12-983-3026</t>
  </si>
  <si>
    <t>Voonix</t>
  </si>
  <si>
    <t>622 Anthes Lane</t>
  </si>
  <si>
    <t>75-152-8731</t>
  </si>
  <si>
    <t>05-593-1927</t>
  </si>
  <si>
    <t>Egg (Chicken)</t>
  </si>
  <si>
    <t>Einti</t>
  </si>
  <si>
    <t>553 Hooker Trail</t>
  </si>
  <si>
    <t>40-913-9772</t>
  </si>
  <si>
    <t>51-215-2283</t>
  </si>
  <si>
    <t>$0.20</t>
  </si>
  <si>
    <t>Brightdog</t>
  </si>
  <si>
    <t>9431 Clarendon Pass</t>
  </si>
  <si>
    <t>29-377-7040</t>
  </si>
  <si>
    <t>59-979-6740</t>
  </si>
  <si>
    <t>88721 Dawn Crossing</t>
  </si>
  <si>
    <t>72-780-6006</t>
  </si>
  <si>
    <t>81-292-4650</t>
  </si>
  <si>
    <t>43211 Anzinger Drive</t>
  </si>
  <si>
    <t>91-127-7489</t>
  </si>
  <si>
    <t>86-079-1525</t>
  </si>
  <si>
    <t>$2.95</t>
  </si>
  <si>
    <t>0 Village Green Street</t>
  </si>
  <si>
    <t>17-647-0503</t>
  </si>
  <si>
    <t>69-416-9493</t>
  </si>
  <si>
    <t>Skyble</t>
  </si>
  <si>
    <t>13 Corscot Hill</t>
  </si>
  <si>
    <t>91-848-0606</t>
  </si>
  <si>
    <t>68-836-0350</t>
  </si>
  <si>
    <t>Oyoloo</t>
  </si>
  <si>
    <t>3104 Ridge Oak Hill</t>
  </si>
  <si>
    <t>11-745-3025</t>
  </si>
  <si>
    <t>54-711-1582</t>
  </si>
  <si>
    <t>Trudeo</t>
  </si>
  <si>
    <t>3 Lawn Park</t>
  </si>
  <si>
    <t>29-823-6004</t>
  </si>
  <si>
    <t>10-295-7996</t>
  </si>
  <si>
    <t>Eamia</t>
  </si>
  <si>
    <t>277 Pawling Terrace</t>
  </si>
  <si>
    <t>21-718-6746</t>
  </si>
  <si>
    <t>96-012-3393</t>
  </si>
  <si>
    <t>1/20/2025</t>
  </si>
  <si>
    <t>00616 Manitowish Parkway</t>
  </si>
  <si>
    <t>86-692-2312</t>
  </si>
  <si>
    <t>77-783-4107</t>
  </si>
  <si>
    <t>Linklinks</t>
  </si>
  <si>
    <t>67 Little Fleur Road</t>
  </si>
  <si>
    <t>54-109-8062</t>
  </si>
  <si>
    <t>04-726-3363</t>
  </si>
  <si>
    <t>White Bread</t>
  </si>
  <si>
    <t>Tagfeed</t>
  </si>
  <si>
    <t>0 Saint Paul Center</t>
  </si>
  <si>
    <t>74-943-9034</t>
  </si>
  <si>
    <t>15-739-5480</t>
  </si>
  <si>
    <t>Yamia</t>
  </si>
  <si>
    <t>7 Heffernan Drive</t>
  </si>
  <si>
    <t>71-300-2191</t>
  </si>
  <si>
    <t>98-677-4279</t>
  </si>
  <si>
    <t>8 Dovetail Junction</t>
  </si>
  <si>
    <t>65-145-9672</t>
  </si>
  <si>
    <t>65-068-1200</t>
  </si>
  <si>
    <t>3/16/2024</t>
  </si>
  <si>
    <t>4 4th Place</t>
  </si>
  <si>
    <t>93-966-7754</t>
  </si>
  <si>
    <t>78-787-7171</t>
  </si>
  <si>
    <t>1/18/2025</t>
  </si>
  <si>
    <t>Skilith</t>
  </si>
  <si>
    <t>4 Browning Terrace</t>
  </si>
  <si>
    <t>27-216-9671</t>
  </si>
  <si>
    <t>40-773-7065</t>
  </si>
  <si>
    <t>Realbridge</t>
  </si>
  <si>
    <t>46 Cardinal Way</t>
  </si>
  <si>
    <t>44-538-3366</t>
  </si>
  <si>
    <t>33-898-6242</t>
  </si>
  <si>
    <t>Watermelon</t>
  </si>
  <si>
    <t>Latz</t>
  </si>
  <si>
    <t>0039 Shelley Place</t>
  </si>
  <si>
    <t>34-075-0371</t>
  </si>
  <si>
    <t>32-771-2617</t>
  </si>
  <si>
    <t>Twitterbeat</t>
  </si>
  <si>
    <t>5862 Hooker Pass</t>
  </si>
  <si>
    <t>24-972-6969</t>
  </si>
  <si>
    <t>27-532-7847</t>
  </si>
  <si>
    <t>0 Ohio Hill</t>
  </si>
  <si>
    <t>92-455-2959</t>
  </si>
  <si>
    <t>13-109-8639</t>
  </si>
  <si>
    <t>7/16/2024</t>
  </si>
  <si>
    <t>$10.30</t>
  </si>
  <si>
    <t>Pixope</t>
  </si>
  <si>
    <t>86 Maryland Junction</t>
  </si>
  <si>
    <t>58-182-6781</t>
  </si>
  <si>
    <t>75-328-1709</t>
  </si>
  <si>
    <t>0087 Bluejay Plaza</t>
  </si>
  <si>
    <t>42-134-9798</t>
  </si>
  <si>
    <t>16-869-7328</t>
  </si>
  <si>
    <t>12/30/2024</t>
  </si>
  <si>
    <t>96 American Center</t>
  </si>
  <si>
    <t>18-278-2383</t>
  </si>
  <si>
    <t>73-210-4267</t>
  </si>
  <si>
    <t>53 Lawn Circle</t>
  </si>
  <si>
    <t>03-597-9488</t>
  </si>
  <si>
    <t>03-983-0515</t>
  </si>
  <si>
    <t>95261 Morningstar Way</t>
  </si>
  <si>
    <t>14-681-7035</t>
  </si>
  <si>
    <t>01-308-0960</t>
  </si>
  <si>
    <t>5/18/2024</t>
  </si>
  <si>
    <t>8 Spaight Circle</t>
  </si>
  <si>
    <t>01-439-6231</t>
  </si>
  <si>
    <t>08-490-1714</t>
  </si>
  <si>
    <t>72090 Northfield Place</t>
  </si>
  <si>
    <t>25-911-7736</t>
  </si>
  <si>
    <t>40-180-0752</t>
  </si>
  <si>
    <t>Kwinu</t>
  </si>
  <si>
    <t>90865 Sherman Court</t>
  </si>
  <si>
    <t>36-918-2937</t>
  </si>
  <si>
    <t>53-844-0478</t>
  </si>
  <si>
    <t>11/28/2024</t>
  </si>
  <si>
    <t>85276 Lakewood Gardens Alley</t>
  </si>
  <si>
    <t>37-666-3902</t>
  </si>
  <si>
    <t>58-536-6583</t>
  </si>
  <si>
    <t>27535 Morrow Avenue</t>
  </si>
  <si>
    <t>27-757-4489</t>
  </si>
  <si>
    <t>04-456-0715</t>
  </si>
  <si>
    <t>42 Clemons Terrace</t>
  </si>
  <si>
    <t>97-040-3822</t>
  </si>
  <si>
    <t>78-459-1417</t>
  </si>
  <si>
    <t>8/23/2024</t>
  </si>
  <si>
    <t>Roombo</t>
  </si>
  <si>
    <t>8531 Manley Court</t>
  </si>
  <si>
    <t>98-445-7372</t>
  </si>
  <si>
    <t>71-676-6562</t>
  </si>
  <si>
    <t>Jaloo</t>
  </si>
  <si>
    <t>0920 Monica Pass</t>
  </si>
  <si>
    <t>92-152-5820</t>
  </si>
  <si>
    <t>50-747-2259</t>
  </si>
  <si>
    <t>$5.30</t>
  </si>
  <si>
    <t>Vanilla Biscuit</t>
  </si>
  <si>
    <t>88 Lighthouse Bay Crossing</t>
  </si>
  <si>
    <t>24-986-5091</t>
  </si>
  <si>
    <t>51-076-1164</t>
  </si>
  <si>
    <t>8/14/2024</t>
  </si>
  <si>
    <t>Izio</t>
  </si>
  <si>
    <t>81533 John Wall Court</t>
  </si>
  <si>
    <t>22-849-2551</t>
  </si>
  <si>
    <t>14-231-9135</t>
  </si>
  <si>
    <t>26160 Independence Alley</t>
  </si>
  <si>
    <t>15-169-8058</t>
  </si>
  <si>
    <t>14-009-8505</t>
  </si>
  <si>
    <t>9/23/2024</t>
  </si>
  <si>
    <t>4/18/2024</t>
  </si>
  <si>
    <t>085 Reinke Pass</t>
  </si>
  <si>
    <t>78-953-2073</t>
  </si>
  <si>
    <t>28-465-9141</t>
  </si>
  <si>
    <t>Trilia</t>
  </si>
  <si>
    <t>1959 Marcy Center</t>
  </si>
  <si>
    <t>10-255-8579</t>
  </si>
  <si>
    <t>29-112-1577</t>
  </si>
  <si>
    <t>555 Butternut Hill</t>
  </si>
  <si>
    <t>82-948-2298</t>
  </si>
  <si>
    <t>53-749-6148</t>
  </si>
  <si>
    <t>$5.70</t>
  </si>
  <si>
    <t>Papaya</t>
  </si>
  <si>
    <t>561 Pennsylvania Way</t>
  </si>
  <si>
    <t>60-747-8704</t>
  </si>
  <si>
    <t>93-793-4398</t>
  </si>
  <si>
    <t>Browsezoom</t>
  </si>
  <si>
    <t>0258 Shoshone Center</t>
  </si>
  <si>
    <t>40-462-2952</t>
  </si>
  <si>
    <t>57-323-8059</t>
  </si>
  <si>
    <t>$11.50</t>
  </si>
  <si>
    <t>Devpoint</t>
  </si>
  <si>
    <t>5 Transport Pass</t>
  </si>
  <si>
    <t>98-235-2711</t>
  </si>
  <si>
    <t>23-052-4744</t>
  </si>
  <si>
    <t>12/31/2024</t>
  </si>
  <si>
    <t>3 Monument Street</t>
  </si>
  <si>
    <t>83-108-1174</t>
  </si>
  <si>
    <t>56-439-3559</t>
  </si>
  <si>
    <t>848 Old Gate Parkway</t>
  </si>
  <si>
    <t>28-505-8317</t>
  </si>
  <si>
    <t>61-755-4469</t>
  </si>
  <si>
    <t>Voonder</t>
  </si>
  <si>
    <t>64 1st Plaza</t>
  </si>
  <si>
    <t>31-803-5001</t>
  </si>
  <si>
    <t>14-414-1945</t>
  </si>
  <si>
    <t>803 5th Alley</t>
  </si>
  <si>
    <t>17-236-0566</t>
  </si>
  <si>
    <t>32-402-9679</t>
  </si>
  <si>
    <t>Shufflester</t>
  </si>
  <si>
    <t>15 Loomis Avenue</t>
  </si>
  <si>
    <t>76-090-4411</t>
  </si>
  <si>
    <t>82-552-6786</t>
  </si>
  <si>
    <t>4/16/2024</t>
  </si>
  <si>
    <t>Feedspan</t>
  </si>
  <si>
    <t>46758 Hallows Center</t>
  </si>
  <si>
    <t>43-910-2342</t>
  </si>
  <si>
    <t>06-569-4690</t>
  </si>
  <si>
    <t>Gabspot</t>
  </si>
  <si>
    <t>49884 Brickson Park Plaza</t>
  </si>
  <si>
    <t>05-425-0746</t>
  </si>
  <si>
    <t>23-450-0301</t>
  </si>
  <si>
    <t>8868 Armistice Place</t>
  </si>
  <si>
    <t>93-815-0565</t>
  </si>
  <si>
    <t>56-422-1480</t>
  </si>
  <si>
    <t>Yadel</t>
  </si>
  <si>
    <t>7242 Claremont Avenue</t>
  </si>
  <si>
    <t>67-270-7464</t>
  </si>
  <si>
    <t>83-960-5274</t>
  </si>
  <si>
    <t>29992 Warrior Center</t>
  </si>
  <si>
    <t>61-827-4098</t>
  </si>
  <si>
    <t>34-850-0377</t>
  </si>
  <si>
    <t>9307 Kingsford Road</t>
  </si>
  <si>
    <t>92-291-7089</t>
  </si>
  <si>
    <t>08-523-5066</t>
  </si>
  <si>
    <t>Realcube</t>
  </si>
  <si>
    <t>87578 Stoughton Parkway</t>
  </si>
  <si>
    <t>76-070-1411</t>
  </si>
  <si>
    <t>63-528-0643</t>
  </si>
  <si>
    <t>$1.90</t>
  </si>
  <si>
    <t>Mycat</t>
  </si>
  <si>
    <t>21 Golden Leaf Hill</t>
  </si>
  <si>
    <t>36-330-5036</t>
  </si>
  <si>
    <t>52-359-1255</t>
  </si>
  <si>
    <t>Yodel</t>
  </si>
  <si>
    <t>96 Brown Drive</t>
  </si>
  <si>
    <t>02-034-6209</t>
  </si>
  <si>
    <t>34-724-1913</t>
  </si>
  <si>
    <t>46 Hoffman Trail</t>
  </si>
  <si>
    <t>49-891-4927</t>
  </si>
  <si>
    <t>89-155-3471</t>
  </si>
  <si>
    <t>381 Rutledge Place</t>
  </si>
  <si>
    <t>94-020-6982</t>
  </si>
  <si>
    <t>72-649-3163</t>
  </si>
  <si>
    <t>Eire</t>
  </si>
  <si>
    <t>2 Russell Alley</t>
  </si>
  <si>
    <t>88-807-8431</t>
  </si>
  <si>
    <t>66-563-9462</t>
  </si>
  <si>
    <t>Butter</t>
  </si>
  <si>
    <t>Meembee</t>
  </si>
  <si>
    <t>285 East Plaza</t>
  </si>
  <si>
    <t>19-672-8982</t>
  </si>
  <si>
    <t>50-214-3802</t>
  </si>
  <si>
    <t>$3.10</t>
  </si>
  <si>
    <t>59 Veith Center</t>
  </si>
  <si>
    <t>07-389-5740</t>
  </si>
  <si>
    <t>72-784-3292</t>
  </si>
  <si>
    <t>Muxo</t>
  </si>
  <si>
    <t>267 International Plaza</t>
  </si>
  <si>
    <t>39-629-5554</t>
  </si>
  <si>
    <t>67-679-4930</t>
  </si>
  <si>
    <t>812 Shelley Circle</t>
  </si>
  <si>
    <t>27-635-8394</t>
  </si>
  <si>
    <t>87-893-6089</t>
  </si>
  <si>
    <t>Flipbug</t>
  </si>
  <si>
    <t>40643 Sullivan Lane</t>
  </si>
  <si>
    <t>14-844-4138</t>
  </si>
  <si>
    <t>90-534-2165</t>
  </si>
  <si>
    <t>Heavy Cream</t>
  </si>
  <si>
    <t>Ntags</t>
  </si>
  <si>
    <t>00 Luster Alley</t>
  </si>
  <si>
    <t>65-464-5070</t>
  </si>
  <si>
    <t>01-517-7793</t>
  </si>
  <si>
    <t>Voolia</t>
  </si>
  <si>
    <t>9171 Norway Maple Trail</t>
  </si>
  <si>
    <t>46-911-1159</t>
  </si>
  <si>
    <t>30-820-2883</t>
  </si>
  <si>
    <t>Youspan</t>
  </si>
  <si>
    <t>292 Charing Cross Terrace</t>
  </si>
  <si>
    <t>35-617-3857</t>
  </si>
  <si>
    <t>90-718-2724</t>
  </si>
  <si>
    <t>29817 Coleman Drive</t>
  </si>
  <si>
    <t>41-237-5498</t>
  </si>
  <si>
    <t>38-643-1626</t>
  </si>
  <si>
    <t>18 Troy Avenue</t>
  </si>
  <si>
    <t>86-672-4191</t>
  </si>
  <si>
    <t>79-219-8469</t>
  </si>
  <si>
    <t>8425 New Castle Parkway</t>
  </si>
  <si>
    <t>10-555-5971</t>
  </si>
  <si>
    <t>30-410-3509</t>
  </si>
  <si>
    <t>7 Ridge Oak Pass</t>
  </si>
  <si>
    <t>45-050-4720</t>
  </si>
  <si>
    <t>98-791-5014</t>
  </si>
  <si>
    <t>3/13/2024</t>
  </si>
  <si>
    <t>Livetube</t>
  </si>
  <si>
    <t>1666 Dayton Terrace</t>
  </si>
  <si>
    <t>73-997-6251</t>
  </si>
  <si>
    <t>17-167-4304</t>
  </si>
  <si>
    <t>Skipfire</t>
  </si>
  <si>
    <t>757 Grasskamp Drive</t>
  </si>
  <si>
    <t>53-446-8243</t>
  </si>
  <si>
    <t>51-666-7174</t>
  </si>
  <si>
    <t>Thoughtblab</t>
  </si>
  <si>
    <t>5 Forster Point</t>
  </si>
  <si>
    <t>12-798-9401</t>
  </si>
  <si>
    <t>96-609-6152</t>
  </si>
  <si>
    <t>5/25/2024</t>
  </si>
  <si>
    <t>6 Bay Road</t>
  </si>
  <si>
    <t>93-014-4256</t>
  </si>
  <si>
    <t>37-599-8579</t>
  </si>
  <si>
    <t>75054 Ramsey Parkway</t>
  </si>
  <si>
    <t>60-911-3745</t>
  </si>
  <si>
    <t>87-570-0273</t>
  </si>
  <si>
    <t>$6.35</t>
  </si>
  <si>
    <t>42 Mandrake Alley</t>
  </si>
  <si>
    <t>53-146-9979</t>
  </si>
  <si>
    <t>44-388-2451</t>
  </si>
  <si>
    <t>65 Forster Way</t>
  </si>
  <si>
    <t>65-780-5622</t>
  </si>
  <si>
    <t>69-460-9770</t>
  </si>
  <si>
    <t>Centidel</t>
  </si>
  <si>
    <t>80930 Briar Crest Point</t>
  </si>
  <si>
    <t>29-896-7926</t>
  </si>
  <si>
    <t>86-400-4155</t>
  </si>
  <si>
    <t>615 Mayer Drive</t>
  </si>
  <si>
    <t>67-027-7269</t>
  </si>
  <si>
    <t>50-050-5707</t>
  </si>
  <si>
    <t>11/30/2024</t>
  </si>
  <si>
    <t>59449 Sherman Parkway</t>
  </si>
  <si>
    <t>25-353-2067</t>
  </si>
  <si>
    <t>01-210-3485</t>
  </si>
  <si>
    <t>$4.30</t>
  </si>
  <si>
    <t>8682 Golf Course Junction</t>
  </si>
  <si>
    <t>72-341-1154</t>
  </si>
  <si>
    <t>84-090-6472</t>
  </si>
  <si>
    <t>Zoombeat</t>
  </si>
  <si>
    <t>22555 Macpherson Plaza</t>
  </si>
  <si>
    <t>16-187-5729</t>
  </si>
  <si>
    <t>79-366-7207</t>
  </si>
  <si>
    <t>71 Bultman Drive</t>
  </si>
  <si>
    <t>49-311-3063</t>
  </si>
  <si>
    <t>15-947-9718</t>
  </si>
  <si>
    <t>Ooba</t>
  </si>
  <si>
    <t>32 6th Lane</t>
  </si>
  <si>
    <t>98-652-9569</t>
  </si>
  <si>
    <t>65-160-1426</t>
  </si>
  <si>
    <t>04 Mesta Parkway</t>
  </si>
  <si>
    <t>78-689-8958</t>
  </si>
  <si>
    <t>52-744-6162</t>
  </si>
  <si>
    <t>Blueberries</t>
  </si>
  <si>
    <t>88678 Bayside Park</t>
  </si>
  <si>
    <t>66-378-7532</t>
  </si>
  <si>
    <t>15-365-5585</t>
  </si>
  <si>
    <t>40 Cody Pass</t>
  </si>
  <si>
    <t>14-115-8371</t>
  </si>
  <si>
    <t>80-833-3051</t>
  </si>
  <si>
    <t>77 Prairie Rose Park</t>
  </si>
  <si>
    <t>76-540-6407</t>
  </si>
  <si>
    <t>78-644-5877</t>
  </si>
  <si>
    <t>Topiclounge</t>
  </si>
  <si>
    <t>20 Marcy Circle</t>
  </si>
  <si>
    <t>81-573-0943</t>
  </si>
  <si>
    <t>07-754-2313</t>
  </si>
  <si>
    <t>6/28/2024</t>
  </si>
  <si>
    <t>11/14/2024</t>
  </si>
  <si>
    <t>56 Bonner Point</t>
  </si>
  <si>
    <t>68-732-5919</t>
  </si>
  <si>
    <t>07-500-2023</t>
  </si>
  <si>
    <t>3 Hagan Drive</t>
  </si>
  <si>
    <t>68-734-1585</t>
  </si>
  <si>
    <t>54-537-5633</t>
  </si>
  <si>
    <t>7/13/2024</t>
  </si>
  <si>
    <t>$51.17</t>
  </si>
  <si>
    <t>Realblab</t>
  </si>
  <si>
    <t>39102 Division Trail</t>
  </si>
  <si>
    <t>93-342-8794</t>
  </si>
  <si>
    <t>93-688-1260</t>
  </si>
  <si>
    <t>72778 Loftsgordon Center</t>
  </si>
  <si>
    <t>42-175-1648</t>
  </si>
  <si>
    <t>67-272-8844</t>
  </si>
  <si>
    <t>21530 Prentice Place</t>
  </si>
  <si>
    <t>46-083-7058</t>
  </si>
  <si>
    <t>26-730-0925</t>
  </si>
  <si>
    <t>8/27/2024</t>
  </si>
  <si>
    <t>LiveZ</t>
  </si>
  <si>
    <t>54 Weeping Birch Lane</t>
  </si>
  <si>
    <t>66-716-8221</t>
  </si>
  <si>
    <t>67-024-9832</t>
  </si>
  <si>
    <t>Janyx</t>
  </si>
  <si>
    <t>2003 Delladonna Pass</t>
  </si>
  <si>
    <t>12-714-5135</t>
  </si>
  <si>
    <t>97-055-2756</t>
  </si>
  <si>
    <t>4/25/2024</t>
  </si>
  <si>
    <t>581 Oneill Crossing</t>
  </si>
  <si>
    <t>35-031-1497</t>
  </si>
  <si>
    <t>84-835-1656</t>
  </si>
  <si>
    <t>8182 Hazelcrest Place</t>
  </si>
  <si>
    <t>54-708-7327</t>
  </si>
  <si>
    <t>46-316-6919</t>
  </si>
  <si>
    <t>4/15/2024</t>
  </si>
  <si>
    <t>7944 Elgar Alley</t>
  </si>
  <si>
    <t>63-897-8088</t>
  </si>
  <si>
    <t>82-313-4469</t>
  </si>
  <si>
    <t>1615 Bellgrove Crossing</t>
  </si>
  <si>
    <t>79-494-2472</t>
  </si>
  <si>
    <t>04-391-8892</t>
  </si>
  <si>
    <t>95 Garrison Plaza</t>
  </si>
  <si>
    <t>15-679-3935</t>
  </si>
  <si>
    <t>35-906-1010</t>
  </si>
  <si>
    <t>Ntag</t>
  </si>
  <si>
    <t>227 Tennyson Plaza</t>
  </si>
  <si>
    <t>31-608-1445</t>
  </si>
  <si>
    <t>75-286-4153</t>
  </si>
  <si>
    <t>75 High Crossing Junction</t>
  </si>
  <si>
    <t>70-206-4860</t>
  </si>
  <si>
    <t>82-527-9395</t>
  </si>
  <si>
    <t>Topicshots</t>
  </si>
  <si>
    <t>894 Kingsford Road</t>
  </si>
  <si>
    <t>30-832-5429</t>
  </si>
  <si>
    <t>41-800-2842</t>
  </si>
  <si>
    <t>DabZ</t>
  </si>
  <si>
    <t>8 Dakota Avenue</t>
  </si>
  <si>
    <t>01-173-0029</t>
  </si>
  <si>
    <t>18-880-7910</t>
  </si>
  <si>
    <t>31208 Westerfield Way</t>
  </si>
  <si>
    <t>65-235-7676</t>
  </si>
  <si>
    <t>22-083-3504</t>
  </si>
  <si>
    <t>Mozzarella Cheese</t>
  </si>
  <si>
    <t>4 Warbler Center</t>
  </si>
  <si>
    <t>79-400-6216</t>
  </si>
  <si>
    <t>83-361-7509</t>
  </si>
  <si>
    <t>$7.20</t>
  </si>
  <si>
    <t>05 Canary Circle</t>
  </si>
  <si>
    <t>35-836-6718</t>
  </si>
  <si>
    <t>27-838-4345</t>
  </si>
  <si>
    <t>1/22/2025</t>
  </si>
  <si>
    <t>03 Little Fleur Pass</t>
  </si>
  <si>
    <t>08-573-9997</t>
  </si>
  <si>
    <t>95-734-4024</t>
  </si>
  <si>
    <t>Vitz</t>
  </si>
  <si>
    <t>50880 Nobel Road</t>
  </si>
  <si>
    <t>66-854-5736</t>
  </si>
  <si>
    <t>98-591-1051</t>
  </si>
  <si>
    <t>$5.80</t>
  </si>
  <si>
    <t>288 Fair Oaks Place</t>
  </si>
  <si>
    <t>85-835-3445</t>
  </si>
  <si>
    <t>13-433-4930</t>
  </si>
  <si>
    <t>4 Orin Lane</t>
  </si>
  <si>
    <t>10-768-2443</t>
  </si>
  <si>
    <t>44-451-2764</t>
  </si>
  <si>
    <t>$3.25</t>
  </si>
  <si>
    <t>Quamba</t>
  </si>
  <si>
    <t>7698 Logan Drive</t>
  </si>
  <si>
    <t>19-112-1616</t>
  </si>
  <si>
    <t>55-251-3001</t>
  </si>
  <si>
    <t>Centizu</t>
  </si>
  <si>
    <t>4346 Columbus Way</t>
  </si>
  <si>
    <t>89-388-3239</t>
  </si>
  <si>
    <t>28-521-7083</t>
  </si>
  <si>
    <t>09264 Forest Dale Drive</t>
  </si>
  <si>
    <t>22-760-4605</t>
  </si>
  <si>
    <t>01-495-9336</t>
  </si>
  <si>
    <t>843 Pepper Wood Hill</t>
  </si>
  <si>
    <t>38-664-2155</t>
  </si>
  <si>
    <t>10-540-5841</t>
  </si>
  <si>
    <t>1/13/2025</t>
  </si>
  <si>
    <t>$2.55</t>
  </si>
  <si>
    <t>Tazz</t>
  </si>
  <si>
    <t>60 Dottie Hill</t>
  </si>
  <si>
    <t>89-713-6071</t>
  </si>
  <si>
    <t>84-123-7159</t>
  </si>
  <si>
    <t>844 Schurz Point</t>
  </si>
  <si>
    <t>56-191-6497</t>
  </si>
  <si>
    <t>65-395-5947</t>
  </si>
  <si>
    <t>Feedfish</t>
  </si>
  <si>
    <t>234 Eagle Crest Avenue</t>
  </si>
  <si>
    <t>27-389-3529</t>
  </si>
  <si>
    <t>73-201-2803</t>
  </si>
  <si>
    <t>17640 Cottonwood Place</t>
  </si>
  <si>
    <t>11-604-6002</t>
  </si>
  <si>
    <t>50-862-4552</t>
  </si>
  <si>
    <t>6/18/2024</t>
  </si>
  <si>
    <t>Buzzbean</t>
  </si>
  <si>
    <t>49770 Hoffman Court</t>
  </si>
  <si>
    <t>20-448-2972</t>
  </si>
  <si>
    <t>26-920-6626</t>
  </si>
  <si>
    <t>Gigabox</t>
  </si>
  <si>
    <t>03 Ryan Circle</t>
  </si>
  <si>
    <t>77-959-1018</t>
  </si>
  <si>
    <t>00-912-3545</t>
  </si>
  <si>
    <t>98 Melody Street</t>
  </si>
  <si>
    <t>69-895-3397</t>
  </si>
  <si>
    <t>02-575-2074</t>
  </si>
  <si>
    <t>57150 Del Sol Alley</t>
  </si>
  <si>
    <t>32-933-0329</t>
  </si>
  <si>
    <t>86-760-5412</t>
  </si>
  <si>
    <t>Tagpad</t>
  </si>
  <si>
    <t>4 6th Plaza</t>
  </si>
  <si>
    <t>33-440-2588</t>
  </si>
  <si>
    <t>68-596-5506</t>
  </si>
  <si>
    <t>Oyonder</t>
  </si>
  <si>
    <t>2835 Schlimgen Parkway</t>
  </si>
  <si>
    <t>02-085-7218</t>
  </si>
  <si>
    <t>41-978-3326</t>
  </si>
  <si>
    <t>$8.90</t>
  </si>
  <si>
    <t>61 Transport Parkway</t>
  </si>
  <si>
    <t>43-193-9915</t>
  </si>
  <si>
    <t>23-931-2988</t>
  </si>
  <si>
    <t>9171 Redwing Street</t>
  </si>
  <si>
    <t>62-998-7250</t>
  </si>
  <si>
    <t>72-002-3904</t>
  </si>
  <si>
    <t>5 Waxwing Junction</t>
  </si>
  <si>
    <t>70-871-4536</t>
  </si>
  <si>
    <t>72-514-7323</t>
  </si>
  <si>
    <t>6/17/2024</t>
  </si>
  <si>
    <t>Innojam</t>
  </si>
  <si>
    <t>6 Stang Hill</t>
  </si>
  <si>
    <t>38-822-8005</t>
  </si>
  <si>
    <t>45-886-1540</t>
  </si>
  <si>
    <t>Rhyzio</t>
  </si>
  <si>
    <t>3 Del Mar Point</t>
  </si>
  <si>
    <t>38-390-2115</t>
  </si>
  <si>
    <t>12-433-6490</t>
  </si>
  <si>
    <t>5 Loftsgordon Trail</t>
  </si>
  <si>
    <t>28-968-4195</t>
  </si>
  <si>
    <t>17-562-1176</t>
  </si>
  <si>
    <t>75 Bunting Junction</t>
  </si>
  <si>
    <t>09-286-8107</t>
  </si>
  <si>
    <t>90-727-4816</t>
  </si>
  <si>
    <t>Zava</t>
  </si>
  <si>
    <t>42 Mallory Court</t>
  </si>
  <si>
    <t>00-405-7428</t>
  </si>
  <si>
    <t>42-746-2717</t>
  </si>
  <si>
    <t>1/27/2025</t>
  </si>
  <si>
    <t>Snaptags</t>
  </si>
  <si>
    <t>6 Orin Place</t>
  </si>
  <si>
    <t>43-893-5408</t>
  </si>
  <si>
    <t>25-414-2945</t>
  </si>
  <si>
    <t>Fiveclub</t>
  </si>
  <si>
    <t>80 Old Shore Plaza</t>
  </si>
  <si>
    <t>52-481-5224</t>
  </si>
  <si>
    <t>46-382-2024</t>
  </si>
  <si>
    <t>44249 Sutteridge Crossing</t>
  </si>
  <si>
    <t>34-131-8805</t>
  </si>
  <si>
    <t>84-472-8001</t>
  </si>
  <si>
    <t>Mackerel</t>
  </si>
  <si>
    <t>Dabfeed</t>
  </si>
  <si>
    <t>08545 Lillian Street</t>
  </si>
  <si>
    <t>36-840-2728</t>
  </si>
  <si>
    <t>26-454-7297</t>
  </si>
  <si>
    <t>3/14/2024</t>
  </si>
  <si>
    <t>$7.50</t>
  </si>
  <si>
    <t>1 Green Hill</t>
  </si>
  <si>
    <t>64-418-8356</t>
  </si>
  <si>
    <t>91-451-2016</t>
  </si>
  <si>
    <t>453 Dryden Park</t>
  </si>
  <si>
    <t>51-462-0747</t>
  </si>
  <si>
    <t>40-417-9838</t>
  </si>
  <si>
    <t>44296 Kropf Avenue</t>
  </si>
  <si>
    <t>74-711-7160</t>
  </si>
  <si>
    <t>40-662-8853</t>
  </si>
  <si>
    <t>00064 Mosinee Circle</t>
  </si>
  <si>
    <t>44-637-5512</t>
  </si>
  <si>
    <t>27-541-2645</t>
  </si>
  <si>
    <t>1223 Monument Drive</t>
  </si>
  <si>
    <t>27-881-1177</t>
  </si>
  <si>
    <t>64-807-5250</t>
  </si>
  <si>
    <t>879 Amoth Terrace</t>
  </si>
  <si>
    <t>72-404-5581</t>
  </si>
  <si>
    <t>18-065-8014</t>
  </si>
  <si>
    <t>931 Browning Center</t>
  </si>
  <si>
    <t>12-046-2988</t>
  </si>
  <si>
    <t>37-630-2250</t>
  </si>
  <si>
    <t>564 Hazelcrest Crossing</t>
  </si>
  <si>
    <t>21-816-1004</t>
  </si>
  <si>
    <t>68-482-4786</t>
  </si>
  <si>
    <t>65721 Caliangt Crossing</t>
  </si>
  <si>
    <t>81-605-6246</t>
  </si>
  <si>
    <t>62-086-0407</t>
  </si>
  <si>
    <t>89 Springs Alley</t>
  </si>
  <si>
    <t>11-815-7923</t>
  </si>
  <si>
    <t>98-304-8407</t>
  </si>
  <si>
    <t>$11.80</t>
  </si>
  <si>
    <t>1792 Crownhardt Street</t>
  </si>
  <si>
    <t>26-456-1992</t>
  </si>
  <si>
    <t>60-159-3514</t>
  </si>
  <si>
    <t>0847 Artisan Hill</t>
  </si>
  <si>
    <t>63-168-6018</t>
  </si>
  <si>
    <t>01-853-2191</t>
  </si>
  <si>
    <t>24045 Bluestem Point</t>
  </si>
  <si>
    <t>70-854-6891</t>
  </si>
  <si>
    <t>79-575-9351</t>
  </si>
  <si>
    <t>9305 Warrior Way</t>
  </si>
  <si>
    <t>87-762-1317</t>
  </si>
  <si>
    <t>58-474-3510</t>
  </si>
  <si>
    <t>Browsecat</t>
  </si>
  <si>
    <t>13 Bluejay Way</t>
  </si>
  <si>
    <t>80-374-5711</t>
  </si>
  <si>
    <t>77-566-9826</t>
  </si>
  <si>
    <t>$31.00</t>
  </si>
  <si>
    <t>Oyoba</t>
  </si>
  <si>
    <t>710 Service Park</t>
  </si>
  <si>
    <t>60-456-8169</t>
  </si>
  <si>
    <t>54-529-4459</t>
  </si>
  <si>
    <t>2/28/2024</t>
  </si>
  <si>
    <t>71796 Waubesa Terrace</t>
  </si>
  <si>
    <t>99-543-5039</t>
  </si>
  <si>
    <t>63-683-7396</t>
  </si>
  <si>
    <t>545 Farwell Lane</t>
  </si>
  <si>
    <t>72-810-9753</t>
  </si>
  <si>
    <t>17-359-2527</t>
  </si>
  <si>
    <t>9 Burrows Junction</t>
  </si>
  <si>
    <t>78-956-4737</t>
  </si>
  <si>
    <t>76-712-0418</t>
  </si>
  <si>
    <t>5 Eggendart Parkway</t>
  </si>
  <si>
    <t>46-415-8633</t>
  </si>
  <si>
    <t>32-497-0478</t>
  </si>
  <si>
    <t>16 Autumn Leaf Way</t>
  </si>
  <si>
    <t>06-611-5454</t>
  </si>
  <si>
    <t>43-786-9229</t>
  </si>
  <si>
    <t>11/16/2024</t>
  </si>
  <si>
    <t>6 Tony Junction</t>
  </si>
  <si>
    <t>27-783-5470</t>
  </si>
  <si>
    <t>45-997-6429</t>
  </si>
  <si>
    <t>Shufflebeat</t>
  </si>
  <si>
    <t>19112 Little Fleur Road</t>
  </si>
  <si>
    <t>55-697-5242</t>
  </si>
  <si>
    <t>74-726-0855</t>
  </si>
  <si>
    <t>9/24/2024</t>
  </si>
  <si>
    <t>38 Dawn Street</t>
  </si>
  <si>
    <t>15-082-9124</t>
  </si>
  <si>
    <t>02-997-1489</t>
  </si>
  <si>
    <t>Buzzshare</t>
  </si>
  <si>
    <t>579 Schlimgen Alley</t>
  </si>
  <si>
    <t>06-996-3221</t>
  </si>
  <si>
    <t>97-821-7402</t>
  </si>
  <si>
    <t>Rhybox</t>
  </si>
  <si>
    <t>9 Anhalt Trail</t>
  </si>
  <si>
    <t>45-634-0679</t>
  </si>
  <si>
    <t>29-542-9338</t>
  </si>
  <si>
    <t>Kwilith</t>
  </si>
  <si>
    <t>85 Lunder Court</t>
  </si>
  <si>
    <t>15-796-3130</t>
  </si>
  <si>
    <t>45-912-2948</t>
  </si>
  <si>
    <t>51369 Dawn Hill</t>
  </si>
  <si>
    <t>51-000-8113</t>
  </si>
  <si>
    <t>56-825-0880</t>
  </si>
  <si>
    <t>Aivee</t>
  </si>
  <si>
    <t>9050 Dorton Pass</t>
  </si>
  <si>
    <t>20-387-7746</t>
  </si>
  <si>
    <t>08-218-9429</t>
  </si>
  <si>
    <t>856 School Plaza</t>
  </si>
  <si>
    <t>82-931-7126</t>
  </si>
  <si>
    <t>67-596-1997</t>
  </si>
  <si>
    <t>82 Drewry Junction</t>
  </si>
  <si>
    <t>55-631-7937</t>
  </si>
  <si>
    <t>79-508-5241</t>
  </si>
  <si>
    <t>6/19/2024</t>
  </si>
  <si>
    <t>9067 Valley Edge Park</t>
  </si>
  <si>
    <t>11-338-4598</t>
  </si>
  <si>
    <t>72-360-6358</t>
  </si>
  <si>
    <t>185 Stone Corner Parkway</t>
  </si>
  <si>
    <t>52-402-9245</t>
  </si>
  <si>
    <t>37-519-7762</t>
  </si>
  <si>
    <t>Fliptune</t>
  </si>
  <si>
    <t>205 Straubel Court</t>
  </si>
  <si>
    <t>09-536-2626</t>
  </si>
  <si>
    <t>14-483-5712</t>
  </si>
  <si>
    <t>Jetpulse</t>
  </si>
  <si>
    <t>2 7th Center</t>
  </si>
  <si>
    <t>48-427-0551</t>
  </si>
  <si>
    <t>01-900-4509</t>
  </si>
  <si>
    <t>12/16/2024</t>
  </si>
  <si>
    <t>Tanoodle</t>
  </si>
  <si>
    <t>443 Browning Terrace</t>
  </si>
  <si>
    <t>06-706-6490</t>
  </si>
  <si>
    <t>85-670-6379</t>
  </si>
  <si>
    <t>3/15/2024</t>
  </si>
  <si>
    <t>97 Utah Lane</t>
  </si>
  <si>
    <t>29-135-0791</t>
  </si>
  <si>
    <t>05-050-4384</t>
  </si>
  <si>
    <t>25 Drewry Alley</t>
  </si>
  <si>
    <t>89-624-7462</t>
  </si>
  <si>
    <t>39-506-2186</t>
  </si>
  <si>
    <t>77 Monument Court</t>
  </si>
  <si>
    <t>82-231-4245</t>
  </si>
  <si>
    <t>96-177-4040</t>
  </si>
  <si>
    <t>Zooxo</t>
  </si>
  <si>
    <t>61932 Cascade Crossing</t>
  </si>
  <si>
    <t>42-220-9305</t>
  </si>
  <si>
    <t>56-092-7992</t>
  </si>
  <si>
    <t>10/19/2024</t>
  </si>
  <si>
    <t>4 Judy Hill</t>
  </si>
  <si>
    <t>02-920-4829</t>
  </si>
  <si>
    <t>41-587-4864</t>
  </si>
  <si>
    <t>58 La Follette Park</t>
  </si>
  <si>
    <t>61-801-8665</t>
  </si>
  <si>
    <t>78-283-9751</t>
  </si>
  <si>
    <t>$10.50</t>
  </si>
  <si>
    <t>Zazio</t>
  </si>
  <si>
    <t>52105 Mandrake Place</t>
  </si>
  <si>
    <t>01-144-5960</t>
  </si>
  <si>
    <t>80-848-7493</t>
  </si>
  <si>
    <t>10/20/2024</t>
  </si>
  <si>
    <t>Flashset</t>
  </si>
  <si>
    <t>83 Pleasure Street</t>
  </si>
  <si>
    <t>98-575-4736</t>
  </si>
  <si>
    <t>44-429-6199</t>
  </si>
  <si>
    <t>77 Monterey Avenue</t>
  </si>
  <si>
    <t>30-996-2526</t>
  </si>
  <si>
    <t>30-942-0054</t>
  </si>
  <si>
    <t>0 Thackeray Point</t>
  </si>
  <si>
    <t>45-380-4627</t>
  </si>
  <si>
    <t>20-201-5639</t>
  </si>
  <si>
    <t>06 Shopko Pass</t>
  </si>
  <si>
    <t>47-548-6500</t>
  </si>
  <si>
    <t>27-061-4764</t>
  </si>
  <si>
    <t>7020 Porter Trail</t>
  </si>
  <si>
    <t>30-591-7275</t>
  </si>
  <si>
    <t>12-431-9207</t>
  </si>
  <si>
    <t>10/21/2024</t>
  </si>
  <si>
    <t>160 Kings Street</t>
  </si>
  <si>
    <t>38-296-6634</t>
  </si>
  <si>
    <t>41-083-3955</t>
  </si>
  <si>
    <t>80729 Homewood Plaza</t>
  </si>
  <si>
    <t>98-858-6323</t>
  </si>
  <si>
    <t>79-086-1717</t>
  </si>
  <si>
    <t>583 Loftsgordon Road</t>
  </si>
  <si>
    <t>69-743-0161</t>
  </si>
  <si>
    <t>29-774-6779</t>
  </si>
  <si>
    <t>Twitterbridge</t>
  </si>
  <si>
    <t>5521 Wayridge Center</t>
  </si>
  <si>
    <t>71-067-3278</t>
  </si>
  <si>
    <t>76-797-9430</t>
  </si>
  <si>
    <t>685 Independence Junction</t>
  </si>
  <si>
    <t>24-143-4957</t>
  </si>
  <si>
    <t>29-968-4976</t>
  </si>
  <si>
    <t>8/15/2024</t>
  </si>
  <si>
    <t>854 Kipling Point</t>
  </si>
  <si>
    <t>31-387-5020</t>
  </si>
  <si>
    <t>02-811-7933</t>
  </si>
  <si>
    <t>12/17/2024</t>
  </si>
  <si>
    <t>$11.90</t>
  </si>
  <si>
    <t>Tagchat</t>
  </si>
  <si>
    <t>23560 Talmadge Center</t>
  </si>
  <si>
    <t>33-378-1365</t>
  </si>
  <si>
    <t>31-483-9201</t>
  </si>
  <si>
    <t>7193 Crownhardt Drive</t>
  </si>
  <si>
    <t>41-729-5410</t>
  </si>
  <si>
    <t>71-727-8611</t>
  </si>
  <si>
    <t>Blogspan</t>
  </si>
  <si>
    <t>76928 Tennyson Parkway</t>
  </si>
  <si>
    <t>33-335-9140</t>
  </si>
  <si>
    <t>08-209-1598</t>
  </si>
  <si>
    <t>265 Columbus Way</t>
  </si>
  <si>
    <t>40-021-2400</t>
  </si>
  <si>
    <t>62-648-2577</t>
  </si>
  <si>
    <t>Kazio</t>
  </si>
  <si>
    <t>85953 Clyde Gallagher Drive</t>
  </si>
  <si>
    <t>81-268-5905</t>
  </si>
  <si>
    <t>36-138-9045</t>
  </si>
  <si>
    <t>33145 Butterfield Avenue</t>
  </si>
  <si>
    <t>38-617-7226</t>
  </si>
  <si>
    <t>91-215-9838</t>
  </si>
  <si>
    <t>64389 Arkansas Alley</t>
  </si>
  <si>
    <t>54-822-9009</t>
  </si>
  <si>
    <t>23-197-9965</t>
  </si>
  <si>
    <t>Jabberstorm</t>
  </si>
  <si>
    <t>6738 Tennyson Road</t>
  </si>
  <si>
    <t>02-655-3240</t>
  </si>
  <si>
    <t>95-200-1972</t>
  </si>
  <si>
    <t>8 Hazelcrest Street</t>
  </si>
  <si>
    <t>01-839-6534</t>
  </si>
  <si>
    <t>51-519-4588</t>
  </si>
  <si>
    <t>27 School Court</t>
  </si>
  <si>
    <t>98-499-2220</t>
  </si>
  <si>
    <t>69-666-2257</t>
  </si>
  <si>
    <t>9951 Petterle Alley</t>
  </si>
  <si>
    <t>69-171-1305</t>
  </si>
  <si>
    <t>33-733-7313</t>
  </si>
  <si>
    <t>Agivu</t>
  </si>
  <si>
    <t>38 Banding Lane</t>
  </si>
  <si>
    <t>57-394-4703</t>
  </si>
  <si>
    <t>52-130-3457</t>
  </si>
  <si>
    <t>06 Lake View Trail</t>
  </si>
  <si>
    <t>58-946-5152</t>
  </si>
  <si>
    <t>42-201-4328</t>
  </si>
  <si>
    <t>84642 Clarendon Point</t>
  </si>
  <si>
    <t>74-587-2065</t>
  </si>
  <si>
    <t>33-141-1402</t>
  </si>
  <si>
    <t>11 Golden Leaf Alley</t>
  </si>
  <si>
    <t>69-287-9113</t>
  </si>
  <si>
    <t>20-952-0731</t>
  </si>
  <si>
    <t>6 Bobwhite Alley</t>
  </si>
  <si>
    <t>03-441-4252</t>
  </si>
  <si>
    <t>11-430-6041</t>
  </si>
  <si>
    <t>7 Talmadge Street</t>
  </si>
  <si>
    <t>29-344-3658</t>
  </si>
  <si>
    <t>33-546-5056</t>
  </si>
  <si>
    <t>374 Blue Bill Park Point</t>
  </si>
  <si>
    <t>12-342-4482</t>
  </si>
  <si>
    <t>71-300-8176</t>
  </si>
  <si>
    <t>$11.60</t>
  </si>
  <si>
    <t>185 Saint Paul Road</t>
  </si>
  <si>
    <t>99-894-4351</t>
  </si>
  <si>
    <t>45-602-6533</t>
  </si>
  <si>
    <t>1509 Hoard Circle</t>
  </si>
  <si>
    <t>34-709-9237</t>
  </si>
  <si>
    <t>66-680-8738</t>
  </si>
  <si>
    <t>Abata</t>
  </si>
  <si>
    <t>30408 5th Way</t>
  </si>
  <si>
    <t>05-498-7751</t>
  </si>
  <si>
    <t>17-963-6051</t>
  </si>
  <si>
    <t>0500 Calypso Pass</t>
  </si>
  <si>
    <t>32-270-1385</t>
  </si>
  <si>
    <t>81-072-8266</t>
  </si>
  <si>
    <t>$42.58</t>
  </si>
  <si>
    <t>Skynoodle</t>
  </si>
  <si>
    <t>978 Shasta Lane</t>
  </si>
  <si>
    <t>67-710-5120</t>
  </si>
  <si>
    <t>00-131-9278</t>
  </si>
  <si>
    <t>524 Saint Paul Park</t>
  </si>
  <si>
    <t>37-709-3532</t>
  </si>
  <si>
    <t>08-439-3820</t>
  </si>
  <si>
    <t>9 Meadow Vale Drive</t>
  </si>
  <si>
    <t>60-311-5701</t>
  </si>
  <si>
    <t>07-578-7055</t>
  </si>
  <si>
    <t>Twitterlist</t>
  </si>
  <si>
    <t>467 Dexter Pass</t>
  </si>
  <si>
    <t>97-093-4278</t>
  </si>
  <si>
    <t>38-200-4863</t>
  </si>
  <si>
    <t>16 Fair Oaks Pass</t>
  </si>
  <si>
    <t>41-131-3841</t>
  </si>
  <si>
    <t>55-269-1746</t>
  </si>
  <si>
    <t>8119 Homewood Drive</t>
  </si>
  <si>
    <t>40-630-1431</t>
  </si>
  <si>
    <t>61-040-9004</t>
  </si>
  <si>
    <t>4571 Fremont Way</t>
  </si>
  <si>
    <t>64-493-5270</t>
  </si>
  <si>
    <t>36-964-9838</t>
  </si>
  <si>
    <t>357 High Crossing Parkway</t>
  </si>
  <si>
    <t>07-219-8017</t>
  </si>
  <si>
    <t>95-148-9287</t>
  </si>
  <si>
    <t>8/13/2024</t>
  </si>
  <si>
    <t>03 Roth Court</t>
  </si>
  <si>
    <t>73-751-4393</t>
  </si>
  <si>
    <t>14-486-5626</t>
  </si>
  <si>
    <t>3/23/2024</t>
  </si>
  <si>
    <t>Meedoo</t>
  </si>
  <si>
    <t>7182 Summit Court</t>
  </si>
  <si>
    <t>50-942-2409</t>
  </si>
  <si>
    <t>69-472-4067</t>
  </si>
  <si>
    <t>481 Mifflin Hill</t>
  </si>
  <si>
    <t>01-018-6418</t>
  </si>
  <si>
    <t>78-888-6073</t>
  </si>
  <si>
    <t>Zoozzy</t>
  </si>
  <si>
    <t>697 Hoepker Center</t>
  </si>
  <si>
    <t>59-725-4038</t>
  </si>
  <si>
    <t>39-055-1703</t>
  </si>
  <si>
    <t>$20.50</t>
  </si>
  <si>
    <t>5551 Mallory Lane</t>
  </si>
  <si>
    <t>40-997-2786</t>
  </si>
  <si>
    <t>18-743-4684</t>
  </si>
  <si>
    <t>20 Nelson Way</t>
  </si>
  <si>
    <t>11-766-8738</t>
  </si>
  <si>
    <t>96-393-1428</t>
  </si>
  <si>
    <t>988 Southridge Way</t>
  </si>
  <si>
    <t>40-860-4532</t>
  </si>
  <si>
    <t>73-625-5112</t>
  </si>
  <si>
    <t>$21.00</t>
  </si>
  <si>
    <t>Mynte</t>
  </si>
  <si>
    <t>52691 8th Drive</t>
  </si>
  <si>
    <t>55-936-2406</t>
  </si>
  <si>
    <t>29-689-5014</t>
  </si>
  <si>
    <t>04 Blaine Lane</t>
  </si>
  <si>
    <t>62-816-8794</t>
  </si>
  <si>
    <t>56-110-5754</t>
  </si>
  <si>
    <t>55095 Northview Drive</t>
  </si>
  <si>
    <t>04-104-6993</t>
  </si>
  <si>
    <t>06-776-1072</t>
  </si>
  <si>
    <t>509 Carpenter Trail</t>
  </si>
  <si>
    <t>35-835-5591</t>
  </si>
  <si>
    <t>54-876-4296</t>
  </si>
  <si>
    <t>298 Corry Plaza</t>
  </si>
  <si>
    <t>83-704-6367</t>
  </si>
  <si>
    <t>41-628-8713</t>
  </si>
  <si>
    <t>9 Karstens Center</t>
  </si>
  <si>
    <t>60-771-0879</t>
  </si>
  <si>
    <t>90-554-0576</t>
  </si>
  <si>
    <t>1661 Springview Terrace</t>
  </si>
  <si>
    <t>27-269-5260</t>
  </si>
  <si>
    <t>54-724-8610</t>
  </si>
  <si>
    <t>8239 Laurel Way</t>
  </si>
  <si>
    <t>20-031-0532</t>
  </si>
  <si>
    <t>35-835-8848</t>
  </si>
  <si>
    <t>$4.90</t>
  </si>
  <si>
    <t>5 Ohio Lane</t>
  </si>
  <si>
    <t>19-323-0506</t>
  </si>
  <si>
    <t>28-977-3789</t>
  </si>
  <si>
    <t>55782 Welch Hill</t>
  </si>
  <si>
    <t>46-452-9419</t>
  </si>
  <si>
    <t>67-137-4215</t>
  </si>
  <si>
    <t>54 Pawling Crossing</t>
  </si>
  <si>
    <t>90-492-0564</t>
  </si>
  <si>
    <t>18-085-1667</t>
  </si>
  <si>
    <t>7/20/2024</t>
  </si>
  <si>
    <t>8 Oriole Terrace</t>
  </si>
  <si>
    <t>17-395-1121</t>
  </si>
  <si>
    <t>67-252-3923</t>
  </si>
  <si>
    <t>$3.85</t>
  </si>
  <si>
    <t>40 Merchant Terrace</t>
  </si>
  <si>
    <t>83-400-9746</t>
  </si>
  <si>
    <t>02-510-0629</t>
  </si>
  <si>
    <t>4 Dakota Avenue</t>
  </si>
  <si>
    <t>19-854-3663</t>
  </si>
  <si>
    <t>72-509-7548</t>
  </si>
  <si>
    <t>1005 Lyons Junction</t>
  </si>
  <si>
    <t>57-167-0669</t>
  </si>
  <si>
    <t>30-934-3251</t>
  </si>
  <si>
    <t>43024 Elka Avenue</t>
  </si>
  <si>
    <t>76-954-1442</t>
  </si>
  <si>
    <t>68-200-8955</t>
  </si>
  <si>
    <t>5 Armistice Parkway</t>
  </si>
  <si>
    <t>83-763-5038</t>
  </si>
  <si>
    <t>26-438-8349</t>
  </si>
  <si>
    <t>3831 Goodland Road</t>
  </si>
  <si>
    <t>80-375-9075</t>
  </si>
  <si>
    <t>86-487-3354</t>
  </si>
  <si>
    <t>92486 Laurel Alley</t>
  </si>
  <si>
    <t>87-391-9658</t>
  </si>
  <si>
    <t>51-054-1226</t>
  </si>
  <si>
    <t>9 Victoria Point</t>
  </si>
  <si>
    <t>67-725-6830</t>
  </si>
  <si>
    <t>05-727-0033</t>
  </si>
  <si>
    <t>Feednation</t>
  </si>
  <si>
    <t>6748 Mitchell Road</t>
  </si>
  <si>
    <t>12-093-9863</t>
  </si>
  <si>
    <t>21-416-3796</t>
  </si>
  <si>
    <t>81 Oneill Circle</t>
  </si>
  <si>
    <t>44-408-7594</t>
  </si>
  <si>
    <t>08-828-3804</t>
  </si>
  <si>
    <t>537 Maple Alley</t>
  </si>
  <si>
    <t>04-637-8815</t>
  </si>
  <si>
    <t>60-959-6355</t>
  </si>
  <si>
    <t>11/27/2024</t>
  </si>
  <si>
    <t>Skiba</t>
  </si>
  <si>
    <t>82737 Ryan Place</t>
  </si>
  <si>
    <t>88-746-9468</t>
  </si>
  <si>
    <t>06-159-1957</t>
  </si>
  <si>
    <t>Zoovu</t>
  </si>
  <si>
    <t>7 Hallows Alley</t>
  </si>
  <si>
    <t>32-987-5559</t>
  </si>
  <si>
    <t>01-665-0053</t>
  </si>
  <si>
    <t>60 Main Pass</t>
  </si>
  <si>
    <t>02-484-0206</t>
  </si>
  <si>
    <t>62-011-9357</t>
  </si>
  <si>
    <t>Yoveo</t>
  </si>
  <si>
    <t>652 High Crossing Lane</t>
  </si>
  <si>
    <t>80-441-7249</t>
  </si>
  <si>
    <t>35-979-6839</t>
  </si>
  <si>
    <t>03416 Valley Edge Circle</t>
  </si>
  <si>
    <t>41-316-8427</t>
  </si>
  <si>
    <t>75-867-3635</t>
  </si>
  <si>
    <t>05686 Golden Leaf Point</t>
  </si>
  <si>
    <t>56-668-5370</t>
  </si>
  <si>
    <t>13-526-1392</t>
  </si>
  <si>
    <t>11 Kedzie Avenue</t>
  </si>
  <si>
    <t>45-172-7012</t>
  </si>
  <si>
    <t>95-721-9228</t>
  </si>
  <si>
    <t>1 Pleasure Hill</t>
  </si>
  <si>
    <t>93-015-0811</t>
  </si>
  <si>
    <t>07-055-5188</t>
  </si>
  <si>
    <t>08896 Evergreen Avenue</t>
  </si>
  <si>
    <t>52-029-2382</t>
  </si>
  <si>
    <t>16-474-4516</t>
  </si>
  <si>
    <t>309 Burning Wood Center</t>
  </si>
  <si>
    <t>28-044-4102</t>
  </si>
  <si>
    <t>93-358-1118</t>
  </si>
  <si>
    <t>113 Donald Court</t>
  </si>
  <si>
    <t>34-861-4446</t>
  </si>
  <si>
    <t>40-696-4237</t>
  </si>
  <si>
    <t>Camimbo</t>
  </si>
  <si>
    <t>611 Waubesa Circle</t>
  </si>
  <si>
    <t>80-334-0215</t>
  </si>
  <si>
    <t>19-156-3869</t>
  </si>
  <si>
    <t>Zoomlounge</t>
  </si>
  <si>
    <t>44 Thompson Terrace</t>
  </si>
  <si>
    <t>94-697-2396</t>
  </si>
  <si>
    <t>34-161-7429</t>
  </si>
  <si>
    <t>Tavu</t>
  </si>
  <si>
    <t>425 Shasta Terrace</t>
  </si>
  <si>
    <t>76-027-4850</t>
  </si>
  <si>
    <t>75-256-5638</t>
  </si>
  <si>
    <t>Brainsphere</t>
  </si>
  <si>
    <t>21633 Sycamore Center</t>
  </si>
  <si>
    <t>15-907-3681</t>
  </si>
  <si>
    <t>72-931-9828</t>
  </si>
  <si>
    <t>797 Mcbride Lane</t>
  </si>
  <si>
    <t>00-641-8691</t>
  </si>
  <si>
    <t>34-824-0575</t>
  </si>
  <si>
    <t>083 Mccormick Park</t>
  </si>
  <si>
    <t>15-762-1058</t>
  </si>
  <si>
    <t>32-914-1424</t>
  </si>
  <si>
    <t>38436 Anthes Way</t>
  </si>
  <si>
    <t>57-779-4955</t>
  </si>
  <si>
    <t>84-869-9980</t>
  </si>
  <si>
    <t>$6.25</t>
  </si>
  <si>
    <t>1 Mockingbird Parkway</t>
  </si>
  <si>
    <t>68-436-1268</t>
  </si>
  <si>
    <t>10-694-6636</t>
  </si>
  <si>
    <t>3 Bayside Point</t>
  </si>
  <si>
    <t>26-000-1012</t>
  </si>
  <si>
    <t>60-284-1974</t>
  </si>
  <si>
    <t>13 Forest Run Place</t>
  </si>
  <si>
    <t>75-094-1179</t>
  </si>
  <si>
    <t>57-615-0729</t>
  </si>
  <si>
    <t>Edgepulse</t>
  </si>
  <si>
    <t>553 Mayfield Crossing</t>
  </si>
  <si>
    <t>11-032-9778</t>
  </si>
  <si>
    <t>42-380-8881</t>
  </si>
  <si>
    <t>55276 Golf Hill</t>
  </si>
  <si>
    <t>24-478-8277</t>
  </si>
  <si>
    <t>64-070-7611</t>
  </si>
  <si>
    <t>924 La Follette Alley</t>
  </si>
  <si>
    <t>12-239-9399</t>
  </si>
  <si>
    <t>53-584-1853</t>
  </si>
  <si>
    <t>Yombu</t>
  </si>
  <si>
    <t>35598 Fuller Terrace</t>
  </si>
  <si>
    <t>83-321-7887</t>
  </si>
  <si>
    <t>70-444-9176</t>
  </si>
  <si>
    <t>Divape</t>
  </si>
  <si>
    <t>163 Esch Pass</t>
  </si>
  <si>
    <t>80-371-3695</t>
  </si>
  <si>
    <t>42-254-7371</t>
  </si>
  <si>
    <t>77 Brown Circle</t>
  </si>
  <si>
    <t>49-199-6836</t>
  </si>
  <si>
    <t>81-999-7392</t>
  </si>
  <si>
    <t>8 Merrick Lane</t>
  </si>
  <si>
    <t>85-510-2915</t>
  </si>
  <si>
    <t>55-134-2668</t>
  </si>
  <si>
    <t>9 Cardinal Alley</t>
  </si>
  <si>
    <t>08-637-9335</t>
  </si>
  <si>
    <t>99-178-0951</t>
  </si>
  <si>
    <t>93 Longview Junction</t>
  </si>
  <si>
    <t>85-212-2729</t>
  </si>
  <si>
    <t>58-226-6435</t>
  </si>
  <si>
    <t>04776 Saint Paul Park</t>
  </si>
  <si>
    <t>51-469-4611</t>
  </si>
  <si>
    <t>62-029-0827</t>
  </si>
  <si>
    <t>$1.60</t>
  </si>
  <si>
    <t>7945 Mayer Center</t>
  </si>
  <si>
    <t>34-928-2775</t>
  </si>
  <si>
    <t>07-959-3210</t>
  </si>
  <si>
    <t>9433 Jenna Lane</t>
  </si>
  <si>
    <t>32-676-1026</t>
  </si>
  <si>
    <t>98-155-9583</t>
  </si>
  <si>
    <t>2 Grayhawk Junction</t>
  </si>
  <si>
    <t>53-080-8252</t>
  </si>
  <si>
    <t>73-744-7022</t>
  </si>
  <si>
    <t>6744 Helena Pass</t>
  </si>
  <si>
    <t>49-526-7806</t>
  </si>
  <si>
    <t>66-973-4855</t>
  </si>
  <si>
    <t>Kwideo</t>
  </si>
  <si>
    <t>803 Cottonwood Crossing</t>
  </si>
  <si>
    <t>31-157-1822</t>
  </si>
  <si>
    <t>53-998-1422</t>
  </si>
  <si>
    <t>$6.10</t>
  </si>
  <si>
    <t>269 Dakota Trail</t>
  </si>
  <si>
    <t>91-426-3204</t>
  </si>
  <si>
    <t>86-184-4829</t>
  </si>
  <si>
    <t>7 Harper Drive</t>
  </si>
  <si>
    <t>64-109-7362</t>
  </si>
  <si>
    <t>38-603-6412</t>
  </si>
  <si>
    <t>49869 Bunker Hill Terrace</t>
  </si>
  <si>
    <t>68-418-6724</t>
  </si>
  <si>
    <t>75-465-6257</t>
  </si>
  <si>
    <t>7407 Farragut Pass</t>
  </si>
  <si>
    <t>93-813-2419</t>
  </si>
  <si>
    <t>12-264-4503</t>
  </si>
  <si>
    <t>Browsebug</t>
  </si>
  <si>
    <t>7 Schiller Court</t>
  </si>
  <si>
    <t>52-123-8039</t>
  </si>
  <si>
    <t>24-087-5935</t>
  </si>
  <si>
    <t>11263 Kipling Hill</t>
  </si>
  <si>
    <t>74-666-5671</t>
  </si>
  <si>
    <t>58-657-7257</t>
  </si>
  <si>
    <t>70001 Vahlen Lane</t>
  </si>
  <si>
    <t>26-161-6692</t>
  </si>
  <si>
    <t>61-796-7912</t>
  </si>
  <si>
    <t>82 Hintze Court</t>
  </si>
  <si>
    <t>44-368-7112</t>
  </si>
  <si>
    <t>85-978-7855</t>
  </si>
  <si>
    <t>6982 Crownhardt Circle</t>
  </si>
  <si>
    <t>01-820-5784</t>
  </si>
  <si>
    <t>80-567-5598</t>
  </si>
  <si>
    <t>Rooxo</t>
  </si>
  <si>
    <t>2 Butterfield Pass</t>
  </si>
  <si>
    <t>10-378-9729</t>
  </si>
  <si>
    <t>83-941-9620</t>
  </si>
  <si>
    <t>$66.55</t>
  </si>
  <si>
    <t>14 Talmadge Park</t>
  </si>
  <si>
    <t>39-479-5147</t>
  </si>
  <si>
    <t>02-156-7270</t>
  </si>
  <si>
    <t>8/18/2024</t>
  </si>
  <si>
    <t>44662 American Plaza</t>
  </si>
  <si>
    <t>95-262-6208</t>
  </si>
  <si>
    <t>66-227-1125</t>
  </si>
  <si>
    <t>7051 Calypso Place</t>
  </si>
  <si>
    <t>37-248-6266</t>
  </si>
  <si>
    <t>75-553-7424</t>
  </si>
  <si>
    <t>4033 Sloan Hill</t>
  </si>
  <si>
    <t>43-851-9440</t>
  </si>
  <si>
    <t>67-674-0287</t>
  </si>
  <si>
    <t>734 Thackeray Avenue</t>
  </si>
  <si>
    <t>11-053-0107</t>
  </si>
  <si>
    <t>07-410-2867</t>
  </si>
  <si>
    <t>Avavee</t>
  </si>
  <si>
    <t>31057 Roth Place</t>
  </si>
  <si>
    <t>28-608-0039</t>
  </si>
  <si>
    <t>26-796-0872</t>
  </si>
  <si>
    <t>Rhycero</t>
  </si>
  <si>
    <t>9559 Muir Trail</t>
  </si>
  <si>
    <t>96-334-2593</t>
  </si>
  <si>
    <t>64-831-3071</t>
  </si>
  <si>
    <t>$25.30</t>
  </si>
  <si>
    <t>811 Dapin Center</t>
  </si>
  <si>
    <t>73-010-8323</t>
  </si>
  <si>
    <t>80-622-6587</t>
  </si>
  <si>
    <t>1 Hollow Ridge Park</t>
  </si>
  <si>
    <t>86-273-9377</t>
  </si>
  <si>
    <t>38-330-5543</t>
  </si>
  <si>
    <t>8583 Northwestern Terrace</t>
  </si>
  <si>
    <t>35-353-4068</t>
  </si>
  <si>
    <t>44-199-6832</t>
  </si>
  <si>
    <t>Mudo</t>
  </si>
  <si>
    <t>42 Green Ridge Terrace</t>
  </si>
  <si>
    <t>02-974-8526</t>
  </si>
  <si>
    <t>09-387-1119</t>
  </si>
  <si>
    <t>57453 Northwestern Alley</t>
  </si>
  <si>
    <t>95-252-9619</t>
  </si>
  <si>
    <t>38-819-2922</t>
  </si>
  <si>
    <t>760 Butternut Plaza</t>
  </si>
  <si>
    <t>43-469-7551</t>
  </si>
  <si>
    <t>64-361-4238</t>
  </si>
  <si>
    <t>7943 Amoth Parkway</t>
  </si>
  <si>
    <t>08-495-6853</t>
  </si>
  <si>
    <t>07-432-0137</t>
  </si>
  <si>
    <t>53 Forest Run Plaza</t>
  </si>
  <si>
    <t>83-556-0996</t>
  </si>
  <si>
    <t>81-234-0741</t>
  </si>
  <si>
    <t>509 Waywood Center</t>
  </si>
  <si>
    <t>65-282-0419</t>
  </si>
  <si>
    <t>85-932-1011</t>
  </si>
  <si>
    <t>$25.50</t>
  </si>
  <si>
    <t>Realfire</t>
  </si>
  <si>
    <t>1 Jackson Pass</t>
  </si>
  <si>
    <t>95-449-1286</t>
  </si>
  <si>
    <t>18-260-7354</t>
  </si>
  <si>
    <t>68 Dakota Center</t>
  </si>
  <si>
    <t>00-534-9775</t>
  </si>
  <si>
    <t>79-955-6260</t>
  </si>
  <si>
    <t>$14.90</t>
  </si>
  <si>
    <t>Yambee</t>
  </si>
  <si>
    <t>642 Arizona Point</t>
  </si>
  <si>
    <t>09-618-2842</t>
  </si>
  <si>
    <t>68-415-1025</t>
  </si>
  <si>
    <t>87 Bluestem Parkway</t>
  </si>
  <si>
    <t>74-610-2295</t>
  </si>
  <si>
    <t>22-959-6357</t>
  </si>
  <si>
    <t>$12.50</t>
  </si>
  <si>
    <t>4826 Drewry Center</t>
  </si>
  <si>
    <t>17-265-1899</t>
  </si>
  <si>
    <t>61-793-0279</t>
  </si>
  <si>
    <t>7 Mockingbird Hill</t>
  </si>
  <si>
    <t>06-336-5482</t>
  </si>
  <si>
    <t>99-784-4391</t>
  </si>
  <si>
    <t>Cogidoo</t>
  </si>
  <si>
    <t>0 Ruskin Way</t>
  </si>
  <si>
    <t>20-283-0111</t>
  </si>
  <si>
    <t>60-394-8955</t>
  </si>
  <si>
    <t>Twimm</t>
  </si>
  <si>
    <t>01 Hansons Crossing</t>
  </si>
  <si>
    <t>77-937-1108</t>
  </si>
  <si>
    <t>41-007-0132</t>
  </si>
  <si>
    <t>4 Loomis Way</t>
  </si>
  <si>
    <t>07-337-9889</t>
  </si>
  <si>
    <t>84-949-8378</t>
  </si>
  <si>
    <t>5989 Longview Drive</t>
  </si>
  <si>
    <t>81-578-7404</t>
  </si>
  <si>
    <t>90-177-6733</t>
  </si>
  <si>
    <t>Edgewire</t>
  </si>
  <si>
    <t>6435 Burning Wood Drive</t>
  </si>
  <si>
    <t>90-303-1821</t>
  </si>
  <si>
    <t>96-786-0667</t>
  </si>
  <si>
    <t>91 Gateway Pass</t>
  </si>
  <si>
    <t>42-495-7698</t>
  </si>
  <si>
    <t>93-625-4768</t>
  </si>
  <si>
    <t>78919 East Crossing</t>
  </si>
  <si>
    <t>57-101-0060</t>
  </si>
  <si>
    <t>40-070-5881</t>
  </si>
  <si>
    <t>Buzzdog</t>
  </si>
  <si>
    <t>952 Rowland Junction</t>
  </si>
  <si>
    <t>99-561-4871</t>
  </si>
  <si>
    <t>04-786-5408</t>
  </si>
  <si>
    <t>28351 Cascade Plaza</t>
  </si>
  <si>
    <t>40-126-0515</t>
  </si>
  <si>
    <t>78-379-0369</t>
  </si>
  <si>
    <t>884 Sloan Drive</t>
  </si>
  <si>
    <t>19-377-5021</t>
  </si>
  <si>
    <t>34-014-5873</t>
  </si>
  <si>
    <t>Rhynoodle</t>
  </si>
  <si>
    <t>22 Hudson Pass</t>
  </si>
  <si>
    <t>60-644-6596</t>
  </si>
  <si>
    <t>32-745-8366</t>
  </si>
  <si>
    <t>463 Oxford Crossing</t>
  </si>
  <si>
    <t>82-711-0772</t>
  </si>
  <si>
    <t>78-877-1866</t>
  </si>
  <si>
    <t>Demizz</t>
  </si>
  <si>
    <t>149 Valley Edge Point</t>
  </si>
  <si>
    <t>55-803-3964</t>
  </si>
  <si>
    <t>75-906-1086</t>
  </si>
  <si>
    <t>21 Sunbrook Court</t>
  </si>
  <si>
    <t>00-119-8780</t>
  </si>
  <si>
    <t>14-703-2550</t>
  </si>
  <si>
    <t>1 Logan Road</t>
  </si>
  <si>
    <t>13-888-0149</t>
  </si>
  <si>
    <t>09-902-6272</t>
  </si>
  <si>
    <t>7 Prairieview Place</t>
  </si>
  <si>
    <t>51-273-4240</t>
  </si>
  <si>
    <t>32-506-0556</t>
  </si>
  <si>
    <t>74 Sugar Plaza</t>
  </si>
  <si>
    <t>23-395-3157</t>
  </si>
  <si>
    <t>48-538-8538</t>
  </si>
  <si>
    <t>554 Eliot Point</t>
  </si>
  <si>
    <t>03-149-9760</t>
  </si>
  <si>
    <t>08-141-2402</t>
  </si>
  <si>
    <t>2582 Autumn Leaf Park</t>
  </si>
  <si>
    <t>02-895-7781</t>
  </si>
  <si>
    <t>23-109-2205</t>
  </si>
  <si>
    <t>848 Mariners Cove Junction</t>
  </si>
  <si>
    <t>95-354-8583</t>
  </si>
  <si>
    <t>02-057-9401</t>
  </si>
  <si>
    <t>498 Delladonna Drive</t>
  </si>
  <si>
    <t>27-681-5588</t>
  </si>
  <si>
    <t>89-959-2254</t>
  </si>
  <si>
    <t>76106 Anthes Junction</t>
  </si>
  <si>
    <t>70-534-7796</t>
  </si>
  <si>
    <t>62-044-8874</t>
  </si>
  <si>
    <t>03 Fisk Alley</t>
  </si>
  <si>
    <t>72-066-4597</t>
  </si>
  <si>
    <t>97-994-0773</t>
  </si>
  <si>
    <t>546 Declaration Place</t>
  </si>
  <si>
    <t>79-884-8810</t>
  </si>
  <si>
    <t>14-108-0409</t>
  </si>
  <si>
    <t>082 Clove Plaza</t>
  </si>
  <si>
    <t>08-703-1382</t>
  </si>
  <si>
    <t>29-975-3449</t>
  </si>
  <si>
    <t>6/21/2024</t>
  </si>
  <si>
    <t>850 Glacier Hill Drive</t>
  </si>
  <si>
    <t>39-315-3936</t>
  </si>
  <si>
    <t>99-034-7010</t>
  </si>
  <si>
    <t>Jabbertype</t>
  </si>
  <si>
    <t>5 Linden Terrace</t>
  </si>
  <si>
    <t>06-690-2335</t>
  </si>
  <si>
    <t>66-317-4895</t>
  </si>
  <si>
    <t>29815 Bonner Trail</t>
  </si>
  <si>
    <t>43-153-8268</t>
  </si>
  <si>
    <t>19-809-5654</t>
  </si>
  <si>
    <t>46 Orin Drive</t>
  </si>
  <si>
    <t>44-634-8292</t>
  </si>
  <si>
    <t>48-557-5036</t>
  </si>
  <si>
    <t>7369 Thackeray Drive</t>
  </si>
  <si>
    <t>96-774-0457</t>
  </si>
  <si>
    <t>71-991-5737</t>
  </si>
  <si>
    <t>80380 Valley Edge Road</t>
  </si>
  <si>
    <t>50-930-4751</t>
  </si>
  <si>
    <t>40-260-8547</t>
  </si>
  <si>
    <t>917 Westerfield Terrace</t>
  </si>
  <si>
    <t>63-918-8253</t>
  </si>
  <si>
    <t>94-157-1762</t>
  </si>
  <si>
    <t>7 Sloan Park</t>
  </si>
  <si>
    <t>84-629-1532</t>
  </si>
  <si>
    <t>50-378-4320</t>
  </si>
  <si>
    <t>3616 Carey Pass</t>
  </si>
  <si>
    <t>77-312-6317</t>
  </si>
  <si>
    <t>12-950-4397</t>
  </si>
  <si>
    <t>Twinte</t>
  </si>
  <si>
    <t>32468 Utah Pass</t>
  </si>
  <si>
    <t>21-693-8216</t>
  </si>
  <si>
    <t>62-599-8388</t>
  </si>
  <si>
    <t>Ainyx</t>
  </si>
  <si>
    <t>7 Roxbury Circle</t>
  </si>
  <si>
    <t>74-430-8245</t>
  </si>
  <si>
    <t>51-213-5660</t>
  </si>
  <si>
    <t>195 Portage Junction</t>
  </si>
  <si>
    <t>39-449-0772</t>
  </si>
  <si>
    <t>84-504-7617</t>
  </si>
  <si>
    <t>406 Westridge Alley</t>
  </si>
  <si>
    <t>51-312-8608</t>
  </si>
  <si>
    <t>06-315-0552</t>
  </si>
  <si>
    <t>22782 Oriole Way</t>
  </si>
  <si>
    <t>89-543-3456</t>
  </si>
  <si>
    <t>23-178-8962</t>
  </si>
  <si>
    <t>64407 Marcy Plaza</t>
  </si>
  <si>
    <t>57-861-4379</t>
  </si>
  <si>
    <t>73-383-4390</t>
  </si>
  <si>
    <t>32 Rigney Terrace</t>
  </si>
  <si>
    <t>39-768-8205</t>
  </si>
  <si>
    <t>07-987-4536</t>
  </si>
  <si>
    <t>2 Canary Street</t>
  </si>
  <si>
    <t>95-130-9020</t>
  </si>
  <si>
    <t>75-985-6744</t>
  </si>
  <si>
    <t>34832 Autumn Leaf Terrace</t>
  </si>
  <si>
    <t>02-575-1980</t>
  </si>
  <si>
    <t>61-100-8296</t>
  </si>
  <si>
    <t>34642 Carpenter Place</t>
  </si>
  <si>
    <t>22-895-6595</t>
  </si>
  <si>
    <t>18-445-5057</t>
  </si>
  <si>
    <t>41 Comanche Park</t>
  </si>
  <si>
    <t>85-207-4164</t>
  </si>
  <si>
    <t>07-067-3439</t>
  </si>
  <si>
    <t>Mymm</t>
  </si>
  <si>
    <t>49225 Homewood Place</t>
  </si>
  <si>
    <t>26-799-3714</t>
  </si>
  <si>
    <t>50-877-0990</t>
  </si>
  <si>
    <t>34 Linden Court</t>
  </si>
  <si>
    <t>57-903-6434</t>
  </si>
  <si>
    <t>30-460-3122</t>
  </si>
  <si>
    <t>4374 Corry Terrace</t>
  </si>
  <si>
    <t>80-227-6886</t>
  </si>
  <si>
    <t>91-632-7343</t>
  </si>
  <si>
    <t>9440 Coleman Drive</t>
  </si>
  <si>
    <t>31-255-9616</t>
  </si>
  <si>
    <t>11-031-9939</t>
  </si>
  <si>
    <t>3 John Wall Point</t>
  </si>
  <si>
    <t>37-610-1999</t>
  </si>
  <si>
    <t>19-985-9694</t>
  </si>
  <si>
    <t>5818 Twin Pines Place</t>
  </si>
  <si>
    <t>86-330-0214</t>
  </si>
  <si>
    <t>87-840-7803</t>
  </si>
  <si>
    <t>21625 Schlimgen Park</t>
  </si>
  <si>
    <t>29-592-7315</t>
  </si>
  <si>
    <t>61-867-3019</t>
  </si>
  <si>
    <t>5 Prentice Pass</t>
  </si>
  <si>
    <t>86-257-4613</t>
  </si>
  <si>
    <t>70-402-4816</t>
  </si>
  <si>
    <t>75 Cascade Avenue</t>
  </si>
  <si>
    <t>79-350-5841</t>
  </si>
  <si>
    <t>81-676-3345</t>
  </si>
  <si>
    <t>50687 Porter Park</t>
  </si>
  <si>
    <t>22-329-7791</t>
  </si>
  <si>
    <t>72-013-2438</t>
  </si>
  <si>
    <t>3 Oakridge Parkway</t>
  </si>
  <si>
    <t>10-854-5467</t>
  </si>
  <si>
    <t>40-443-3362</t>
  </si>
  <si>
    <t>4 Raven Drive</t>
  </si>
  <si>
    <t>70-612-2531</t>
  </si>
  <si>
    <t>94-217-4781</t>
  </si>
  <si>
    <t>$3.45</t>
  </si>
  <si>
    <t>12 Truax Court</t>
  </si>
  <si>
    <t>71-516-1996</t>
  </si>
  <si>
    <t>04-391-7610</t>
  </si>
  <si>
    <t>Meezzy</t>
  </si>
  <si>
    <t>18 Warrior Circle</t>
  </si>
  <si>
    <t>71-999-2404</t>
  </si>
  <si>
    <t>01-285-0018</t>
  </si>
  <si>
    <t>2 Sachtjen Park</t>
  </si>
  <si>
    <t>29-875-6900</t>
  </si>
  <si>
    <t>78-098-4468</t>
  </si>
  <si>
    <t>094 Carberry Lane</t>
  </si>
  <si>
    <t>11-922-3342</t>
  </si>
  <si>
    <t>33-523-9077</t>
  </si>
  <si>
    <t>$15.50</t>
  </si>
  <si>
    <t>Linkbridge</t>
  </si>
  <si>
    <t>79 Ronald Regan Avenue</t>
  </si>
  <si>
    <t>74-562-7431</t>
  </si>
  <si>
    <t>66-174-9633</t>
  </si>
  <si>
    <t>87 Corben Street</t>
  </si>
  <si>
    <t>95-357-2870</t>
  </si>
  <si>
    <t>75-365-7696</t>
  </si>
  <si>
    <t>911 Ridgeway Way</t>
  </si>
  <si>
    <t>04-277-5245</t>
  </si>
  <si>
    <t>90-175-7764</t>
  </si>
  <si>
    <t>44022 Barnett Way</t>
  </si>
  <si>
    <t>91-105-7317</t>
  </si>
  <si>
    <t>84-047-0017</t>
  </si>
  <si>
    <t>52 Alpine Crossing</t>
  </si>
  <si>
    <t>37-246-0018</t>
  </si>
  <si>
    <t>61-907-0994</t>
  </si>
  <si>
    <t>538 Bayside Parkway</t>
  </si>
  <si>
    <t>27-474-0056</t>
  </si>
  <si>
    <t>56-969-3705</t>
  </si>
  <si>
    <t>6 Rusk Pass</t>
  </si>
  <si>
    <t>12-439-8428</t>
  </si>
  <si>
    <t>43-542-6868</t>
  </si>
  <si>
    <t>5/31/2024</t>
  </si>
  <si>
    <t>5 Lyons Street</t>
  </si>
  <si>
    <t>56-657-4387</t>
  </si>
  <si>
    <t>78-629-7560</t>
  </si>
  <si>
    <t>9821 Novick Hill</t>
  </si>
  <si>
    <t>91-290-9062</t>
  </si>
  <si>
    <t>95-609-1485</t>
  </si>
  <si>
    <t>49646 Derek Lane</t>
  </si>
  <si>
    <t>06-503-5891</t>
  </si>
  <si>
    <t>19-098-2529</t>
  </si>
  <si>
    <t>Skiptube</t>
  </si>
  <si>
    <t>149 Lawn Way</t>
  </si>
  <si>
    <t>37-064-7275</t>
  </si>
  <si>
    <t>63-522-2633</t>
  </si>
  <si>
    <t>Innotype</t>
  </si>
  <si>
    <t>16730 Luster Alley</t>
  </si>
  <si>
    <t>21-993-5632</t>
  </si>
  <si>
    <t>26-860-4618</t>
  </si>
  <si>
    <t>2 Northview Avenue</t>
  </si>
  <si>
    <t>05-720-8792</t>
  </si>
  <si>
    <t>33-265-4588</t>
  </si>
  <si>
    <t>Skaboo</t>
  </si>
  <si>
    <t>2 Columbus Drive</t>
  </si>
  <si>
    <t>36-531-4087</t>
  </si>
  <si>
    <t>83-172-5527</t>
  </si>
  <si>
    <t>2 Northridge Street</t>
  </si>
  <si>
    <t>61-680-9496</t>
  </si>
  <si>
    <t>75-448-1356</t>
  </si>
  <si>
    <t>Wikivu</t>
  </si>
  <si>
    <t>451 Grim Hill</t>
  </si>
  <si>
    <t>36-636-4873</t>
  </si>
  <si>
    <t>11-098-3982</t>
  </si>
  <si>
    <t>5 Fisk Point</t>
  </si>
  <si>
    <t>45-992-5653</t>
  </si>
  <si>
    <t>22-050-5775</t>
  </si>
  <si>
    <t>10577 Thierer Plaza</t>
  </si>
  <si>
    <t>85-781-5386</t>
  </si>
  <si>
    <t>89-439-6947</t>
  </si>
  <si>
    <t>2005 Mccormick Road</t>
  </si>
  <si>
    <t>76-459-2392</t>
  </si>
  <si>
    <t>91-030-6609</t>
  </si>
  <si>
    <t>739 Grayhawk Trail</t>
  </si>
  <si>
    <t>92-791-0606</t>
  </si>
  <si>
    <t>56-050-1773</t>
  </si>
  <si>
    <t>38695 Kenwood Circle</t>
  </si>
  <si>
    <t>87-199-2743</t>
  </si>
  <si>
    <t>54-907-6531</t>
  </si>
  <si>
    <t>76 Shelley Pass</t>
  </si>
  <si>
    <t>04-038-1547</t>
  </si>
  <si>
    <t>61-912-9541</t>
  </si>
  <si>
    <t>$2.80</t>
  </si>
  <si>
    <t>3 Ilene Terrace</t>
  </si>
  <si>
    <t>83-917-7384</t>
  </si>
  <si>
    <t>84-923-5086</t>
  </si>
  <si>
    <t>667 Arkansas Circle</t>
  </si>
  <si>
    <t>94-525-6925</t>
  </si>
  <si>
    <t>31-892-6816</t>
  </si>
  <si>
    <t>60094 Goodland Junction</t>
  </si>
  <si>
    <t>16-632-1308</t>
  </si>
  <si>
    <t>45-903-0036</t>
  </si>
  <si>
    <t>93321 Kennedy Point</t>
  </si>
  <si>
    <t>13-798-3397</t>
  </si>
  <si>
    <t>89-992-6472</t>
  </si>
  <si>
    <t>Skajo</t>
  </si>
  <si>
    <t>39 Oxford Drive</t>
  </si>
  <si>
    <t>69-834-2874</t>
  </si>
  <si>
    <t>51-600-6076</t>
  </si>
  <si>
    <t>Vipe</t>
  </si>
  <si>
    <t>6 Hanover Terrace</t>
  </si>
  <si>
    <t>60-343-3288</t>
  </si>
  <si>
    <t>22-940-6543</t>
  </si>
  <si>
    <t>$6.70</t>
  </si>
  <si>
    <t>Jazzy</t>
  </si>
  <si>
    <t>4 Hagan Court</t>
  </si>
  <si>
    <t>21-650-9319</t>
  </si>
  <si>
    <t>73-445-3017</t>
  </si>
  <si>
    <t>3 Forster Point</t>
  </si>
  <si>
    <t>14-550-2152</t>
  </si>
  <si>
    <t>60-003-2919</t>
  </si>
  <si>
    <t>$7.60</t>
  </si>
  <si>
    <t>Topiczoom</t>
  </si>
  <si>
    <t>8 Hanover Center</t>
  </si>
  <si>
    <t>61-582-7399</t>
  </si>
  <si>
    <t>15-062-6342</t>
  </si>
  <si>
    <t>Babbleblab</t>
  </si>
  <si>
    <t>29755 Daystar Street</t>
  </si>
  <si>
    <t>28-107-4953</t>
  </si>
  <si>
    <t>01-165-8830</t>
  </si>
  <si>
    <t>9 Cordelia Trail</t>
  </si>
  <si>
    <t>53-050-8242</t>
  </si>
  <si>
    <t>31-163-5871</t>
  </si>
  <si>
    <t>9469 Bayside Plaza</t>
  </si>
  <si>
    <t>88-586-8797</t>
  </si>
  <si>
    <t>02-530-5932</t>
  </si>
  <si>
    <t>Edgetag</t>
  </si>
  <si>
    <t>07359 Porter Park</t>
  </si>
  <si>
    <t>93-772-3085</t>
  </si>
  <si>
    <t>61-807-0746</t>
  </si>
  <si>
    <t>$13.99</t>
  </si>
  <si>
    <t>0 Stoughton Terrace</t>
  </si>
  <si>
    <t>04-001-1793</t>
  </si>
  <si>
    <t>29-359-0109</t>
  </si>
  <si>
    <t>402 Kings Road</t>
  </si>
  <si>
    <t>10-137-9759</t>
  </si>
  <si>
    <t>23-688-6256</t>
  </si>
  <si>
    <t>Kaymbo</t>
  </si>
  <si>
    <t>97 Walton Avenue</t>
  </si>
  <si>
    <t>96-682-8546</t>
  </si>
  <si>
    <t>03-882-3517</t>
  </si>
  <si>
    <t>9262 Sullivan Crossing</t>
  </si>
  <si>
    <t>07-617-6934</t>
  </si>
  <si>
    <t>48-700-8059</t>
  </si>
  <si>
    <t>Shuffletag</t>
  </si>
  <si>
    <t>70862 Lighthouse Bay Junction</t>
  </si>
  <si>
    <t>43-164-5984</t>
  </si>
  <si>
    <t>10-008-6747</t>
  </si>
  <si>
    <t>27 New Castle Avenue</t>
  </si>
  <si>
    <t>07-074-1196</t>
  </si>
  <si>
    <t>69-112-6969</t>
  </si>
  <si>
    <t>38 Rutledge Plaza</t>
  </si>
  <si>
    <t>05-193-8096</t>
  </si>
  <si>
    <t>86-709-5618</t>
  </si>
  <si>
    <t>95 Lerdahl Park</t>
  </si>
  <si>
    <t>92-837-8839</t>
  </si>
  <si>
    <t>95-484-3134</t>
  </si>
  <si>
    <t>85408 Toban Crossing</t>
  </si>
  <si>
    <t>60-343-7973</t>
  </si>
  <si>
    <t>06-303-4127</t>
  </si>
  <si>
    <t>55 Morning Terrace</t>
  </si>
  <si>
    <t>76-264-0748</t>
  </si>
  <si>
    <t>27-557-2375</t>
  </si>
  <si>
    <t>9327 Hanover Way</t>
  </si>
  <si>
    <t>67-130-4114</t>
  </si>
  <si>
    <t>53-718-1768</t>
  </si>
  <si>
    <t>Tambee</t>
  </si>
  <si>
    <t>40113 Blaine Place</t>
  </si>
  <si>
    <t>99-961-0767</t>
  </si>
  <si>
    <t>78-954-5649</t>
  </si>
  <si>
    <t>Myworks</t>
  </si>
  <si>
    <t>68241 Hanson Circle</t>
  </si>
  <si>
    <t>24-228-6840</t>
  </si>
  <si>
    <t>26-280-5472</t>
  </si>
  <si>
    <t>84575 Randy Point</t>
  </si>
  <si>
    <t>83-573-4586</t>
  </si>
  <si>
    <t>91-191-2324</t>
  </si>
  <si>
    <t>7 Duke Parkway</t>
  </si>
  <si>
    <t>80-698-0324</t>
  </si>
  <si>
    <t>98-587-7923</t>
  </si>
  <si>
    <t>29150 Farmco Crossing</t>
  </si>
  <si>
    <t>83-568-3475</t>
  </si>
  <si>
    <t>10-950-0546</t>
  </si>
  <si>
    <t>6251 Eliot Hill</t>
  </si>
  <si>
    <t>15-846-7959</t>
  </si>
  <si>
    <t>47-026-0505</t>
  </si>
  <si>
    <t>588 Waywood Trail</t>
  </si>
  <si>
    <t>98-148-0940</t>
  </si>
  <si>
    <t>06-175-9657</t>
  </si>
  <si>
    <t>01471 Burrows Lane</t>
  </si>
  <si>
    <t>76-325-9093</t>
  </si>
  <si>
    <t>67-922-3399</t>
  </si>
  <si>
    <t>21 Esker Way</t>
  </si>
  <si>
    <t>10-034-7654</t>
  </si>
  <si>
    <t>27-292-4656</t>
  </si>
  <si>
    <t>08492 Gateway Terrace</t>
  </si>
  <si>
    <t>21-633-8696</t>
  </si>
  <si>
    <t>89-468-2696</t>
  </si>
  <si>
    <t>79878 Katie Trail</t>
  </si>
  <si>
    <t>74-181-4135</t>
  </si>
  <si>
    <t>00-487-2428</t>
  </si>
  <si>
    <t>109 Twin Pines Avenue</t>
  </si>
  <si>
    <t>98-064-4465</t>
  </si>
  <si>
    <t>93-719-9817</t>
  </si>
  <si>
    <t>88 Hooker Parkway</t>
  </si>
  <si>
    <t>41-475-5305</t>
  </si>
  <si>
    <t>93-900-1170</t>
  </si>
  <si>
    <t>8 Russell Pass</t>
  </si>
  <si>
    <t>80-988-4653</t>
  </si>
  <si>
    <t>02-272-0535</t>
  </si>
  <si>
    <t>83894 Delaware Plaza</t>
  </si>
  <si>
    <t>51-583-6029</t>
  </si>
  <si>
    <t>78-024-3286</t>
  </si>
  <si>
    <t>6 Lunder Parkway</t>
  </si>
  <si>
    <t>63-270-7076</t>
  </si>
  <si>
    <t>85-532-0172</t>
  </si>
  <si>
    <t>6 Messerschmidt Place</t>
  </si>
  <si>
    <t>70-149-6756</t>
  </si>
  <si>
    <t>97-150-9199</t>
  </si>
  <si>
    <t>43 Heath Street</t>
  </si>
  <si>
    <t>98-909-9395</t>
  </si>
  <si>
    <t>74-119-5491</t>
  </si>
  <si>
    <t>3 Fairfield Center</t>
  </si>
  <si>
    <t>35-621-2546</t>
  </si>
  <si>
    <t>14-190-2260</t>
  </si>
  <si>
    <t>4 Stang Place</t>
  </si>
  <si>
    <t>24-579-6500</t>
  </si>
  <si>
    <t>60-309-5783</t>
  </si>
  <si>
    <t>Raw Sugar</t>
  </si>
  <si>
    <t>4029 Lotheville Pass</t>
  </si>
  <si>
    <t>01-703-8441</t>
  </si>
  <si>
    <t>91-216-7668</t>
  </si>
  <si>
    <t>126 Spohn Plaza</t>
  </si>
  <si>
    <t>61-796-6540</t>
  </si>
  <si>
    <t>40-002-8400</t>
  </si>
  <si>
    <t>66 Raven Pass</t>
  </si>
  <si>
    <t>16-354-8122</t>
  </si>
  <si>
    <t>61-604-8116</t>
  </si>
  <si>
    <t>69 Orin Plaza</t>
  </si>
  <si>
    <t>67-512-9754</t>
  </si>
  <si>
    <t>35-941-2585</t>
  </si>
  <si>
    <t>7/21/2024</t>
  </si>
  <si>
    <t>Twitternation</t>
  </si>
  <si>
    <t>108 Morning Center</t>
  </si>
  <si>
    <t>11-316-8405</t>
  </si>
  <si>
    <t>50-918-1373</t>
  </si>
  <si>
    <t>98 Bartillon Trail</t>
  </si>
  <si>
    <t>36-372-2295</t>
  </si>
  <si>
    <t>85-823-7428</t>
  </si>
  <si>
    <t>51 7th Court</t>
  </si>
  <si>
    <t>84-075-7647</t>
  </si>
  <si>
    <t>95-889-8592</t>
  </si>
  <si>
    <t>4/27/2024</t>
  </si>
  <si>
    <t>81503 Graedel Plaza</t>
  </si>
  <si>
    <t>08-226-5155</t>
  </si>
  <si>
    <t>64-584-7898</t>
  </si>
  <si>
    <t>Eare</t>
  </si>
  <si>
    <t>156 Golf Course Alley</t>
  </si>
  <si>
    <t>46-496-2930</t>
  </si>
  <si>
    <t>29-295-9755</t>
  </si>
  <si>
    <t>389 Ridgeway Park</t>
  </si>
  <si>
    <t>00-215-7434</t>
  </si>
  <si>
    <t>85-272-3969</t>
  </si>
  <si>
    <t>018 Oxford Crossing</t>
  </si>
  <si>
    <t>12-828-1063</t>
  </si>
  <si>
    <t>48-707-5857</t>
  </si>
  <si>
    <t>$7.10</t>
  </si>
  <si>
    <t>34 Fremont Point</t>
  </si>
  <si>
    <t>48-770-6319</t>
  </si>
  <si>
    <t>64-452-2395</t>
  </si>
  <si>
    <t>51205 Rieder Junction</t>
  </si>
  <si>
    <t>44-305-1866</t>
  </si>
  <si>
    <t>25-190-3172</t>
  </si>
  <si>
    <t>7232 Ridgeway Center</t>
  </si>
  <si>
    <t>97-283-4840</t>
  </si>
  <si>
    <t>64-604-1679</t>
  </si>
  <si>
    <t>09 Londonderry Hill</t>
  </si>
  <si>
    <t>35-328-8392</t>
  </si>
  <si>
    <t>52-340-4509</t>
  </si>
  <si>
    <t>76 Toban Plaza</t>
  </si>
  <si>
    <t>43-693-2092</t>
  </si>
  <si>
    <t>19-469-9841</t>
  </si>
  <si>
    <t>Buzzster</t>
  </si>
  <si>
    <t>7096 Mcguire Park</t>
  </si>
  <si>
    <t>47-802-5023</t>
  </si>
  <si>
    <t>51-010-8144</t>
  </si>
  <si>
    <t>99 Duke Lane</t>
  </si>
  <si>
    <t>24-009-1208</t>
  </si>
  <si>
    <t>96-405-4286</t>
  </si>
  <si>
    <t>005 Tomscot Hill</t>
  </si>
  <si>
    <t>98-556-5323</t>
  </si>
  <si>
    <t>21-490-8051</t>
  </si>
  <si>
    <t>00847 Reindahl Place</t>
  </si>
  <si>
    <t>14-521-4167</t>
  </si>
  <si>
    <t>68-609-1972</t>
  </si>
  <si>
    <t>Zoonoodle</t>
  </si>
  <si>
    <t>329 Helena Park</t>
  </si>
  <si>
    <t>61-607-7622</t>
  </si>
  <si>
    <t>77-175-2969</t>
  </si>
  <si>
    <t>041 Paget Alley</t>
  </si>
  <si>
    <t>06-849-4869</t>
  </si>
  <si>
    <t>39-464-7300</t>
  </si>
  <si>
    <t>38726 Gina Pass</t>
  </si>
  <si>
    <t>41-526-4036</t>
  </si>
  <si>
    <t>45-923-7206</t>
  </si>
  <si>
    <t>1823 Elgar Park</t>
  </si>
  <si>
    <t>49-570-8214</t>
  </si>
  <si>
    <t>17-345-5800</t>
  </si>
  <si>
    <t>1 Lake View Trail</t>
  </si>
  <si>
    <t>85-561-4694</t>
  </si>
  <si>
    <t>57-486-8971</t>
  </si>
  <si>
    <t>77563 Russell Lane</t>
  </si>
  <si>
    <t>26-629-5920</t>
  </si>
  <si>
    <t>19-264-7608</t>
  </si>
  <si>
    <t>Eadel</t>
  </si>
  <si>
    <t>19180 Hagan Parkway</t>
  </si>
  <si>
    <t>75-029-9003</t>
  </si>
  <si>
    <t>61-917-4271</t>
  </si>
  <si>
    <t>Skivee</t>
  </si>
  <si>
    <t>9 Holmberg Circle</t>
  </si>
  <si>
    <t>79-428-8753</t>
  </si>
  <si>
    <t>29-521-7910</t>
  </si>
  <si>
    <t>0 Lerdahl Parkway</t>
  </si>
  <si>
    <t>34-369-7712</t>
  </si>
  <si>
    <t>95-241-9348</t>
  </si>
  <si>
    <t>6 Nobel Junction</t>
  </si>
  <si>
    <t>22-141-9798</t>
  </si>
  <si>
    <t>59-849-9942</t>
  </si>
  <si>
    <t>Photolist</t>
  </si>
  <si>
    <t>6 Anthes Court</t>
  </si>
  <si>
    <t>38-924-3007</t>
  </si>
  <si>
    <t>83-936-5065</t>
  </si>
  <si>
    <t>82955 Dayton Street</t>
  </si>
  <si>
    <t>70-005-5970</t>
  </si>
  <si>
    <t>18-490-4140</t>
  </si>
  <si>
    <t>4 Heffernan Lane</t>
  </si>
  <si>
    <t>19-021-5024</t>
  </si>
  <si>
    <t>75-369-5047</t>
  </si>
  <si>
    <t>35 Waxwing Center</t>
  </si>
  <si>
    <t>31-403-6234</t>
  </si>
  <si>
    <t>00-258-2525</t>
  </si>
  <si>
    <t>7 West Street</t>
  </si>
  <si>
    <t>19-047-4239</t>
  </si>
  <si>
    <t>11-146-9880</t>
  </si>
  <si>
    <t>676 Redwing Trail</t>
  </si>
  <si>
    <t>29-092-3453</t>
  </si>
  <si>
    <t>41-867-9911</t>
  </si>
  <si>
    <t>$2.52</t>
  </si>
  <si>
    <t>95 Onsgard Way</t>
  </si>
  <si>
    <t>28-956-1320</t>
  </si>
  <si>
    <t>01-445-8931</t>
  </si>
  <si>
    <t>01330 Sheridan Way</t>
  </si>
  <si>
    <t>88-069-5486</t>
  </si>
  <si>
    <t>95-878-1614</t>
  </si>
  <si>
    <t>0 Miller Pass</t>
  </si>
  <si>
    <t>97-710-2449</t>
  </si>
  <si>
    <t>39-676-9308</t>
  </si>
  <si>
    <t>53 Caliangt Junction</t>
  </si>
  <si>
    <t>84-272-0790</t>
  </si>
  <si>
    <t>00-635-4638</t>
  </si>
  <si>
    <t>4 Bashford Court</t>
  </si>
  <si>
    <t>89-602-6755</t>
  </si>
  <si>
    <t>51-054-3811</t>
  </si>
  <si>
    <t>04 Rockefeller Terrace</t>
  </si>
  <si>
    <t>63-162-9244</t>
  </si>
  <si>
    <t>58-945-2944</t>
  </si>
  <si>
    <t>6 Anniversary Circle</t>
  </si>
  <si>
    <t>49-579-4325</t>
  </si>
  <si>
    <t>98-558-5813</t>
  </si>
  <si>
    <t>84148 Prairie Rose Center</t>
  </si>
  <si>
    <t>96-503-7712</t>
  </si>
  <si>
    <t>97-325-5889</t>
  </si>
  <si>
    <t>851 Hollow Ridge Center</t>
  </si>
  <si>
    <t>56-213-0577</t>
  </si>
  <si>
    <t>72-306-8602</t>
  </si>
  <si>
    <t>Eazzy</t>
  </si>
  <si>
    <t>736 Redwing Parkway</t>
  </si>
  <si>
    <t>24-989-3302</t>
  </si>
  <si>
    <t>89-159-0852</t>
  </si>
  <si>
    <t>911 Merry Junction</t>
  </si>
  <si>
    <t>79-920-2395</t>
  </si>
  <si>
    <t>70-825-7341</t>
  </si>
  <si>
    <t>482 Green Center</t>
  </si>
  <si>
    <t>73-118-1117</t>
  </si>
  <si>
    <t>55-557-8544</t>
  </si>
  <si>
    <t>9738 Old Shore Trail</t>
  </si>
  <si>
    <t>65-674-6076</t>
  </si>
  <si>
    <t>16-933-3355</t>
  </si>
  <si>
    <t>959 Dorton Pass</t>
  </si>
  <si>
    <t>66-312-5511</t>
  </si>
  <si>
    <t>99-553-6838</t>
  </si>
  <si>
    <t>43211 Lakeland Place</t>
  </si>
  <si>
    <t>58-005-5343</t>
  </si>
  <si>
    <t>83-401-2709</t>
  </si>
  <si>
    <t>8/21/2024</t>
  </si>
  <si>
    <t>66879 Susan Place</t>
  </si>
  <si>
    <t>40-795-0753</t>
  </si>
  <si>
    <t>47-183-4911</t>
  </si>
  <si>
    <t>582 Sauthoff Crossing</t>
  </si>
  <si>
    <t>73-401-5721</t>
  </si>
  <si>
    <t>38-622-5251</t>
  </si>
  <si>
    <t>97687 Mendota Terrace</t>
  </si>
  <si>
    <t>53-680-5293</t>
  </si>
  <si>
    <t>47-732-4446</t>
  </si>
  <si>
    <t>36 Bobwhite Parkway</t>
  </si>
  <si>
    <t>02-170-5225</t>
  </si>
  <si>
    <t>90-940-9550</t>
  </si>
  <si>
    <t>0 Sutteridge Trail</t>
  </si>
  <si>
    <t>55-680-0982</t>
  </si>
  <si>
    <t>57-412-5368</t>
  </si>
  <si>
    <t>17780 Lindbergh Junction</t>
  </si>
  <si>
    <t>48-414-6162</t>
  </si>
  <si>
    <t>10-060-8515</t>
  </si>
  <si>
    <t>13 Loomis Alley</t>
  </si>
  <si>
    <t>71-631-5875</t>
  </si>
  <si>
    <t>91-859-1733</t>
  </si>
  <si>
    <t>19 Aberg Trail</t>
  </si>
  <si>
    <t>34-538-1180</t>
  </si>
  <si>
    <t>40-907-4937</t>
  </si>
  <si>
    <t>938 Hanover Point</t>
  </si>
  <si>
    <t>48-957-6116</t>
  </si>
  <si>
    <t>34-334-6888</t>
  </si>
  <si>
    <t>Oyoyo</t>
  </si>
  <si>
    <t>2 Kingsford Center</t>
  </si>
  <si>
    <t>32-261-0008</t>
  </si>
  <si>
    <t>26-073-5798</t>
  </si>
  <si>
    <t>Leenti</t>
  </si>
  <si>
    <t>42397 Knutson Place</t>
  </si>
  <si>
    <t>34-110-1040</t>
  </si>
  <si>
    <t>14-427-6604</t>
  </si>
  <si>
    <t>611 Fieldstone Drive</t>
  </si>
  <si>
    <t>74-132-5528</t>
  </si>
  <si>
    <t>41-713-1053</t>
  </si>
  <si>
    <t>25923 Loeprich Junction</t>
  </si>
  <si>
    <t>15-797-4824</t>
  </si>
  <si>
    <t>46-830-4835</t>
  </si>
  <si>
    <t>7834 Cordelia Alley</t>
  </si>
  <si>
    <t>76-854-0095</t>
  </si>
  <si>
    <t>38-883-3382</t>
  </si>
  <si>
    <t>929 Thierer Lane</t>
  </si>
  <si>
    <t>94-092-3355</t>
  </si>
  <si>
    <t>76-641-2070</t>
  </si>
  <si>
    <t>973 Spaight Place</t>
  </si>
  <si>
    <t>99-194-5600</t>
  </si>
  <si>
    <t>70-064-6828</t>
  </si>
  <si>
    <t>883 Marcy Place</t>
  </si>
  <si>
    <t>40-205-8252</t>
  </si>
  <si>
    <t>68-493-0378</t>
  </si>
  <si>
    <t>6211 Hanson Terrace</t>
  </si>
  <si>
    <t>69-674-5387</t>
  </si>
  <si>
    <t>04-313-0298</t>
  </si>
  <si>
    <t>0 Oak Valley Lane</t>
  </si>
  <si>
    <t>04-293-6969</t>
  </si>
  <si>
    <t>69-087-6645</t>
  </si>
  <si>
    <t>84 Hoffman Way</t>
  </si>
  <si>
    <t>21-890-2826</t>
  </si>
  <si>
    <t>32-371-1686</t>
  </si>
  <si>
    <t>315 Acker Alley</t>
  </si>
  <si>
    <t>65-759-3721</t>
  </si>
  <si>
    <t>21-634-5781</t>
  </si>
  <si>
    <t>7 Anzinger Lane</t>
  </si>
  <si>
    <t>36-383-3677</t>
  </si>
  <si>
    <t>88-020-6814</t>
  </si>
  <si>
    <t>Gigazoom</t>
  </si>
  <si>
    <t>61057 Hallows Junction</t>
  </si>
  <si>
    <t>84-546-7624</t>
  </si>
  <si>
    <t>34-730-9079</t>
  </si>
  <si>
    <t>8851 Superior Park</t>
  </si>
  <si>
    <t>77-827-0820</t>
  </si>
  <si>
    <t>46-590-7639</t>
  </si>
  <si>
    <t>00 6th Parkway</t>
  </si>
  <si>
    <t>57-562-2358</t>
  </si>
  <si>
    <t>22-644-6447</t>
  </si>
  <si>
    <t>9848 Little Fleur Point</t>
  </si>
  <si>
    <t>93-218-8108</t>
  </si>
  <si>
    <t>05-966-6460</t>
  </si>
  <si>
    <t>12 Luster Terrace</t>
  </si>
  <si>
    <t>81-354-4203</t>
  </si>
  <si>
    <t>15-466-5131</t>
  </si>
  <si>
    <t>6 John Wall Plaza</t>
  </si>
  <si>
    <t>57-613-5779</t>
  </si>
  <si>
    <t>29-009-9132</t>
  </si>
  <si>
    <t>3 Dottie Junction</t>
  </si>
  <si>
    <t>49-919-8798</t>
  </si>
  <si>
    <t>82-482-3670</t>
  </si>
  <si>
    <t>7 Victoria Hill</t>
  </si>
  <si>
    <t>70-542-4269</t>
  </si>
  <si>
    <t>27-772-7906</t>
  </si>
  <si>
    <t>3 Logan Trail</t>
  </si>
  <si>
    <t>43-670-8544</t>
  </si>
  <si>
    <t>16-656-4821</t>
  </si>
  <si>
    <t>$2.85</t>
  </si>
  <si>
    <t>30590 Bowman Alley</t>
  </si>
  <si>
    <t>29-436-6570</t>
  </si>
  <si>
    <t>12-140-7809</t>
  </si>
  <si>
    <t>0 Lawn Parkway</t>
  </si>
  <si>
    <t>10-617-7581</t>
  </si>
  <si>
    <t>86-995-7254</t>
  </si>
  <si>
    <t>7 Lunder Hill</t>
  </si>
  <si>
    <t>50-772-2613</t>
  </si>
  <si>
    <t>74-619-4608</t>
  </si>
  <si>
    <t>Jamia</t>
  </si>
  <si>
    <t>4 Darwin Circle</t>
  </si>
  <si>
    <t>26-535-4727</t>
  </si>
  <si>
    <t>17-939-1338</t>
  </si>
  <si>
    <t>042 Di Loreto Court</t>
  </si>
  <si>
    <t>88-602-8210</t>
  </si>
  <si>
    <t>26-411-9126</t>
  </si>
  <si>
    <t>Twitterworks</t>
  </si>
  <si>
    <t>0743 4th Place</t>
  </si>
  <si>
    <t>83-966-3280</t>
  </si>
  <si>
    <t>50-305-3936</t>
  </si>
  <si>
    <t>32 Charing Cross Pass</t>
  </si>
  <si>
    <t>21-252-1360</t>
  </si>
  <si>
    <t>28-314-1189</t>
  </si>
  <si>
    <t>11 Thackeray Hill</t>
  </si>
  <si>
    <t>89-922-4773</t>
  </si>
  <si>
    <t>99-455-0707</t>
  </si>
  <si>
    <t>6225 Westend Pass</t>
  </si>
  <si>
    <t>15-884-7413</t>
  </si>
  <si>
    <t>39-412-7454</t>
  </si>
  <si>
    <t>97 Sunnyside Court</t>
  </si>
  <si>
    <t>82-243-3180</t>
  </si>
  <si>
    <t>18-631-1458</t>
  </si>
  <si>
    <t>63464 Jana Court</t>
  </si>
  <si>
    <t>33-807-7247</t>
  </si>
  <si>
    <t>94-453-3755</t>
  </si>
  <si>
    <t>6 Susan Alley</t>
  </si>
  <si>
    <t>07-858-5487</t>
  </si>
  <si>
    <t>92-991-6167</t>
  </si>
  <si>
    <t>1715 Dottie Pass</t>
  </si>
  <si>
    <t>27-387-0428</t>
  </si>
  <si>
    <t>62-312-2748</t>
  </si>
  <si>
    <t>Photospace</t>
  </si>
  <si>
    <t>91 Kinsman Terrace</t>
  </si>
  <si>
    <t>79-741-0770</t>
  </si>
  <si>
    <t>67-771-7656</t>
  </si>
  <si>
    <t>867 Merrick Place</t>
  </si>
  <si>
    <t>34-086-3222</t>
  </si>
  <si>
    <t>34-017-9457</t>
  </si>
  <si>
    <t>339 Crescent Oaks Plaza</t>
  </si>
  <si>
    <t>93-166-3169</t>
  </si>
  <si>
    <t>21-156-0102</t>
  </si>
  <si>
    <t>1 Judy Street</t>
  </si>
  <si>
    <t>74-548-9313</t>
  </si>
  <si>
    <t>69-832-7009</t>
  </si>
  <si>
    <t>996 Thierer Center</t>
  </si>
  <si>
    <t>53-710-7630</t>
  </si>
  <si>
    <t>46-171-9624</t>
  </si>
  <si>
    <t>Jaxbean</t>
  </si>
  <si>
    <t>06584 Mendota Avenue</t>
  </si>
  <si>
    <t>64-119-7804</t>
  </si>
  <si>
    <t>53-497-9614</t>
  </si>
  <si>
    <t>3 Raven Court</t>
  </si>
  <si>
    <t>40-810-9261</t>
  </si>
  <si>
    <t>56-554-1762</t>
  </si>
  <si>
    <t>84 Washington Crossing</t>
  </si>
  <si>
    <t>91-553-1774</t>
  </si>
  <si>
    <t>74-943-4552</t>
  </si>
  <si>
    <t>Dynazzy</t>
  </si>
  <si>
    <t>428 Oriole Avenue</t>
  </si>
  <si>
    <t>39-192-3521</t>
  </si>
  <si>
    <t>74-062-7176</t>
  </si>
  <si>
    <t>$30.50</t>
  </si>
  <si>
    <t>3 Melrose Trail</t>
  </si>
  <si>
    <t>63-890-1246</t>
  </si>
  <si>
    <t>29-273-1595</t>
  </si>
  <si>
    <t>290 Rusk Avenue</t>
  </si>
  <si>
    <t>71-954-4501</t>
  </si>
  <si>
    <t>26-135-6134</t>
  </si>
  <si>
    <t>0 Oxford Crossing</t>
  </si>
  <si>
    <t>00-357-2313</t>
  </si>
  <si>
    <t>93-619-6639</t>
  </si>
  <si>
    <t>Dabvine</t>
  </si>
  <si>
    <t>99 Fair Oaks Circle</t>
  </si>
  <si>
    <t>29-756-7042</t>
  </si>
  <si>
    <t>20-426-2191</t>
  </si>
  <si>
    <t>461 Bluejay Circle</t>
  </si>
  <si>
    <t>92-551-8504</t>
  </si>
  <si>
    <t>22-836-5101</t>
  </si>
  <si>
    <t>21844 Artisan Trail</t>
  </si>
  <si>
    <t>61-317-9944</t>
  </si>
  <si>
    <t>03-220-5535</t>
  </si>
  <si>
    <t>081 Bellgrove Place</t>
  </si>
  <si>
    <t>03-276-3931</t>
  </si>
  <si>
    <t>42-224-8186</t>
  </si>
  <si>
    <t>6891 Mandrake Park</t>
  </si>
  <si>
    <t>02-275-6061</t>
  </si>
  <si>
    <t>21-829-0398</t>
  </si>
  <si>
    <t>Divanoodle</t>
  </si>
  <si>
    <t>73966 Pond Trail</t>
  </si>
  <si>
    <t>72-970-0239</t>
  </si>
  <si>
    <t>64-752-3122</t>
  </si>
  <si>
    <t>Fatz</t>
  </si>
  <si>
    <t>5 Warner Court</t>
  </si>
  <si>
    <t>36-679-4670</t>
  </si>
  <si>
    <t>60-508-7567</t>
  </si>
  <si>
    <t>9623 Cottonwood Park</t>
  </si>
  <si>
    <t>13-409-9040</t>
  </si>
  <si>
    <t>34-303-5097</t>
  </si>
  <si>
    <t>$25.25</t>
  </si>
  <si>
    <t>5 Mesta Center</t>
  </si>
  <si>
    <t>88-408-0310</t>
  </si>
  <si>
    <t>91-002-3027</t>
  </si>
  <si>
    <t>Twiyo</t>
  </si>
  <si>
    <t>81071 West Alley</t>
  </si>
  <si>
    <t>57-359-3397</t>
  </si>
  <si>
    <t>54-659-1177</t>
  </si>
  <si>
    <t>38 Esch Pass</t>
  </si>
  <si>
    <t>01-050-2246</t>
  </si>
  <si>
    <t>80-462-5807</t>
  </si>
  <si>
    <t>8 Dawn Court</t>
  </si>
  <si>
    <t>47-581-0363</t>
  </si>
  <si>
    <t>08-359-2568</t>
  </si>
  <si>
    <t>2869 Hudson Drive</t>
  </si>
  <si>
    <t>33-670-6797</t>
  </si>
  <si>
    <t>74-032-7560</t>
  </si>
  <si>
    <t>83291 Hansons Crossing</t>
  </si>
  <si>
    <t>69-578-7930</t>
  </si>
  <si>
    <t>37-728-5274</t>
  </si>
  <si>
    <t>4 Esch Point</t>
  </si>
  <si>
    <t>75-672-4378</t>
  </si>
  <si>
    <t>20-103-9525</t>
  </si>
  <si>
    <t>492 Shoshone Road</t>
  </si>
  <si>
    <t>31-211-5803</t>
  </si>
  <si>
    <t>75-503-9347</t>
  </si>
  <si>
    <t>26 Graceland Circle</t>
  </si>
  <si>
    <t>49-861-7823</t>
  </si>
  <si>
    <t>22-152-0111</t>
  </si>
  <si>
    <t>9 Eastlawn Crossing</t>
  </si>
  <si>
    <t>84-624-0201</t>
  </si>
  <si>
    <t>25-769-3792</t>
  </si>
  <si>
    <t>22 Dexter Trail</t>
  </si>
  <si>
    <t>66-993-4234</t>
  </si>
  <si>
    <t>15-852-0491</t>
  </si>
  <si>
    <t>Thoughtsphere</t>
  </si>
  <si>
    <t>5030 Moose Junction</t>
  </si>
  <si>
    <t>00-963-2193</t>
  </si>
  <si>
    <t>39-521-8484</t>
  </si>
  <si>
    <t>206 Pine View Junction</t>
  </si>
  <si>
    <t>99-420-3592</t>
  </si>
  <si>
    <t>88-647-5082</t>
  </si>
  <si>
    <t>868 Swallow Point</t>
  </si>
  <si>
    <t>76-623-7844</t>
  </si>
  <si>
    <t>84-498-3849</t>
  </si>
  <si>
    <t>Voonte</t>
  </si>
  <si>
    <t>65 Merry Circle</t>
  </si>
  <si>
    <t>28-003-8065</t>
  </si>
  <si>
    <t>42-579-7177</t>
  </si>
  <si>
    <t>26 Barnett Junction</t>
  </si>
  <si>
    <t>28-008-2951</t>
  </si>
  <si>
    <t>64-118-1480</t>
  </si>
  <si>
    <t>36 Longview Street</t>
  </si>
  <si>
    <t>45-402-0421</t>
  </si>
  <si>
    <t>87-201-6047</t>
  </si>
  <si>
    <t>1034 2nd Point</t>
  </si>
  <si>
    <t>73-942-0508</t>
  </si>
  <si>
    <t>37-057-3553</t>
  </si>
  <si>
    <t>111 David Hill</t>
  </si>
  <si>
    <t>22-266-9291</t>
  </si>
  <si>
    <t>15-550-0171</t>
  </si>
  <si>
    <t>25 Nancy Place</t>
  </si>
  <si>
    <t>06-068-6793</t>
  </si>
  <si>
    <t>94-958-6101</t>
  </si>
  <si>
    <t>33424 Express Avenue</t>
  </si>
  <si>
    <t>58-063-8633</t>
  </si>
  <si>
    <t>21-932-5200</t>
  </si>
  <si>
    <t>67677 Lakewood Gardens Way</t>
  </si>
  <si>
    <t>27-442-3654</t>
  </si>
  <si>
    <t>57-544-2465</t>
  </si>
  <si>
    <t>884 Fieldstone Plaza</t>
  </si>
  <si>
    <t>03-043-9933</t>
  </si>
  <si>
    <t>48-450-4126</t>
  </si>
  <si>
    <t>4105 Fair Oaks Parkway</t>
  </si>
  <si>
    <t>99-137-1730</t>
  </si>
  <si>
    <t>65-797-3468</t>
  </si>
  <si>
    <t>665 Sommers Circle</t>
  </si>
  <si>
    <t>09-622-7119</t>
  </si>
  <si>
    <t>59-781-3399</t>
  </si>
  <si>
    <t>622 Buena Vista Trail</t>
  </si>
  <si>
    <t>95-356-1566</t>
  </si>
  <si>
    <t>57-204-2098</t>
  </si>
  <si>
    <t>083 Gulseth Pass</t>
  </si>
  <si>
    <t>22-319-1377</t>
  </si>
  <si>
    <t>82-266-1796</t>
  </si>
  <si>
    <t>022 Prairie Rose Drive</t>
  </si>
  <si>
    <t>89-181-4523</t>
  </si>
  <si>
    <t>54-749-3622</t>
  </si>
  <si>
    <t>Aimbu</t>
  </si>
  <si>
    <t>0 Oneill Hill</t>
  </si>
  <si>
    <t>38-555-9147</t>
  </si>
  <si>
    <t>35-370-7603</t>
  </si>
  <si>
    <t>992 East Point</t>
  </si>
  <si>
    <t>53-667-4109</t>
  </si>
  <si>
    <t>40-800-4739</t>
  </si>
  <si>
    <t>21629 Burrows Pass</t>
  </si>
  <si>
    <t>14-489-8669</t>
  </si>
  <si>
    <t>28-436-5158</t>
  </si>
  <si>
    <t>5414 Linden Point</t>
  </si>
  <si>
    <t>26-031-8070</t>
  </si>
  <si>
    <t>11-096-4003</t>
  </si>
  <si>
    <t>Teklist</t>
  </si>
  <si>
    <t>60 Messerschmidt Pass</t>
  </si>
  <si>
    <t>47-221-2470</t>
  </si>
  <si>
    <t>30-780-7583</t>
  </si>
  <si>
    <t>Fivespan</t>
  </si>
  <si>
    <t>92 Bartelt Terrace</t>
  </si>
  <si>
    <t>67-382-4435</t>
  </si>
  <si>
    <t>49-901-0828</t>
  </si>
  <si>
    <t>071 Nobel Circle</t>
  </si>
  <si>
    <t>94-029-2717</t>
  </si>
  <si>
    <t>37-878-9392</t>
  </si>
  <si>
    <t>30880 Barnett Junction</t>
  </si>
  <si>
    <t>47-866-6589</t>
  </si>
  <si>
    <t>78-203-1075</t>
  </si>
  <si>
    <t>Jabbercube</t>
  </si>
  <si>
    <t>116 Spaight Park</t>
  </si>
  <si>
    <t>94-355-3070</t>
  </si>
  <si>
    <t>73-393-9432</t>
  </si>
  <si>
    <t>$6.80</t>
  </si>
  <si>
    <t>Yozio</t>
  </si>
  <si>
    <t>317 Anniversary Pass</t>
  </si>
  <si>
    <t>82-342-7339</t>
  </si>
  <si>
    <t>14-325-9173</t>
  </si>
  <si>
    <t>5 Killdeer Trail</t>
  </si>
  <si>
    <t>80-459-5950</t>
  </si>
  <si>
    <t>04-866-2231</t>
  </si>
  <si>
    <t>05 Bartelt Street</t>
  </si>
  <si>
    <t>67-248-6306</t>
  </si>
  <si>
    <t>86-173-6891</t>
  </si>
  <si>
    <t>55 Cherokee Circle</t>
  </si>
  <si>
    <t>68-973-8812</t>
  </si>
  <si>
    <t>31-955-7362</t>
  </si>
  <si>
    <t>387 Jay Point</t>
  </si>
  <si>
    <t>11-325-7396</t>
  </si>
  <si>
    <t>98-940-7545</t>
  </si>
  <si>
    <t>9695 Alpine Trail</t>
  </si>
  <si>
    <t>68-761-6907</t>
  </si>
  <si>
    <t>31-199-3683</t>
  </si>
  <si>
    <t>1468 Meadow Vale Court</t>
  </si>
  <si>
    <t>62-509-0666</t>
  </si>
  <si>
    <t>16-419-1419</t>
  </si>
  <si>
    <t>022 Pierstorff Point</t>
  </si>
  <si>
    <t>44-476-0390</t>
  </si>
  <si>
    <t>48-562-3582</t>
  </si>
  <si>
    <t>33 Clarendon Hill</t>
  </si>
  <si>
    <t>08-213-2058</t>
  </si>
  <si>
    <t>13-179-9553</t>
  </si>
  <si>
    <t>2 School Drive</t>
  </si>
  <si>
    <t>35-529-2933</t>
  </si>
  <si>
    <t>57-591-6452</t>
  </si>
  <si>
    <t>120 Gale Circle</t>
  </si>
  <si>
    <t>24-364-3341</t>
  </si>
  <si>
    <t>13-290-8513</t>
  </si>
  <si>
    <t>582 Dahle Center</t>
  </si>
  <si>
    <t>65-644-1394</t>
  </si>
  <si>
    <t>23-280-1300</t>
  </si>
  <si>
    <t>39014 Randy Court</t>
  </si>
  <si>
    <t>88-401-3700</t>
  </si>
  <si>
    <t>39-299-6093</t>
  </si>
  <si>
    <t>4247 David Crossing</t>
  </si>
  <si>
    <t>47-441-7682</t>
  </si>
  <si>
    <t>90-998-1236</t>
  </si>
  <si>
    <t>6482 Ramsey Alley</t>
  </si>
  <si>
    <t>68-977-2498</t>
  </si>
  <si>
    <t>26-222-1156</t>
  </si>
  <si>
    <t>153 Caliangt Plaza</t>
  </si>
  <si>
    <t>37-567-3218</t>
  </si>
  <si>
    <t>03-257-4437</t>
  </si>
  <si>
    <t>99 Twin Pines Alley</t>
  </si>
  <si>
    <t>87-903-3486</t>
  </si>
  <si>
    <t>90-378-8463</t>
  </si>
  <si>
    <t>6 Swallow Crossing</t>
  </si>
  <si>
    <t>96-316-7600</t>
  </si>
  <si>
    <t>76-671-7104</t>
  </si>
  <si>
    <t>53894 Myrtle Place</t>
  </si>
  <si>
    <t>00-842-9790</t>
  </si>
  <si>
    <t>37-079-2530</t>
  </si>
  <si>
    <t>1275 Lawn Center</t>
  </si>
  <si>
    <t>96-164-0607</t>
  </si>
  <si>
    <t>15-655-3923</t>
  </si>
  <si>
    <t>504 Green Park</t>
  </si>
  <si>
    <t>04-240-2226</t>
  </si>
  <si>
    <t>65-842-6819</t>
  </si>
  <si>
    <t>9 Bartillon Trail</t>
  </si>
  <si>
    <t>97-772-2336</t>
  </si>
  <si>
    <t>19-704-4404</t>
  </si>
  <si>
    <t>5900 Vahlen Avenue</t>
  </si>
  <si>
    <t>63-822-5278</t>
  </si>
  <si>
    <t>27-636-1606</t>
  </si>
  <si>
    <t>6990 Kings Place</t>
  </si>
  <si>
    <t>19-967-0632</t>
  </si>
  <si>
    <t>90-445-1753</t>
  </si>
  <si>
    <t>4 Old Shore Avenue</t>
  </si>
  <si>
    <t>28-986-8001</t>
  </si>
  <si>
    <t>37-281-2537</t>
  </si>
  <si>
    <t>012 Mockingbird Court</t>
  </si>
  <si>
    <t>44-128-2185</t>
  </si>
  <si>
    <t>79-091-7381</t>
  </si>
  <si>
    <t>739 Rowland Way</t>
  </si>
  <si>
    <t>84-327-7787</t>
  </si>
  <si>
    <t>97-571-0561</t>
  </si>
  <si>
    <t>772 Golf Course Junction</t>
  </si>
  <si>
    <t>50-364-5828</t>
  </si>
  <si>
    <t>17-239-6309</t>
  </si>
  <si>
    <t>Browsedrive</t>
  </si>
  <si>
    <t>231 Merry Pass</t>
  </si>
  <si>
    <t>65-368-2479</t>
  </si>
  <si>
    <t>99-570-8162</t>
  </si>
  <si>
    <t>7 Hooker Way</t>
  </si>
  <si>
    <t>17-253-5688</t>
  </si>
  <si>
    <t>42-638-2086</t>
  </si>
  <si>
    <t>48 Del Sol Trail</t>
  </si>
  <si>
    <t>29-205-1132</t>
  </si>
  <si>
    <t>38-037-1699</t>
  </si>
  <si>
    <t>Pixoboo</t>
  </si>
  <si>
    <t>76 Independence Drive</t>
  </si>
  <si>
    <t>64-854-8664</t>
  </si>
  <si>
    <t>19-893-7698</t>
  </si>
  <si>
    <t>08 Randy Junction</t>
  </si>
  <si>
    <t>66-627-9752</t>
  </si>
  <si>
    <t>87-839-6400</t>
  </si>
  <si>
    <t>94451 Arkansas Park</t>
  </si>
  <si>
    <t>62-795-7801</t>
  </si>
  <si>
    <t>08-312-0872</t>
  </si>
  <si>
    <t>322 Birchwood Center</t>
  </si>
  <si>
    <t>40-683-0283</t>
  </si>
  <si>
    <t>27-060-9944</t>
  </si>
  <si>
    <t>5 Homewood Street</t>
  </si>
  <si>
    <t>87-423-8486</t>
  </si>
  <si>
    <t>12-947-4739</t>
  </si>
  <si>
    <t>3 Hooker Way</t>
  </si>
  <si>
    <t>16-499-5059</t>
  </si>
  <si>
    <t>09-090-6360</t>
  </si>
  <si>
    <t>8 Surrey Pass</t>
  </si>
  <si>
    <t>05-334-2923</t>
  </si>
  <si>
    <t>41-772-6271</t>
  </si>
  <si>
    <t>2 Petterle Road</t>
  </si>
  <si>
    <t>74-845-3299</t>
  </si>
  <si>
    <t>21-792-1000</t>
  </si>
  <si>
    <t>57598 Russell Center</t>
  </si>
  <si>
    <t>10-249-7928</t>
  </si>
  <si>
    <t>69-861-0313</t>
  </si>
  <si>
    <t>73397 Steensland Circle</t>
  </si>
  <si>
    <t>08-725-8156</t>
  </si>
  <si>
    <t>32-196-4714</t>
  </si>
  <si>
    <t>8 Autumn Leaf Drive</t>
  </si>
  <si>
    <t>41-240-8856</t>
  </si>
  <si>
    <t>28-162-7486</t>
  </si>
  <si>
    <t>9463 Northland Court</t>
  </si>
  <si>
    <t>35-257-9312</t>
  </si>
  <si>
    <t>35-927-4986</t>
  </si>
  <si>
    <t>41 Nelson Center</t>
  </si>
  <si>
    <t>13-980-8804</t>
  </si>
  <si>
    <t>20-608-1290</t>
  </si>
  <si>
    <t>2633 Shasta Alley</t>
  </si>
  <si>
    <t>68-977-6854</t>
  </si>
  <si>
    <t>73-830-9633</t>
  </si>
  <si>
    <t>904 Del Mar Crossing</t>
  </si>
  <si>
    <t>90-773-9557</t>
  </si>
  <si>
    <t>02-165-5779</t>
  </si>
  <si>
    <t>33774 Carberry Circle</t>
  </si>
  <si>
    <t>89-328-9019</t>
  </si>
  <si>
    <t>63-057-0462</t>
  </si>
  <si>
    <t>Dynava</t>
  </si>
  <si>
    <t>2 Barby Lane</t>
  </si>
  <si>
    <t>59-075-2457</t>
  </si>
  <si>
    <t>18-733-2453</t>
  </si>
  <si>
    <t>44638 Corscot Lane</t>
  </si>
  <si>
    <t>31-627-6025</t>
  </si>
  <si>
    <t>17-084-8551</t>
  </si>
  <si>
    <t>4 Jay Terrace</t>
  </si>
  <si>
    <t>28-824-9017</t>
  </si>
  <si>
    <t>93-712-3934</t>
  </si>
  <si>
    <t>49476 Tony Hill</t>
  </si>
  <si>
    <t>06-858-5680</t>
  </si>
  <si>
    <t>63-231-2829</t>
  </si>
  <si>
    <t>Photojam</t>
  </si>
  <si>
    <t>3645 Ridge Oak Drive</t>
  </si>
  <si>
    <t>38-732-7667</t>
  </si>
  <si>
    <t>88-663-3393</t>
  </si>
  <si>
    <t>20073 Northfield Way</t>
  </si>
  <si>
    <t>85-237-3505</t>
  </si>
  <si>
    <t>92-296-1266</t>
  </si>
  <si>
    <t>955 4th Road</t>
  </si>
  <si>
    <t>73-117-6105</t>
  </si>
  <si>
    <t>74-729-7466</t>
  </si>
  <si>
    <t>226 Calypso Road</t>
  </si>
  <si>
    <t>46-436-5351</t>
  </si>
  <si>
    <t>07-471-0050</t>
  </si>
  <si>
    <t>$8.50</t>
  </si>
  <si>
    <t>3 Hermina Circle</t>
  </si>
  <si>
    <t>56-303-5256</t>
  </si>
  <si>
    <t>29-821-5359</t>
  </si>
  <si>
    <t>561 Blue Bill Park Road</t>
  </si>
  <si>
    <t>57-394-1587</t>
  </si>
  <si>
    <t>59-595-7531</t>
  </si>
  <si>
    <t>05944 Scott Parkway</t>
  </si>
  <si>
    <t>51-934-9117</t>
  </si>
  <si>
    <t>34-389-9922</t>
  </si>
  <si>
    <t>6 Acker Street</t>
  </si>
  <si>
    <t>77-377-1659</t>
  </si>
  <si>
    <t>64-674-3902</t>
  </si>
  <si>
    <t>739 Swallow Road</t>
  </si>
  <si>
    <t>27-262-2437</t>
  </si>
  <si>
    <t>05-181-2682</t>
  </si>
  <si>
    <t>$8.10</t>
  </si>
  <si>
    <t>2 Basil Street</t>
  </si>
  <si>
    <t>71-085-4290</t>
  </si>
  <si>
    <t>26-593-3478</t>
  </si>
  <si>
    <t>60241 Portage Point</t>
  </si>
  <si>
    <t>87-675-1506</t>
  </si>
  <si>
    <t>21-697-8128</t>
  </si>
  <si>
    <t>5426 Fordem Pass</t>
  </si>
  <si>
    <t>77-224-2227</t>
  </si>
  <si>
    <t>89-226-5813</t>
  </si>
  <si>
    <t>15 Veith Circle</t>
  </si>
  <si>
    <t>94-658-4945</t>
  </si>
  <si>
    <t>09-153-0763</t>
  </si>
  <si>
    <t>1 Hudson Hill</t>
  </si>
  <si>
    <t>15-562-3712</t>
  </si>
  <si>
    <t>53-243-7800</t>
  </si>
  <si>
    <t>Thoughtworks</t>
  </si>
  <si>
    <t>15658 Talisman Lane</t>
  </si>
  <si>
    <t>98-546-7398</t>
  </si>
  <si>
    <t>37-921-2953</t>
  </si>
  <si>
    <t>35 Portage Road</t>
  </si>
  <si>
    <t>36-177-0573</t>
  </si>
  <si>
    <t>62-687-0951</t>
  </si>
  <si>
    <t>308 Doe Crossing Pass</t>
  </si>
  <si>
    <t>39-358-3340</t>
  </si>
  <si>
    <t>86-841-4440</t>
  </si>
  <si>
    <t>127 Eliot Road</t>
  </si>
  <si>
    <t>11-733-1756</t>
  </si>
  <si>
    <t>27-970-8649</t>
  </si>
  <si>
    <t>3 Bunting Point</t>
  </si>
  <si>
    <t>01-026-2772</t>
  </si>
  <si>
    <t>20-532-0144</t>
  </si>
  <si>
    <t>6 Harbort Hill</t>
  </si>
  <si>
    <t>84-198-7276</t>
  </si>
  <si>
    <t>34-158-6684</t>
  </si>
  <si>
    <t>376 Reinke Court</t>
  </si>
  <si>
    <t>56-810-0550</t>
  </si>
  <si>
    <t>94-145-9423</t>
  </si>
  <si>
    <t>3 Ronald Regan Center</t>
  </si>
  <si>
    <t>40-751-8635</t>
  </si>
  <si>
    <t>48-878-3021</t>
  </si>
  <si>
    <t>$3.40</t>
  </si>
  <si>
    <t>43107 Schlimgen Circle</t>
  </si>
  <si>
    <t>14-305-9690</t>
  </si>
  <si>
    <t>13-457-9946</t>
  </si>
  <si>
    <t>28 Boyd Pass</t>
  </si>
  <si>
    <t>83-727-0814</t>
  </si>
  <si>
    <t>79-656-1990</t>
  </si>
  <si>
    <t>62238 Mallory Place</t>
  </si>
  <si>
    <t>71-015-9181</t>
  </si>
  <si>
    <t>56-196-9896</t>
  </si>
  <si>
    <t>9516 Burrows Circle</t>
  </si>
  <si>
    <t>51-572-5497</t>
  </si>
  <si>
    <t>43-035-3382</t>
  </si>
  <si>
    <t>1008 Welch Street</t>
  </si>
  <si>
    <t>06-797-4963</t>
  </si>
  <si>
    <t>41-821-0197</t>
  </si>
  <si>
    <t>1700 Briar Crest Parkway</t>
  </si>
  <si>
    <t>42-141-5718</t>
  </si>
  <si>
    <t>67-662-3444</t>
  </si>
  <si>
    <t>53 Homewood Alley</t>
  </si>
  <si>
    <t>37-606-0510</t>
  </si>
  <si>
    <t>09-489-6314</t>
  </si>
  <si>
    <t>43591 East Road</t>
  </si>
  <si>
    <t>44-480-9446</t>
  </si>
  <si>
    <t>35-000-6015</t>
  </si>
  <si>
    <t>Brainbox</t>
  </si>
  <si>
    <t>79 Cardinal Court</t>
  </si>
  <si>
    <t>78-237-0277</t>
  </si>
  <si>
    <t>50-314-5433</t>
  </si>
  <si>
    <t>26240 Maple Wood Place</t>
  </si>
  <si>
    <t>87-997-0228</t>
  </si>
  <si>
    <t>55-156-6528</t>
  </si>
  <si>
    <t>78 Forest Dale Road</t>
  </si>
  <si>
    <t>42-674-3917</t>
  </si>
  <si>
    <t>26-080-4944</t>
  </si>
  <si>
    <t>$2.65</t>
  </si>
  <si>
    <t>25696 Westerfield Alley</t>
  </si>
  <si>
    <t>28-185-7303</t>
  </si>
  <si>
    <t>97-143-0641</t>
  </si>
  <si>
    <t>Fanoodle</t>
  </si>
  <si>
    <t>56 Petterle Circle</t>
  </si>
  <si>
    <t>45-852-2446</t>
  </si>
  <si>
    <t>37-567-5710</t>
  </si>
  <si>
    <t>1247 Hoard Hill</t>
  </si>
  <si>
    <t>56-831-6199</t>
  </si>
  <si>
    <t>99-680-2351</t>
  </si>
  <si>
    <t>700 Northland Crossing</t>
  </si>
  <si>
    <t>82-538-4809</t>
  </si>
  <si>
    <t>74-357-2990</t>
  </si>
  <si>
    <t>8 Heffernan Point</t>
  </si>
  <si>
    <t>87-698-0944</t>
  </si>
  <si>
    <t>73-717-0190</t>
  </si>
  <si>
    <t>$98.43</t>
  </si>
  <si>
    <t>Edgeclub</t>
  </si>
  <si>
    <t>39 Dovetail Terrace</t>
  </si>
  <si>
    <t>30-964-2694</t>
  </si>
  <si>
    <t>42-976-2737</t>
  </si>
  <si>
    <t>5649 Vidon Plaza</t>
  </si>
  <si>
    <t>09-335-7793</t>
  </si>
  <si>
    <t>96-918-7047</t>
  </si>
  <si>
    <t>289 Longview Point</t>
  </si>
  <si>
    <t>99-033-5661</t>
  </si>
  <si>
    <t>32-458-6452</t>
  </si>
  <si>
    <t>46989 Crescent Oaks Junction</t>
  </si>
  <si>
    <t>90-128-7973</t>
  </si>
  <si>
    <t>91-417-6283</t>
  </si>
  <si>
    <t>13799 Quincy Park</t>
  </si>
  <si>
    <t>52-797-6961</t>
  </si>
  <si>
    <t>75-793-8978</t>
  </si>
  <si>
    <t>05433 Towne Terrace</t>
  </si>
  <si>
    <t>39-232-5341</t>
  </si>
  <si>
    <t>23-319-2681</t>
  </si>
  <si>
    <t>44 Kensington Road</t>
  </si>
  <si>
    <t>46-931-6897</t>
  </si>
  <si>
    <t>22-946-8052</t>
  </si>
  <si>
    <t>Trilith</t>
  </si>
  <si>
    <t>668 Claremont Place</t>
  </si>
  <si>
    <t>56-937-8675</t>
  </si>
  <si>
    <t>37-996-3243</t>
  </si>
  <si>
    <t>674 Ryan Alley</t>
  </si>
  <si>
    <t>54-830-6971</t>
  </si>
  <si>
    <t>94-006-6480</t>
  </si>
  <si>
    <t>00029 Fisk Point</t>
  </si>
  <si>
    <t>90-865-9150</t>
  </si>
  <si>
    <t>58-053-4926</t>
  </si>
  <si>
    <t>61224 Northridge Avenue</t>
  </si>
  <si>
    <t>42-887-6557</t>
  </si>
  <si>
    <t>49-092-2735</t>
  </si>
  <si>
    <t>24385 Prentice Plaza</t>
  </si>
  <si>
    <t>94-190-5193</t>
  </si>
  <si>
    <t>95-778-2888</t>
  </si>
  <si>
    <t>052 Northland Trail</t>
  </si>
  <si>
    <t>00-440-9568</t>
  </si>
  <si>
    <t>43-605-2448</t>
  </si>
  <si>
    <t>0109 Stang Terrace</t>
  </si>
  <si>
    <t>74-294-3760</t>
  </si>
  <si>
    <t>81-233-6894</t>
  </si>
  <si>
    <t>8 Kensington Place</t>
  </si>
  <si>
    <t>66-806-6051</t>
  </si>
  <si>
    <t>19-875-5642</t>
  </si>
  <si>
    <t>16 Elgar Point</t>
  </si>
  <si>
    <t>81-844-2979</t>
  </si>
  <si>
    <t>02-575-7332</t>
  </si>
  <si>
    <t>239 Anderson Court</t>
  </si>
  <si>
    <t>80-072-8774</t>
  </si>
  <si>
    <t>61-222-8413</t>
  </si>
  <si>
    <t>1 Havey Park</t>
  </si>
  <si>
    <t>80-039-1261</t>
  </si>
  <si>
    <t>37-994-7932</t>
  </si>
  <si>
    <t>938 Garrison Court</t>
  </si>
  <si>
    <t>58-219-0241</t>
  </si>
  <si>
    <t>42-523-1857</t>
  </si>
  <si>
    <t>21379 Stoughton Junction</t>
  </si>
  <si>
    <t>94-528-8088</t>
  </si>
  <si>
    <t>68-885-5553</t>
  </si>
  <si>
    <t>60 Towne Hill</t>
  </si>
  <si>
    <t>95-349-0828</t>
  </si>
  <si>
    <t>43-977-2343</t>
  </si>
  <si>
    <t>96420 Briar Crest Lane</t>
  </si>
  <si>
    <t>03-061-1344</t>
  </si>
  <si>
    <t>85-211-5357</t>
  </si>
  <si>
    <t>Yakidoo</t>
  </si>
  <si>
    <t>0 Fordem Place</t>
  </si>
  <si>
    <t>67-984-5368</t>
  </si>
  <si>
    <t>39-714-7313</t>
  </si>
  <si>
    <t>365 Vera Terrace</t>
  </si>
  <si>
    <t>44-782-1395</t>
  </si>
  <si>
    <t>54-132-9762</t>
  </si>
  <si>
    <t>43 Washington Street</t>
  </si>
  <si>
    <t>75-927-9108</t>
  </si>
  <si>
    <t>27-406-7972</t>
  </si>
  <si>
    <t>37 Browning Trail</t>
  </si>
  <si>
    <t>78-614-4402</t>
  </si>
  <si>
    <t>51-014-4287</t>
  </si>
  <si>
    <t>32525 Marquette Park</t>
  </si>
  <si>
    <t>01-903-5373</t>
  </si>
  <si>
    <t>37-902-0286</t>
  </si>
  <si>
    <t>Dataset</t>
  </si>
  <si>
    <t>Rows</t>
  </si>
  <si>
    <t>Columns</t>
  </si>
  <si>
    <t>Blanks</t>
  </si>
  <si>
    <t>Column names</t>
  </si>
  <si>
    <t>Issues found</t>
  </si>
  <si>
    <t>Grocery Inventory</t>
  </si>
  <si>
    <t>Category</t>
  </si>
  <si>
    <t>Recorder_Level</t>
  </si>
  <si>
    <t>Recorder_Quantity</t>
  </si>
  <si>
    <t>Extra columns added</t>
  </si>
  <si>
    <t>Fix</t>
  </si>
  <si>
    <t>Stock_Value</t>
  </si>
  <si>
    <t>Stock_Quantity*Unit_Price</t>
  </si>
  <si>
    <t>What the column does</t>
  </si>
  <si>
    <t>Meaning</t>
  </si>
  <si>
    <t>Name of product</t>
  </si>
  <si>
    <t>Name of supplier</t>
  </si>
  <si>
    <t>ID of product</t>
  </si>
  <si>
    <t>ID of supplier</t>
  </si>
  <si>
    <t>Warehouse location</t>
  </si>
  <si>
    <t>When product expires</t>
  </si>
  <si>
    <t>No. of units available</t>
  </si>
  <si>
    <t>Price of one unit</t>
  </si>
  <si>
    <t>Total units sold</t>
  </si>
  <si>
    <t>Not sure</t>
  </si>
  <si>
    <t>Revenue</t>
  </si>
  <si>
    <t>Sales_Volume*Unit_Price</t>
  </si>
  <si>
    <t>Reorder_Flag</t>
  </si>
  <si>
    <t>Expiry_Status</t>
  </si>
  <si>
    <t>Is in 2024-25 so according to today's date, all products would be expired</t>
  </si>
  <si>
    <t>1_Date_Received3</t>
  </si>
  <si>
    <t>1_Expiration_Date3</t>
  </si>
  <si>
    <t>1_Expiry_Status</t>
  </si>
  <si>
    <t>Ok</t>
  </si>
  <si>
    <t>Expiring Soon</t>
  </si>
  <si>
    <t>Expired</t>
  </si>
  <si>
    <t>Days_Since_Last_Order</t>
  </si>
  <si>
    <t>Status (Active- currently being sold, 
Discontinued- no longer in use, 
Backordered-demand exists but stock isn't avaiilable)</t>
  </si>
  <si>
    <t>When product arrived in warehouse</t>
  </si>
  <si>
    <t>When stock reaches at this level, time to reorder</t>
  </si>
  <si>
    <t>How many units to order while restocking</t>
  </si>
  <si>
    <t>How many times the inventory was sold and replaced in a period. 
Formula: Sales Volume / Average Stock. 
Higher = faster moving product</t>
  </si>
  <si>
    <r>
      <t xml:space="preserve">Formula verified. All products show expired 
because of old date data in sheet.
</t>
    </r>
    <r>
      <rPr>
        <b/>
        <sz val="11"/>
        <color rgb="FFFF0000"/>
        <rFont val="Calibri"/>
        <family val="2"/>
        <scheme val="minor"/>
      </rPr>
      <t>IMP:</t>
    </r>
    <r>
      <rPr>
        <sz val="11"/>
        <color theme="1"/>
        <rFont val="Calibri"/>
        <family val="2"/>
        <scheme val="minor"/>
      </rPr>
      <t xml:space="preserve"> Changed the dates from 2024-25 to 2026-27</t>
    </r>
  </si>
  <si>
    <t>Removed the $ sign to enable multiplication</t>
  </si>
  <si>
    <t>Can put it in Fruits &amp; Vegetables category</t>
  </si>
  <si>
    <t>Blank cell in category column</t>
  </si>
  <si>
    <t>If Stock_Quantity &lt;= Reorder_Level</t>
  </si>
  <si>
    <t>today() - last_order_date
Tells how many days long ago was product
 ordered. 
If recently ordered, good
If ordered long back, product is not selling much</t>
  </si>
  <si>
    <t>If expiry date empty: No Expiry
If expiry date - today() &lt; 30: Expiring Soon
If expiry daye &lt; today() : Expired
Else: Ok</t>
  </si>
  <si>
    <t>Has dates in dashes(-) and slashes(/)</t>
  </si>
  <si>
    <t>Converted into date, kept in 2024-25 form</t>
  </si>
  <si>
    <t>Purchase order placed for this product</t>
  </si>
  <si>
    <t>Some are in minus, some are in decimal points</t>
  </si>
  <si>
    <t>Report Date</t>
  </si>
  <si>
    <t>Total Products</t>
  </si>
  <si>
    <t>Total Stock Value</t>
  </si>
  <si>
    <t>Total Revenue (Esti.)</t>
  </si>
  <si>
    <t>Active Products</t>
  </si>
  <si>
    <t>Discontinued Products</t>
  </si>
  <si>
    <t>Backordered Products</t>
  </si>
  <si>
    <t>Items needing reorder</t>
  </si>
  <si>
    <t>Items expiring in few days</t>
  </si>
  <si>
    <t>Expired Items</t>
  </si>
  <si>
    <t>Average Inventory Turnover</t>
  </si>
  <si>
    <t>Active Count</t>
  </si>
  <si>
    <t>Total Revenue</t>
  </si>
  <si>
    <t>Average Turnover</t>
  </si>
  <si>
    <t>Reorder Count</t>
  </si>
  <si>
    <t>Total</t>
  </si>
  <si>
    <t>Supplier Name</t>
  </si>
  <si>
    <t>Products Supplied</t>
  </si>
  <si>
    <t>Backordered Count</t>
  </si>
  <si>
    <t>Discontinued Count</t>
  </si>
  <si>
    <t>Reliability Score</t>
  </si>
  <si>
    <t>REORDER</t>
  </si>
  <si>
    <t>Urgency_Score</t>
  </si>
  <si>
    <t>Estimated_Order_Cost</t>
  </si>
  <si>
    <t>Category Vs Status</t>
  </si>
  <si>
    <t>Row Labels</t>
  </si>
  <si>
    <t>Grand Total</t>
  </si>
  <si>
    <t>Column Labels</t>
  </si>
  <si>
    <t>Count of Product_Name</t>
  </si>
  <si>
    <t>Sum of Revenue</t>
  </si>
  <si>
    <t>Category Revenue</t>
  </si>
  <si>
    <t>2026</t>
  </si>
  <si>
    <t>2027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</si>
  <si>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</si>
  <si>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</si>
  <si>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</si>
  <si>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</si>
  <si>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</si>
  <si>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</si>
  <si>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</si>
  <si>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</si>
  <si>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</si>
  <si>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</si>
  <si>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</si>
  <si>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</si>
  <si>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Stock_Value</t>
  </si>
  <si>
    <t>Monthly Receiving Trend</t>
  </si>
  <si>
    <t>Inventory MIS Report June 2026</t>
  </si>
  <si>
    <t>Items expiring in 30 days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</si>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</sst>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[$-F800]dddd\,\ mmmm\ dd\,\ 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Arial Rounded MT Bold"/>
      <family val="2"/>
    </font>
    <font>
      <sz val="20"/>
      <color theme="1"/>
      <name val="Aptos Display"/>
      <family val="2"/>
    </font>
    <font>
      <u/>
      <sz val="20"/>
      <color theme="1"/>
      <name val="Aptos Display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/>
    </xf>
    <xf numFmtId="0" fontId="0" fillId="0" borderId="0" xfId="0" applyAlignment="1">
      <alignment wrapText="1"/>
    </xf>
    <xf numFmtId="0" fontId="18" fillId="33" borderId="0" xfId="0" applyFont="1" applyFill="1"/>
    <xf numFmtId="1" fontId="0" fillId="0" borderId="0" xfId="0" applyNumberFormat="1"/>
    <xf numFmtId="1" fontId="18" fillId="34" borderId="0" xfId="0" applyNumberFormat="1" applyFont="1" applyFill="1"/>
    <xf numFmtId="164" fontId="0" fillId="0" borderId="0" xfId="42" applyNumberFormat="1" applyFont="1"/>
    <xf numFmtId="164" fontId="0" fillId="0" borderId="0" xfId="0" applyNumberFormat="1"/>
    <xf numFmtId="2" fontId="16" fillId="0" borderId="0" xfId="0" applyNumberFormat="1" applyFont="1"/>
    <xf numFmtId="164" fontId="16" fillId="0" borderId="0" xfId="0" applyNumberFormat="1" applyFont="1"/>
    <xf numFmtId="9" fontId="16" fillId="0" borderId="0" xfId="43" applyFont="1"/>
    <xf numFmtId="9" fontId="0" fillId="0" borderId="0" xfId="43" applyFont="1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/>
    <xf numFmtId="0" fontId="21" fillId="0" borderId="0" xfId="0" applyFont="1"/>
    <xf numFmtId="0" fontId="0" fillId="0" borderId="13" xfId="0" applyBorder="1"/>
    <xf numFmtId="164" fontId="0" fillId="0" borderId="13" xfId="42" applyNumberFormat="1" applyFont="1" applyBorder="1"/>
    <xf numFmtId="164" fontId="0" fillId="0" borderId="13" xfId="0" applyNumberFormat="1" applyBorder="1"/>
    <xf numFmtId="0" fontId="22" fillId="0" borderId="0" xfId="0" applyFont="1" applyAlignment="1">
      <alignment vertical="center"/>
    </xf>
    <xf numFmtId="2" fontId="0" fillId="0" borderId="13" xfId="0" applyNumberFormat="1" applyBorder="1"/>
    <xf numFmtId="165" fontId="0" fillId="0" borderId="13" xfId="0" applyNumberFormat="1" applyBorder="1"/>
    <xf numFmtId="0" fontId="22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 Value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Analysis'!$D$1</c:f>
              <c:strCache>
                <c:ptCount val="1"/>
                <c:pt idx="0">
                  <c:v>Total Stock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Analysis'!$A$2:$A$8</c:f>
              <c:strCache>
                <c:ptCount val="7"/>
                <c:pt idx="0">
                  <c:v>Fruits &amp; Vegetables</c:v>
                </c:pt>
                <c:pt idx="1">
                  <c:v>Oils &amp; Fats</c:v>
                </c:pt>
                <c:pt idx="2">
                  <c:v>Dairy</c:v>
                </c:pt>
                <c:pt idx="3">
                  <c:v>Grains &amp; Pulses</c:v>
                </c:pt>
                <c:pt idx="4">
                  <c:v>Seafood</c:v>
                </c:pt>
                <c:pt idx="5">
                  <c:v>Bakery</c:v>
                </c:pt>
                <c:pt idx="6">
                  <c:v>Beverages</c:v>
                </c:pt>
              </c:strCache>
            </c:strRef>
          </c:cat>
          <c:val>
            <c:numRef>
              <c:f>'Category Analysis'!$D$2:$D$8</c:f>
              <c:numCache>
                <c:formatCode>_-[$$-409]* #,##0.00_ ;_-[$$-409]* \-#,##0.00\ ;_-[$$-409]* "-"??_ ;_-@_ </c:formatCode>
                <c:ptCount val="7"/>
                <c:pt idx="0">
                  <c:v>90625.109999999971</c:v>
                </c:pt>
                <c:pt idx="1">
                  <c:v>17211.5</c:v>
                </c:pt>
                <c:pt idx="2">
                  <c:v>50601.95</c:v>
                </c:pt>
                <c:pt idx="3">
                  <c:v>31969.200000000004</c:v>
                </c:pt>
                <c:pt idx="4">
                  <c:v>62515.899999999994</c:v>
                </c:pt>
                <c:pt idx="5">
                  <c:v>16788.8</c:v>
                </c:pt>
                <c:pt idx="6">
                  <c:v>62942.250000000007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6-478B-8FD0-DD714F5ACD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2277679"/>
        <c:axId val="1172269519"/>
      </c:barChart>
      <c:catAx>
        <c:axId val="117227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69519"/>
        <c:crosses val="autoZero"/>
        <c:auto val="1"/>
        <c:lblAlgn val="ctr"/>
        <c:lblOffset val="100"/>
        <c:noMultiLvlLbl val="0"/>
      </c:catAx>
      <c:valAx>
        <c:axId val="117226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7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Status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C0-4494-AFB5-DCBE5BB570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C0-4494-AFB5-DCBE5BB570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C0-4494-AFB5-DCBE5BB570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Summary!$B$6:$B$8</c:f>
              <c:strCache>
                <c:ptCount val="3"/>
                <c:pt idx="0">
                  <c:v>Active Products</c:v>
                </c:pt>
                <c:pt idx="1">
                  <c:v>Discontinued Products</c:v>
                </c:pt>
                <c:pt idx="2">
                  <c:v>Backordered Products</c:v>
                </c:pt>
              </c:strCache>
            </c:strRef>
          </c:cat>
          <c:val>
            <c:numRef>
              <c:f>Summary!$C$6:$C$8</c:f>
              <c:numCache>
                <c:formatCode>General</c:formatCode>
                <c:ptCount val="3"/>
                <c:pt idx="0">
                  <c:v>332</c:v>
                </c:pt>
                <c:pt idx="1">
                  <c:v>333</c:v>
                </c:pt>
                <c:pt idx="2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C0-4494-AFB5-DCBE5BB570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Critical</a:t>
            </a:r>
            <a:r>
              <a:rPr lang="en-IN" baseline="0"/>
              <a:t> Reorder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'Stock Alert'!$A$2:$A$11</c:f>
              <c:strCache>
                <c:ptCount val="10"/>
                <c:pt idx="0">
                  <c:v>Heavy Cream</c:v>
                </c:pt>
                <c:pt idx="1">
                  <c:v>Cabbage</c:v>
                </c:pt>
                <c:pt idx="2">
                  <c:v>Cucumber</c:v>
                </c:pt>
                <c:pt idx="3">
                  <c:v>Egg (Turkey)</c:v>
                </c:pt>
                <c:pt idx="4">
                  <c:v>Haddock</c:v>
                </c:pt>
                <c:pt idx="5">
                  <c:v>Evaporated Milk</c:v>
                </c:pt>
                <c:pt idx="6">
                  <c:v>Evaporated Milk</c:v>
                </c:pt>
                <c:pt idx="7">
                  <c:v>Haddock</c:v>
                </c:pt>
                <c:pt idx="8">
                  <c:v>Avocado Oil</c:v>
                </c:pt>
                <c:pt idx="9">
                  <c:v>Basmati Rice</c:v>
                </c:pt>
              </c:strCache>
            </c:strRef>
          </c:cat>
          <c:val>
            <c:numRef>
              <c:f>'Stock Alert'!$W$2:$W$11</c:f>
              <c:numCache>
                <c:formatCode>General</c:formatCode>
                <c:ptCount val="10"/>
                <c:pt idx="0">
                  <c:v>85</c:v>
                </c:pt>
                <c:pt idx="1">
                  <c:v>83</c:v>
                </c:pt>
                <c:pt idx="2">
                  <c:v>81</c:v>
                </c:pt>
                <c:pt idx="3">
                  <c:v>81</c:v>
                </c:pt>
                <c:pt idx="4">
                  <c:v>80</c:v>
                </c:pt>
                <c:pt idx="5">
                  <c:v>77</c:v>
                </c:pt>
                <c:pt idx="6">
                  <c:v>76</c:v>
                </c:pt>
                <c:pt idx="7">
                  <c:v>76</c:v>
                </c:pt>
                <c:pt idx="8">
                  <c:v>76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7-4FED-9F3A-BB43F6B15D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1695375"/>
        <c:axId val="1361695855"/>
      </c:barChart>
      <c:catAx>
        <c:axId val="136169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695855"/>
        <c:crosses val="autoZero"/>
        <c:auto val="1"/>
        <c:lblAlgn val="ctr"/>
        <c:lblOffset val="100"/>
        <c:noMultiLvlLbl val="0"/>
      </c:catAx>
      <c:valAx>
        <c:axId val="136169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69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609294</xdr:colOff>
      <xdr:row>33</xdr:row>
      <xdr:rowOff>174075</xdr:rowOff>
    </xdr:from>
    <xdr:to>
      <xdr:col>7</xdr:col>
      <xdr:colOff>539150</xdr:colOff>
      <xdr:row>44</xdr:row>
      <xdr:rowOff>11981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C3D6AB-9067-4996-B919-2E2FB1842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204705</xdr:colOff>
      <xdr:row>1</xdr:row>
      <xdr:rowOff>323490</xdr:rowOff>
    </xdr:from>
    <xdr:to>
      <xdr:col>7</xdr:col>
      <xdr:colOff>551132</xdr:colOff>
      <xdr:row>12</xdr:row>
      <xdr:rowOff>179716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A57AB6-35F6-4663-A504-25E35EDCF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599056</xdr:colOff>
      <xdr:row>15</xdr:row>
      <xdr:rowOff>7849</xdr:rowOff>
    </xdr:from>
    <xdr:to>
      <xdr:col>7</xdr:col>
      <xdr:colOff>535272</xdr:colOff>
      <xdr:row>32</xdr:row>
      <xdr:rowOff>10477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FE424A-AF13-4E26-8C15-DCB2FDBEF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 Sonone" refreshedDate="46174.75462349537" createdVersion="8" refreshedVersion="8" minRefreshableVersion="3" recordCount="989" xr:uid="{0EA325EC-1F24-450F-BC7D-BC26FE46479A}">
  <cacheSource type="worksheet">
    <worksheetSource ref="A1:V990" sheet="Working Sheet"/>
  </cacheSource>
  <cacheFields count="24">
    <cacheField name="Product_Name" numFmtId="0">
      <sharedItems count="121">
        <s v="Bell Pepper"/>
        <s v="Vegetable Oil"/>
        <s v="Parmesan Cheese"/>
        <s v="Carrot"/>
        <s v="Garlic"/>
        <s v="Lemon"/>
        <s v="Coconut Sugar"/>
        <s v="Anchovies"/>
        <s v="Cheese"/>
        <s v="Yogurt"/>
        <s v="Cheddar Cheese"/>
        <s v="Avocado Oil"/>
        <s v="Orange"/>
        <s v="Digestive Biscuit"/>
        <s v="Cauliflower"/>
        <s v="Pear"/>
        <s v="Egg (Turkey)"/>
        <s v="Ricotta Cheese"/>
        <s v="Eggplant"/>
        <s v="Whole Wheat Flour"/>
        <s v="Arabica Coffee"/>
        <s v="Sweet Potato"/>
        <s v="Mango"/>
        <s v="Kale"/>
        <s v="Jasmine Rice"/>
        <s v="Sourdough Bread"/>
        <s v="Green Coffee"/>
        <s v="Tilapia"/>
        <s v="Arborio Rice"/>
        <s v="Bread Flour"/>
        <s v="Cucumber"/>
        <s v="Milk"/>
        <s v="Lime"/>
        <s v="Rice Flour"/>
        <s v="Sour Cream"/>
        <s v="Whole Wheat Bread"/>
        <s v="Robusta Coffee"/>
        <s v="Chocolate Biscuit"/>
        <s v="Palm Oil"/>
        <s v="Sesame Oil"/>
        <s v="Lettuce"/>
        <s v="Feta Cheese"/>
        <s v="Apricot"/>
        <s v="Peanut Oil"/>
        <s v="Olive Oil"/>
        <s v="Egg (Duck)"/>
        <s v="Pineapple"/>
        <s v="Trout"/>
        <s v="Onion"/>
        <s v="Cream"/>
        <s v="Sardines"/>
        <s v="Plum"/>
        <s v="Sushi Rice"/>
        <s v="Black Rice"/>
        <s v="Wild Rice"/>
        <s v="Pomegranate"/>
        <s v="Cabbage"/>
        <s v="All-Purpose Flour"/>
        <s v="Whipped Cream"/>
        <s v="Grapes"/>
        <s v="Sunflower Oil"/>
        <s v="Short Grain Rice"/>
        <s v="Tuna"/>
        <s v="Banana"/>
        <s v="Coconut"/>
        <s v="Almond Flour"/>
        <s v="Greek Yogurt"/>
        <s v="Peach"/>
        <s v="Asparagus"/>
        <s v="Mushrooms"/>
        <s v="Black Tea"/>
        <s v="White Tea"/>
        <s v="White Rice"/>
        <s v="Long Grain Rice"/>
        <s v="Rye Bread"/>
        <s v="Egg (Goose)"/>
        <s v="Brown Rice"/>
        <s v="Black Coffee"/>
        <s v="White Sugar"/>
        <s v="Egg (Quail)"/>
        <s v="Herbal Tea"/>
        <s v="Coconut Oil"/>
        <s v="Buttermilk"/>
        <s v="Evaporated Milk"/>
        <s v="Powdered Sugar"/>
        <s v="Cod"/>
        <s v="Kiwi"/>
        <s v="Haddock"/>
        <s v="Tomato"/>
        <s v="Gouda Cheese"/>
        <s v="Spinach"/>
        <s v="Canola Oil"/>
        <s v="Basmati Rice"/>
        <s v="Oatmeal Biscuit"/>
        <s v="Green Beans"/>
        <s v="Apple"/>
        <s v="Peas"/>
        <s v="Cottage Cheese"/>
        <s v="Multigrain Bread"/>
        <s v="Potato"/>
        <s v="Halibut"/>
        <s v="Salmon"/>
        <s v="Broccoli"/>
        <s v="Corn Oil"/>
        <s v="Strawberries"/>
        <s v="Green Tea"/>
        <s v="Swiss Cheese"/>
        <s v="Cherry"/>
        <s v="Zucchini"/>
        <s v="Butter Biscuit"/>
        <s v="Egg (Chicken)"/>
        <s v="White Bread"/>
        <s v="Watermelon"/>
        <s v="Vanilla Biscuit"/>
        <s v="Papaya"/>
        <s v="Butter"/>
        <s v="Heavy Cream"/>
        <s v="Blueberries"/>
        <s v="Mozzarella Cheese"/>
        <s v="Mackerel"/>
        <s v="Raw Sugar"/>
      </sharedItems>
    </cacheField>
    <cacheField name="Catagory" numFmtId="0">
      <sharedItems count="7">
        <s v="Fruits &amp; Vegetables"/>
        <s v="Oils &amp; Fats"/>
        <s v="Dairy"/>
        <s v="Grains &amp; Pulses"/>
        <s v="Seafood"/>
        <s v="Bakery"/>
        <s v="Beverages"/>
      </sharedItems>
    </cacheField>
    <cacheField name="Supplier_Name" numFmtId="0">
      <sharedItems/>
    </cacheField>
    <cacheField name="Warehouse_Location" numFmtId="0">
      <sharedItems/>
    </cacheField>
    <cacheField name="Status" numFmtId="0">
      <sharedItems count="3">
        <s v="Discontinued"/>
        <s v="Backordered"/>
        <s v="Active"/>
      </sharedItems>
    </cacheField>
    <cacheField name="Product_ID" numFmtId="0">
      <sharedItems/>
    </cacheField>
    <cacheField name="Supplier_ID" numFmtId="0">
      <sharedItems/>
    </cacheField>
    <cacheField name="1_Date_Received3" numFmtId="14">
      <sharedItems containsSemiMixedTypes="0" containsNonDate="0" containsDate="1" containsString="0" minDate="2026-01-03T00:00:00" maxDate="2027-12-03T00:00:00" count="351"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4-03T00:00:00"/>
        <d v="2026-04-04T00:00:00"/>
        <d v="2026-04-05T00:00:00"/>
        <d v="2026-04-06T00:00:00"/>
        <d v="2026-04-07T00:00:00"/>
        <d v="2026-04-09T00:00:00"/>
        <d v="2026-04-10T00:00:00"/>
        <d v="2026-04-11T00:00:00"/>
        <d v="2026-04-1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2T00:00:00"/>
        <d v="2027-01-02T00:00:00"/>
        <d v="2027-02-01T00:00:00"/>
        <d v="2027-03-01T00:00:00"/>
        <d v="2027-03-02T00:00:00"/>
        <d v="2027-04-01T00:00:00"/>
        <d v="2027-04-02T00:00:00"/>
        <d v="2027-05-01T00:00:00"/>
        <d v="2027-05-02T00:00:00"/>
        <d v="2027-06-01T00:00:00"/>
        <d v="2027-06-02T00:00:00"/>
        <d v="2027-07-01T00:00:00"/>
        <d v="2027-07-02T00:00:00"/>
        <d v="2027-08-01T00:00:00"/>
        <d v="2027-08-02T00:00:00"/>
        <d v="2027-09-01T00:00:00"/>
        <d v="2027-09-02T00:00:00"/>
        <d v="2027-10-01T00:00:00"/>
        <d v="2027-10-02T00:00:00"/>
        <d v="2027-11-01T00:00:00"/>
        <d v="2027-11-02T00:00:00"/>
        <d v="2027-12-01T00:00:00"/>
        <d v="2027-12-0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5T00:00:00"/>
        <d v="2027-01-26T00:00:00"/>
        <d v="2027-01-28T00:00:00"/>
        <d v="2027-01-29T00:00:00"/>
        <d v="2027-01-30T00:00:00"/>
        <d v="2027-01-31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6-02-25T00:00:00"/>
        <d v="2026-02-26T00:00:00"/>
        <d v="2026-02-27T00:00:00"/>
        <d v="2026-02-28T00:00:00"/>
        <d v="2026-03-01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13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9T00:00:00"/>
        <d v="2026-06-30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13T00:00:00"/>
        <d v="2026-09-15T00:00:00"/>
        <d v="2026-09-16T00:00:00"/>
        <d v="2026-09-17T00:00:00"/>
        <d v="2026-09-18T00:00:00"/>
        <d v="2026-09-19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9T00:00:00"/>
        <d v="2026-09-30T00:00:00"/>
      </sharedItems>
      <fieldGroup par="23"/>
    </cacheField>
    <cacheField name="Last_Order_Date" numFmtId="14">
      <sharedItems containsSemiMixedTypes="0" containsNonDate="0" containsDate="1" containsString="0" minDate="2024-02-25T00:00:00" maxDate="2025-02-25T00:00:00"/>
    </cacheField>
    <cacheField name="1_Expiration_Date3" numFmtId="14">
      <sharedItems containsSemiMixedTypes="0" containsNonDate="0" containsDate="1" containsString="0" minDate="2026-02-25T00:00:00" maxDate="2027-02-25T00:00:00"/>
    </cacheField>
    <cacheField name="Stock_Quantity" numFmtId="0">
      <sharedItems containsSemiMixedTypes="0" containsString="0" containsNumber="1" containsInteger="1" minValue="10" maxValue="100"/>
    </cacheField>
    <cacheField name="Reorder_Level" numFmtId="0">
      <sharedItems containsSemiMixedTypes="0" containsString="0" containsNumber="1" containsInteger="1" minValue="1" maxValue="100"/>
    </cacheField>
    <cacheField name="Reorder_Quantity" numFmtId="0">
      <sharedItems containsSemiMixedTypes="0" containsString="0" containsNumber="1" containsInteger="1" minValue="1" maxValue="100"/>
    </cacheField>
    <cacheField name="Unit_Price" numFmtId="2">
      <sharedItems containsSemiMixedTypes="0" containsString="0" containsNumber="1" minValue="0.2" maxValue="98.43"/>
    </cacheField>
    <cacheField name="Sales_Volume" numFmtId="0">
      <sharedItems containsSemiMixedTypes="0" containsString="0" containsNumber="1" containsInteger="1" minValue="20" maxValue="100"/>
    </cacheField>
    <cacheField name="Inventory_Turnover_Rate" numFmtId="0">
      <sharedItems containsSemiMixedTypes="0" containsString="0" containsNumber="1" containsInteger="1" minValue="1" maxValue="100"/>
    </cacheField>
    <cacheField name="percentage" numFmtId="0">
      <sharedItems containsSemiMixedTypes="0" containsString="0" containsNumber="1" minValue="-4" maxValue="0.99"/>
    </cacheField>
    <cacheField name="Stock_Value" numFmtId="0">
      <sharedItems containsSemiMixedTypes="0" containsString="0" containsNumber="1" minValue="2" maxValue="5512.08"/>
    </cacheField>
    <cacheField name="Revenue" numFmtId="0">
      <sharedItems containsSemiMixedTypes="0" containsString="0" containsNumber="1" minValue="6.6000000000000005" maxValue="4707.6400000000003"/>
    </cacheField>
    <cacheField name="Reorder_Flag" numFmtId="0">
      <sharedItems/>
    </cacheField>
    <cacheField name="1_Expiry_Status" numFmtId="0">
      <sharedItems/>
    </cacheField>
    <cacheField name="Days_Since_Last_Order" numFmtId="1">
      <sharedItems containsSemiMixedTypes="0" containsString="0" containsNumber="1" containsInteger="1" minValue="462" maxValue="827"/>
    </cacheField>
    <cacheField name="Months (1_Date_Received3)" numFmtId="0" databaseField="0">
      <fieldGroup base="7">
        <rangePr groupBy="months" startDate="2026-01-03T00:00:00" endDate="2027-12-03T00:00:00"/>
        <groupItems count="14">
          <s v="&lt;03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12-2027"/>
        </groupItems>
      </fieldGroup>
    </cacheField>
    <cacheField name="Years (1_Date_Received3)" numFmtId="0" databaseField="0">
      <fieldGroup base="7">
        <rangePr groupBy="years" startDate="2026-01-03T00:00:00" endDate="2027-12-03T00:00:00"/>
        <groupItems count="4">
          <s v="&lt;03-01-2026"/>
          <s v="2026"/>
          <s v="2027"/>
          <s v="&gt;03-12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">
  <r>
    <x v="0"/>
    <x v="0"/>
    <s v="Eimbee"/>
    <s v="20 Pennsylvania Parkway"/>
    <x v="0"/>
    <s v="29-017-6255"/>
    <s v="43-348-2450"/>
    <x v="0"/>
    <d v="2025-01-06T00:00:00"/>
    <d v="2027-01-31T00:00:00"/>
    <n v="46"/>
    <n v="64"/>
    <n v="17"/>
    <n v="4.5999999999999996"/>
    <n v="96"/>
    <n v="55"/>
    <n v="1.9599999999999999E-2"/>
    <n v="211.6"/>
    <n v="441.59999999999997"/>
    <s v="REORDER"/>
    <s v="Ok"/>
    <n v="511"/>
  </r>
  <r>
    <x v="1"/>
    <x v="1"/>
    <s v="Digitube"/>
    <s v="03643 Oakridge Lane"/>
    <x v="1"/>
    <s v="79-569-8856"/>
    <s v="04-854-7165"/>
    <x v="1"/>
    <d v="2024-05-19T00:00:00"/>
    <d v="2026-06-11T00:00:00"/>
    <n v="51"/>
    <n v="87"/>
    <n v="86"/>
    <n v="2"/>
    <n v="24"/>
    <n v="83"/>
    <n v="9.1000000000000004E-3"/>
    <n v="102"/>
    <n v="48"/>
    <s v="REORDER"/>
    <s v="Expiring Soon"/>
    <n v="743"/>
  </r>
  <r>
    <x v="2"/>
    <x v="2"/>
    <s v="BlogXS"/>
    <s v="73 Graedel Street"/>
    <x v="0"/>
    <s v="28-146-2641"/>
    <s v="82-995-0739"/>
    <x v="1"/>
    <d v="2024-12-21T00:00:00"/>
    <d v="2026-04-08T00:00:00"/>
    <n v="38"/>
    <n v="67"/>
    <n v="66"/>
    <n v="12"/>
    <n v="35"/>
    <n v="24"/>
    <n v="1.3599999999999999E-2"/>
    <n v="456"/>
    <n v="420"/>
    <s v="REORDER"/>
    <s v="Expired"/>
    <n v="527"/>
  </r>
  <r>
    <x v="3"/>
    <x v="0"/>
    <s v="Avaveo"/>
    <s v="44801 Myrtle Center"/>
    <x v="0"/>
    <s v="11-581-9869"/>
    <s v="22-867-3079"/>
    <x v="2"/>
    <d v="2024-12-12T00:00:00"/>
    <d v="2026-09-26T00:00:00"/>
    <n v="51"/>
    <n v="60"/>
    <n v="98"/>
    <n v="1.5"/>
    <n v="44"/>
    <n v="95"/>
    <n v="1.3599999999999999E-2"/>
    <n v="76.5"/>
    <n v="66"/>
    <s v="REORDER"/>
    <s v="Ok"/>
    <n v="536"/>
  </r>
  <r>
    <x v="4"/>
    <x v="0"/>
    <s v="Katz"/>
    <s v="6195 Monterey Center"/>
    <x v="0"/>
    <s v="13-202-4809"/>
    <s v="24-281-7685"/>
    <x v="2"/>
    <d v="2024-07-28T00:00:00"/>
    <d v="2026-05-20T00:00:00"/>
    <n v="27"/>
    <n v="22"/>
    <n v="89"/>
    <n v="7"/>
    <n v="91"/>
    <n v="77"/>
    <n v="2.1700000000000001E-2"/>
    <n v="189"/>
    <n v="637"/>
    <s v="OK"/>
    <s v="Expired"/>
    <n v="673"/>
  </r>
  <r>
    <x v="5"/>
    <x v="0"/>
    <s v="Yata"/>
    <s v="5141 Anniversary Crossing"/>
    <x v="1"/>
    <s v="70-145-2550"/>
    <s v="75-849-4524"/>
    <x v="2"/>
    <d v="2024-08-07T00:00:00"/>
    <d v="2026-08-06T00:00:00"/>
    <n v="91"/>
    <n v="6"/>
    <n v="37"/>
    <n v="2.4"/>
    <n v="38"/>
    <n v="70"/>
    <n v="2.5600000000000001E-2"/>
    <n v="218.4"/>
    <n v="91.2"/>
    <s v="OK"/>
    <s v="Ok"/>
    <n v="663"/>
  </r>
  <r>
    <x v="6"/>
    <x v="3"/>
    <s v="Lazz"/>
    <s v="38583 2nd Pass"/>
    <x v="2"/>
    <s v="10-626-8536"/>
    <s v="23-274-3305"/>
    <x v="2"/>
    <d v="2025-01-29T00:00:00"/>
    <d v="2026-03-30T00:00:00"/>
    <n v="17"/>
    <n v="85"/>
    <n v="74"/>
    <n v="5"/>
    <n v="76"/>
    <n v="89"/>
    <n v="2.3400000000000001E-2"/>
    <n v="85"/>
    <n v="380"/>
    <s v="REORDER"/>
    <s v="Expired"/>
    <n v="488"/>
  </r>
  <r>
    <x v="7"/>
    <x v="4"/>
    <s v="Zoonder"/>
    <s v="86 Porter Junction"/>
    <x v="0"/>
    <s v="42-879-9478"/>
    <s v="00-900-0119"/>
    <x v="3"/>
    <d v="2025-02-23T00:00:00"/>
    <d v="2026-08-22T00:00:00"/>
    <n v="81"/>
    <n v="22"/>
    <n v="20"/>
    <n v="10"/>
    <n v="95"/>
    <n v="77"/>
    <n v="2.1299999999999999E-2"/>
    <n v="810"/>
    <n v="950"/>
    <s v="OK"/>
    <s v="Ok"/>
    <n v="463"/>
  </r>
  <r>
    <x v="8"/>
    <x v="2"/>
    <s v="Oozz"/>
    <s v="05518 Saint Paul Street"/>
    <x v="2"/>
    <s v="82-380-5378"/>
    <s v="96-353-3049"/>
    <x v="3"/>
    <d v="2024-06-03T00:00:00"/>
    <d v="2026-03-07T00:00:00"/>
    <n v="78"/>
    <n v="24"/>
    <n v="31"/>
    <n v="9"/>
    <n v="60"/>
    <n v="41"/>
    <n v="2.7400000000000001E-2"/>
    <n v="702"/>
    <n v="540"/>
    <s v="OK"/>
    <s v="Expired"/>
    <n v="728"/>
  </r>
  <r>
    <x v="9"/>
    <x v="2"/>
    <s v="Jaxnation"/>
    <s v="14042 Dottie Avenue"/>
    <x v="1"/>
    <s v="23-265-8144"/>
    <s v="31-524-1628"/>
    <x v="3"/>
    <d v="2024-11-09T00:00:00"/>
    <d v="2026-10-25T00:00:00"/>
    <n v="55"/>
    <n v="50"/>
    <n v="56"/>
    <n v="1.7"/>
    <n v="62"/>
    <n v="26"/>
    <n v="2.5600000000000001E-2"/>
    <n v="93.5"/>
    <n v="105.39999999999999"/>
    <s v="OK"/>
    <s v="Ok"/>
    <n v="569"/>
  </r>
  <r>
    <x v="10"/>
    <x v="2"/>
    <s v="Gabcube"/>
    <s v="5 Oxford Pass"/>
    <x v="2"/>
    <s v="62-393-9939"/>
    <s v="93-877-9384"/>
    <x v="3"/>
    <d v="2024-06-02T00:00:00"/>
    <d v="2026-10-05T00:00:00"/>
    <n v="60"/>
    <n v="9"/>
    <n v="89"/>
    <n v="9"/>
    <n v="95"/>
    <n v="63"/>
    <n v="2.8299999999999999E-2"/>
    <n v="540"/>
    <n v="855"/>
    <s v="OK"/>
    <s v="Ok"/>
    <n v="729"/>
  </r>
  <r>
    <x v="11"/>
    <x v="1"/>
    <s v="Dabtype"/>
    <s v="3622 Anhalt Lane"/>
    <x v="1"/>
    <s v="90-343-9640"/>
    <s v="54-919-9424"/>
    <x v="4"/>
    <d v="2024-04-06T00:00:00"/>
    <d v="2026-10-06T00:00:00"/>
    <n v="53"/>
    <n v="89"/>
    <n v="100"/>
    <n v="10"/>
    <n v="22"/>
    <n v="83"/>
    <n v="2.7900000000000001E-2"/>
    <n v="530"/>
    <n v="220"/>
    <s v="REORDER"/>
    <s v="Ok"/>
    <n v="786"/>
  </r>
  <r>
    <x v="12"/>
    <x v="0"/>
    <s v="Flashdog"/>
    <s v="3 Bashford Court"/>
    <x v="1"/>
    <s v="36-899-5324"/>
    <s v="02-656-3112"/>
    <x v="5"/>
    <d v="2024-07-05T00:00:00"/>
    <d v="2026-12-19T00:00:00"/>
    <n v="94"/>
    <n v="58"/>
    <n v="17"/>
    <n v="2.9"/>
    <n v="57"/>
    <n v="74"/>
    <n v="2.3599999999999999E-2"/>
    <n v="272.59999999999997"/>
    <n v="165.29999999999998"/>
    <s v="OK"/>
    <s v="Ok"/>
    <n v="696"/>
  </r>
  <r>
    <x v="13"/>
    <x v="5"/>
    <s v="Devshare"/>
    <s v="2 Carioca Crossing"/>
    <x v="1"/>
    <s v="41-538-3129"/>
    <s v="91-589-9007"/>
    <x v="6"/>
    <d v="2024-03-17T00:00:00"/>
    <d v="2026-07-31T00:00:00"/>
    <n v="77"/>
    <n v="79"/>
    <n v="65"/>
    <n v="4"/>
    <n v="62"/>
    <n v="75"/>
    <n v="2.69E-2"/>
    <n v="308"/>
    <n v="248"/>
    <s v="REORDER"/>
    <s v="Ok"/>
    <n v="806"/>
  </r>
  <r>
    <x v="14"/>
    <x v="0"/>
    <s v="Cogilith"/>
    <s v="01 Northfield Road"/>
    <x v="2"/>
    <s v="47-843-8207"/>
    <s v="55-838-9088"/>
    <x v="6"/>
    <d v="2024-04-10T00:00:00"/>
    <d v="2026-12-27T00:00:00"/>
    <n v="34"/>
    <n v="92"/>
    <n v="26"/>
    <n v="2.5"/>
    <n v="28"/>
    <n v="71"/>
    <n v="2.6100000000000002E-2"/>
    <n v="85"/>
    <n v="70"/>
    <s v="REORDER"/>
    <s v="Ok"/>
    <n v="782"/>
  </r>
  <r>
    <x v="15"/>
    <x v="0"/>
    <s v="Roodel"/>
    <s v="2004 Cody Plaza"/>
    <x v="0"/>
    <s v="94-071-2261"/>
    <s v="25-706-2146"/>
    <x v="6"/>
    <d v="2024-03-02T00:00:00"/>
    <d v="2026-03-30T00:00:00"/>
    <n v="79"/>
    <n v="37"/>
    <n v="98"/>
    <n v="4.5"/>
    <n v="33"/>
    <n v="20"/>
    <n v="2.5399999999999999E-2"/>
    <n v="355.5"/>
    <n v="148.5"/>
    <s v="OK"/>
    <s v="Expired"/>
    <n v="821"/>
  </r>
  <r>
    <x v="16"/>
    <x v="2"/>
    <s v="Bluezoom"/>
    <s v="94862 Beilfuss Terrace"/>
    <x v="1"/>
    <s v="12-998-3882"/>
    <s v="06-151-9076"/>
    <x v="7"/>
    <d v="2024-08-17T00:00:00"/>
    <d v="2026-05-26T00:00:00"/>
    <n v="76"/>
    <n v="54"/>
    <n v="76"/>
    <n v="2.5"/>
    <n v="69"/>
    <n v="27"/>
    <n v="2.58E-2"/>
    <n v="190"/>
    <n v="172.5"/>
    <s v="OK"/>
    <s v="Expired"/>
    <n v="653"/>
  </r>
  <r>
    <x v="17"/>
    <x v="2"/>
    <s v="Skimia"/>
    <s v="10342 Division Place"/>
    <x v="2"/>
    <s v="36-127-4273"/>
    <s v="05-719-6858"/>
    <x v="7"/>
    <d v="2024-07-03T00:00:00"/>
    <d v="2026-07-31T00:00:00"/>
    <n v="50"/>
    <n v="46"/>
    <n v="38"/>
    <n v="6.2"/>
    <n v="88"/>
    <n v="70"/>
    <n v="2.3199999999999998E-2"/>
    <n v="310"/>
    <n v="545.6"/>
    <s v="OK"/>
    <s v="Ok"/>
    <n v="698"/>
  </r>
  <r>
    <x v="18"/>
    <x v="0"/>
    <s v="Blogpad"/>
    <s v="52 Namekagon Junction"/>
    <x v="1"/>
    <s v="13-144-2169"/>
    <s v="11-742-5033"/>
    <x v="7"/>
    <d v="2024-12-01T00:00:00"/>
    <d v="2026-09-07T00:00:00"/>
    <n v="25"/>
    <n v="62"/>
    <n v="11"/>
    <n v="3"/>
    <n v="57"/>
    <n v="98"/>
    <n v="2.6700000000000002E-2"/>
    <n v="75"/>
    <n v="171"/>
    <s v="REORDER"/>
    <s v="Ok"/>
    <n v="547"/>
  </r>
  <r>
    <x v="19"/>
    <x v="3"/>
    <s v="Dabjam"/>
    <s v="21343 Brentwood Circle"/>
    <x v="1"/>
    <s v="86-978-6666"/>
    <s v="43-979-2253"/>
    <x v="7"/>
    <d v="2024-07-26T00:00:00"/>
    <d v="2026-09-15T00:00:00"/>
    <n v="38"/>
    <n v="43"/>
    <n v="28"/>
    <n v="2.7"/>
    <n v="34"/>
    <n v="54"/>
    <n v="2.6100000000000002E-2"/>
    <n v="102.60000000000001"/>
    <n v="91.800000000000011"/>
    <s v="REORDER"/>
    <s v="Ok"/>
    <n v="675"/>
  </r>
  <r>
    <x v="20"/>
    <x v="6"/>
    <s v="Feedmix"/>
    <s v="36 3rd Place"/>
    <x v="0"/>
    <s v="40-681-9981"/>
    <s v="54-470-2479"/>
    <x v="8"/>
    <d v="2024-05-29T00:00:00"/>
    <d v="2026-05-08T00:00:00"/>
    <n v="45"/>
    <n v="77"/>
    <n v="2"/>
    <n v="20"/>
    <n v="85"/>
    <n v="1"/>
    <n v="2.5499999999999998E-2"/>
    <n v="900"/>
    <n v="1700"/>
    <s v="REORDER"/>
    <s v="Expired"/>
    <n v="733"/>
  </r>
  <r>
    <x v="21"/>
    <x v="0"/>
    <s v="Trupe"/>
    <s v="7015 Ramsey Lane"/>
    <x v="2"/>
    <s v="13-962-6263"/>
    <s v="26-061-5253"/>
    <x v="9"/>
    <d v="2024-12-23T00:00:00"/>
    <d v="2026-11-18T00:00:00"/>
    <n v="49"/>
    <n v="1"/>
    <n v="28"/>
    <n v="2"/>
    <n v="97"/>
    <n v="95"/>
    <n v="2.5600000000000001E-2"/>
    <n v="98"/>
    <n v="194"/>
    <s v="OK"/>
    <s v="Ok"/>
    <n v="525"/>
  </r>
  <r>
    <x v="22"/>
    <x v="0"/>
    <s v="Meevee"/>
    <s v="48 Vahlen Place"/>
    <x v="1"/>
    <s v="10-002-6494"/>
    <s v="47-509-7282"/>
    <x v="10"/>
    <d v="2024-07-08T00:00:00"/>
    <d v="2026-11-11T00:00:00"/>
    <n v="89"/>
    <n v="92"/>
    <n v="62"/>
    <n v="4.8"/>
    <n v="46"/>
    <n v="11"/>
    <n v="2.5700000000000001E-2"/>
    <n v="427.2"/>
    <n v="220.79999999999998"/>
    <s v="REORDER"/>
    <s v="Ok"/>
    <n v="693"/>
  </r>
  <r>
    <x v="23"/>
    <x v="0"/>
    <s v="Blogpad"/>
    <s v="85 Farwell Parkway"/>
    <x v="1"/>
    <s v="29-741-8132"/>
    <s v="49-384-4540"/>
    <x v="10"/>
    <d v="2024-07-14T00:00:00"/>
    <d v="2026-06-03T00:00:00"/>
    <n v="47"/>
    <n v="22"/>
    <n v="69"/>
    <n v="4"/>
    <n v="26"/>
    <n v="59"/>
    <n v="2.6200000000000001E-2"/>
    <n v="188"/>
    <n v="104"/>
    <s v="OK"/>
    <s v="Expiring Soon"/>
    <n v="687"/>
  </r>
  <r>
    <x v="24"/>
    <x v="3"/>
    <s v="Topicware"/>
    <s v="07 Pankratz Point"/>
    <x v="2"/>
    <s v="30-806-3823"/>
    <s v="36-451-3173"/>
    <x v="10"/>
    <d v="2024-07-04T00:00:00"/>
    <d v="2026-03-06T00:00:00"/>
    <n v="53"/>
    <n v="26"/>
    <n v="3"/>
    <n v="4.75"/>
    <n v="100"/>
    <n v="94"/>
    <n v="2.53E-2"/>
    <n v="251.75"/>
    <n v="475"/>
    <s v="OK"/>
    <s v="Expired"/>
    <n v="697"/>
  </r>
  <r>
    <x v="25"/>
    <x v="5"/>
    <s v="Plajo"/>
    <s v="338 Annamark Court"/>
    <x v="0"/>
    <s v="71-074-6292"/>
    <s v="42-201-4495"/>
    <x v="11"/>
    <d v="2024-06-10T00:00:00"/>
    <d v="2026-10-17T00:00:00"/>
    <n v="65"/>
    <n v="79"/>
    <n v="49"/>
    <n v="4"/>
    <n v="100"/>
    <n v="9"/>
    <n v="2.5000000000000001E-2"/>
    <n v="260"/>
    <n v="400"/>
    <s v="REORDER"/>
    <s v="Ok"/>
    <n v="721"/>
  </r>
  <r>
    <x v="26"/>
    <x v="6"/>
    <s v="Skyndu"/>
    <s v="35 Golf Course Alley"/>
    <x v="1"/>
    <s v="95-738-4658"/>
    <s v="67-404-3362"/>
    <x v="11"/>
    <d v="2024-11-26T00:00:00"/>
    <d v="2026-10-30T00:00:00"/>
    <n v="90"/>
    <n v="68"/>
    <n v="74"/>
    <n v="12"/>
    <n v="81"/>
    <n v="26"/>
    <n v="2.4299999999999999E-2"/>
    <n v="1080"/>
    <n v="972"/>
    <s v="OK"/>
    <s v="Ok"/>
    <n v="552"/>
  </r>
  <r>
    <x v="20"/>
    <x v="6"/>
    <s v="Yotz"/>
    <s v="96 Westridge Junction"/>
    <x v="1"/>
    <s v="55-154-4728"/>
    <s v="33-466-7894"/>
    <x v="11"/>
    <d v="2025-01-07T00:00:00"/>
    <d v="2026-03-29T00:00:00"/>
    <n v="65"/>
    <n v="63"/>
    <n v="41"/>
    <n v="20"/>
    <n v="28"/>
    <n v="26"/>
    <n v="2.58E-2"/>
    <n v="1300"/>
    <n v="560"/>
    <s v="OK"/>
    <s v="Expired"/>
    <n v="510"/>
  </r>
  <r>
    <x v="27"/>
    <x v="4"/>
    <s v="Vinder"/>
    <s v="57 Eastwood Junction"/>
    <x v="2"/>
    <s v="46-255-3073"/>
    <s v="68-230-9130"/>
    <x v="12"/>
    <d v="2025-01-06T00:00:00"/>
    <d v="2026-07-11T00:00:00"/>
    <n v="30"/>
    <n v="42"/>
    <n v="8"/>
    <n v="7"/>
    <n v="48"/>
    <n v="23"/>
    <n v="2.5700000000000001E-2"/>
    <n v="210"/>
    <n v="336"/>
    <s v="REORDER"/>
    <s v="Ok"/>
    <n v="511"/>
  </r>
  <r>
    <x v="28"/>
    <x v="3"/>
    <s v="Geba"/>
    <s v="31 Sullivan Hill"/>
    <x v="2"/>
    <s v="95-640-0293"/>
    <s v="43-575-2151"/>
    <x v="12"/>
    <d v="2024-11-02T00:00:00"/>
    <d v="2027-02-07T00:00:00"/>
    <n v="34"/>
    <n v="32"/>
    <n v="22"/>
    <n v="4.5"/>
    <n v="42"/>
    <n v="27"/>
    <n v="2.4500000000000001E-2"/>
    <n v="153"/>
    <n v="189"/>
    <s v="OK"/>
    <s v="Ok"/>
    <n v="576"/>
  </r>
  <r>
    <x v="29"/>
    <x v="3"/>
    <s v="Dazzlesphere"/>
    <s v="49148 Meadow Ridge Way"/>
    <x v="1"/>
    <s v="45-250-4679"/>
    <s v="80-328-4990"/>
    <x v="12"/>
    <d v="2024-11-23T00:00:00"/>
    <d v="2026-07-05T00:00:00"/>
    <n v="54"/>
    <n v="78"/>
    <n v="81"/>
    <n v="1.5"/>
    <n v="41"/>
    <n v="63"/>
    <n v="2.3599999999999999E-2"/>
    <n v="81"/>
    <n v="61.5"/>
    <s v="REORDER"/>
    <s v="Ok"/>
    <n v="555"/>
  </r>
  <r>
    <x v="30"/>
    <x v="0"/>
    <s v="Kanoodle"/>
    <s v="38 Killdeer Point"/>
    <x v="2"/>
    <s v="03-833-3577"/>
    <s v="87-032-6971"/>
    <x v="12"/>
    <d v="2024-08-20T00:00:00"/>
    <d v="2026-10-16T00:00:00"/>
    <n v="67"/>
    <n v="14"/>
    <n v="25"/>
    <n v="1.8"/>
    <n v="81"/>
    <n v="77"/>
    <n v="2.3400000000000001E-2"/>
    <n v="120.60000000000001"/>
    <n v="145.80000000000001"/>
    <s v="OK"/>
    <s v="Ok"/>
    <n v="650"/>
  </r>
  <r>
    <x v="8"/>
    <x v="2"/>
    <s v="Eimbee"/>
    <s v="01 Gateway Plaza"/>
    <x v="1"/>
    <s v="08-961-3009"/>
    <s v="41-825-5869"/>
    <x v="13"/>
    <d v="2024-12-19T00:00:00"/>
    <d v="2026-09-08T00:00:00"/>
    <n v="50"/>
    <n v="14"/>
    <n v="6"/>
    <n v="9.1999999999999993"/>
    <n v="60"/>
    <n v="72"/>
    <n v="2.2200000000000001E-2"/>
    <n v="459.99999999999994"/>
    <n v="552"/>
    <s v="OK"/>
    <s v="Ok"/>
    <n v="529"/>
  </r>
  <r>
    <x v="31"/>
    <x v="2"/>
    <s v="Centimia"/>
    <s v="36483 Burning Wood Pass"/>
    <x v="1"/>
    <s v="20-405-4865"/>
    <s v="16-019-7101"/>
    <x v="13"/>
    <d v="2024-11-05T00:00:00"/>
    <d v="2026-09-18T00:00:00"/>
    <n v="13"/>
    <n v="39"/>
    <n v="98"/>
    <n v="0.9"/>
    <n v="46"/>
    <n v="46"/>
    <n v="1.9900000000000001E-2"/>
    <n v="11.700000000000001"/>
    <n v="41.4"/>
    <s v="REORDER"/>
    <s v="Ok"/>
    <n v="573"/>
  </r>
  <r>
    <x v="32"/>
    <x v="0"/>
    <s v="Livefish"/>
    <s v="3 Meadow Valley Court"/>
    <x v="1"/>
    <s v="49-377-9731"/>
    <s v="56-823-5908"/>
    <x v="13"/>
    <d v="2024-10-03T00:00:00"/>
    <d v="2026-04-19T00:00:00"/>
    <n v="18"/>
    <n v="8"/>
    <n v="68"/>
    <n v="2"/>
    <n v="54"/>
    <n v="45"/>
    <n v="1.9900000000000001E-2"/>
    <n v="36"/>
    <n v="108"/>
    <s v="OK"/>
    <s v="Expired"/>
    <n v="606"/>
  </r>
  <r>
    <x v="33"/>
    <x v="3"/>
    <s v="Quatz"/>
    <s v="47817 Oneill Park"/>
    <x v="2"/>
    <s v="39-810-2042"/>
    <s v="65-620-9866"/>
    <x v="13"/>
    <d v="2025-01-25T00:00:00"/>
    <d v="2026-09-05T00:00:00"/>
    <n v="24"/>
    <n v="2"/>
    <n v="49"/>
    <n v="2"/>
    <n v="98"/>
    <n v="82"/>
    <n v="1.9E-2"/>
    <n v="48"/>
    <n v="196"/>
    <s v="OK"/>
    <s v="Ok"/>
    <n v="492"/>
  </r>
  <r>
    <x v="25"/>
    <x v="5"/>
    <s v="Rhyloo"/>
    <s v="94 Mallory Center"/>
    <x v="2"/>
    <s v="53-805-9523"/>
    <s v="99-864-0256"/>
    <x v="14"/>
    <d v="2024-03-19T00:00:00"/>
    <d v="2026-05-14T00:00:00"/>
    <n v="40"/>
    <n v="30"/>
    <n v="65"/>
    <n v="4.5"/>
    <n v="54"/>
    <n v="29"/>
    <n v="1.84E-2"/>
    <n v="180"/>
    <n v="243"/>
    <s v="OK"/>
    <s v="Expired"/>
    <n v="804"/>
  </r>
  <r>
    <x v="8"/>
    <x v="2"/>
    <s v="Shuffledrive"/>
    <s v="19 Shoshone Circle"/>
    <x v="2"/>
    <s v="14-305-5348"/>
    <s v="71-092-6845"/>
    <x v="15"/>
    <d v="2024-10-12T00:00:00"/>
    <d v="2026-03-20T00:00:00"/>
    <n v="53"/>
    <n v="63"/>
    <n v="2"/>
    <n v="9"/>
    <n v="56"/>
    <n v="95"/>
    <n v="1.83E-2"/>
    <n v="477"/>
    <n v="504"/>
    <s v="REORDER"/>
    <s v="Expired"/>
    <n v="597"/>
  </r>
  <r>
    <x v="34"/>
    <x v="2"/>
    <s v="Skyvu"/>
    <s v="805 Center Parkway"/>
    <x v="2"/>
    <s v="51-459-5630"/>
    <s v="29-567-3732"/>
    <x v="15"/>
    <d v="2024-09-29T00:00:00"/>
    <d v="2026-12-14T00:00:00"/>
    <n v="11"/>
    <n v="30"/>
    <n v="4"/>
    <n v="4"/>
    <n v="84"/>
    <n v="4"/>
    <n v="1.77E-2"/>
    <n v="44"/>
    <n v="336"/>
    <s v="REORDER"/>
    <s v="Ok"/>
    <n v="610"/>
  </r>
  <r>
    <x v="35"/>
    <x v="5"/>
    <s v="Lazz"/>
    <s v="46 Delaware Place"/>
    <x v="1"/>
    <s v="88-183-5781"/>
    <s v="49-247-1217"/>
    <x v="15"/>
    <d v="2024-08-24T00:00:00"/>
    <d v="2026-12-27T00:00:00"/>
    <n v="17"/>
    <n v="63"/>
    <n v="3"/>
    <n v="3.5"/>
    <n v="93"/>
    <n v="26"/>
    <n v="1.66E-2"/>
    <n v="59.5"/>
    <n v="325.5"/>
    <s v="REORDER"/>
    <s v="Ok"/>
    <n v="646"/>
  </r>
  <r>
    <x v="36"/>
    <x v="6"/>
    <s v="Devpulse"/>
    <s v="2374 Chive Court"/>
    <x v="0"/>
    <s v="41-735-9837"/>
    <s v="35-462-7569"/>
    <x v="15"/>
    <d v="2024-08-28T00:00:00"/>
    <d v="2026-09-01T00:00:00"/>
    <n v="14"/>
    <n v="77"/>
    <n v="78"/>
    <n v="10"/>
    <n v="32"/>
    <n v="24"/>
    <n v="1.52E-2"/>
    <n v="140"/>
    <n v="320"/>
    <s v="REORDER"/>
    <s v="Ok"/>
    <n v="642"/>
  </r>
  <r>
    <x v="37"/>
    <x v="5"/>
    <s v="Yodo"/>
    <s v="7561 5th Terrace"/>
    <x v="2"/>
    <s v="88-977-0175"/>
    <s v="58-087-3463"/>
    <x v="15"/>
    <d v="2024-03-21T00:00:00"/>
    <d v="2026-07-19T00:00:00"/>
    <n v="100"/>
    <n v="1"/>
    <n v="26"/>
    <n v="5"/>
    <n v="47"/>
    <n v="79"/>
    <n v="1.32E-2"/>
    <n v="500"/>
    <n v="235"/>
    <s v="OK"/>
    <s v="Ok"/>
    <n v="802"/>
  </r>
  <r>
    <x v="38"/>
    <x v="1"/>
    <s v="Skipstorm"/>
    <s v="703 Hermina Center"/>
    <x v="2"/>
    <s v="66-327-2821"/>
    <s v="82-525-7224"/>
    <x v="15"/>
    <d v="2024-04-10T00:00:00"/>
    <d v="2026-05-27T00:00:00"/>
    <n v="67"/>
    <n v="57"/>
    <n v="36"/>
    <n v="1.8"/>
    <n v="78"/>
    <n v="60"/>
    <n v="1.21E-2"/>
    <n v="120.60000000000001"/>
    <n v="140.4"/>
    <s v="OK"/>
    <s v="Expired"/>
    <n v="782"/>
  </r>
  <r>
    <x v="7"/>
    <x v="4"/>
    <s v="Camido"/>
    <s v="709 Vidon Avenue"/>
    <x v="0"/>
    <s v="08-114-3922"/>
    <s v="19-418-7213"/>
    <x v="16"/>
    <d v="2024-02-25T00:00:00"/>
    <d v="2027-02-15T00:00:00"/>
    <n v="60"/>
    <n v="64"/>
    <n v="36"/>
    <n v="10"/>
    <n v="34"/>
    <n v="48"/>
    <n v="1.14E-2"/>
    <n v="600"/>
    <n v="340"/>
    <s v="REORDER"/>
    <s v="Ok"/>
    <n v="827"/>
  </r>
  <r>
    <x v="39"/>
    <x v="1"/>
    <s v="Dabtype"/>
    <s v="0313 Rockefeller Street"/>
    <x v="0"/>
    <s v="95-090-2788"/>
    <s v="95-715-6047"/>
    <x v="16"/>
    <d v="2024-04-05T00:00:00"/>
    <d v="2026-08-26T00:00:00"/>
    <n v="45"/>
    <n v="7"/>
    <n v="58"/>
    <n v="6.5"/>
    <n v="86"/>
    <n v="77"/>
    <n v="9.9000000000000008E-3"/>
    <n v="292.5"/>
    <n v="559"/>
    <s v="OK"/>
    <s v="Ok"/>
    <n v="787"/>
  </r>
  <r>
    <x v="40"/>
    <x v="0"/>
    <s v="Fadeo"/>
    <s v="19069 Cordelia Drive"/>
    <x v="2"/>
    <s v="26-690-3784"/>
    <s v="70-463-6597"/>
    <x v="17"/>
    <d v="2024-10-14T00:00:00"/>
    <d v="2026-04-06T00:00:00"/>
    <n v="58"/>
    <n v="5"/>
    <n v="1"/>
    <n v="2"/>
    <n v="53"/>
    <n v="80"/>
    <n v="8.0000000000000002E-3"/>
    <n v="116"/>
    <n v="106"/>
    <s v="OK"/>
    <s v="Expired"/>
    <n v="595"/>
  </r>
  <r>
    <x v="41"/>
    <x v="2"/>
    <s v="Rhynyx"/>
    <s v="60356 Derek Lane"/>
    <x v="0"/>
    <s v="46-753-8430"/>
    <s v="35-042-9391"/>
    <x v="17"/>
    <d v="2024-11-19T00:00:00"/>
    <d v="2026-08-05T00:00:00"/>
    <n v="98"/>
    <n v="77"/>
    <n v="7"/>
    <n v="7"/>
    <n v="92"/>
    <n v="29"/>
    <n v="6.1999999999999998E-3"/>
    <n v="686"/>
    <n v="644"/>
    <s v="OK"/>
    <s v="Ok"/>
    <n v="559"/>
  </r>
  <r>
    <x v="42"/>
    <x v="0"/>
    <s v="Skinix"/>
    <s v="36687 Maple Avenue"/>
    <x v="1"/>
    <s v="15-905-7750"/>
    <s v="48-176-1622"/>
    <x v="18"/>
    <d v="2025-01-31T00:00:00"/>
    <d v="2026-09-29T00:00:00"/>
    <n v="42"/>
    <n v="61"/>
    <n v="52"/>
    <n v="5"/>
    <n v="86"/>
    <n v="99"/>
    <n v="4.7000000000000002E-3"/>
    <n v="210"/>
    <n v="430"/>
    <s v="REORDER"/>
    <s v="Ok"/>
    <n v="486"/>
  </r>
  <r>
    <x v="43"/>
    <x v="1"/>
    <s v="Tagopia"/>
    <s v="13 Westport Hill"/>
    <x v="0"/>
    <s v="11-891-8213"/>
    <s v="25-741-5987"/>
    <x v="18"/>
    <d v="2024-12-12T00:00:00"/>
    <d v="2026-11-13T00:00:00"/>
    <n v="38"/>
    <n v="62"/>
    <n v="47"/>
    <n v="4"/>
    <n v="41"/>
    <n v="34"/>
    <n v="3.7000000000000002E-3"/>
    <n v="152"/>
    <n v="164"/>
    <s v="REORDER"/>
    <s v="Ok"/>
    <n v="536"/>
  </r>
  <r>
    <x v="44"/>
    <x v="1"/>
    <s v="Realmix"/>
    <s v="65 Chinook Circle"/>
    <x v="0"/>
    <s v="82-811-7988"/>
    <s v="41-772-9238"/>
    <x v="19"/>
    <d v="2024-06-13T00:00:00"/>
    <d v="2026-12-13T00:00:00"/>
    <n v="36"/>
    <n v="3"/>
    <n v="54"/>
    <n v="6"/>
    <n v="74"/>
    <n v="8"/>
    <n v="2.0999999999999999E-3"/>
    <n v="216"/>
    <n v="444"/>
    <s v="OK"/>
    <s v="Ok"/>
    <n v="718"/>
  </r>
  <r>
    <x v="19"/>
    <x v="3"/>
    <s v="Gigaclub"/>
    <s v="759 Waywood Court"/>
    <x v="2"/>
    <s v="31-746-4951"/>
    <s v="70-212-0990"/>
    <x v="20"/>
    <d v="2024-05-20T00:00:00"/>
    <d v="2026-09-06T00:00:00"/>
    <n v="67"/>
    <n v="60"/>
    <n v="21"/>
    <n v="2.75"/>
    <n v="30"/>
    <n v="6"/>
    <n v="0.89"/>
    <n v="184.25"/>
    <n v="82.5"/>
    <s v="OK"/>
    <s v="Ok"/>
    <n v="742"/>
  </r>
  <r>
    <x v="45"/>
    <x v="2"/>
    <s v="Katz"/>
    <s v="45190 Fordem Court"/>
    <x v="1"/>
    <s v="97-300-7511"/>
    <s v="47-687-2255"/>
    <x v="20"/>
    <d v="2024-07-17T00:00:00"/>
    <d v="2026-03-21T00:00:00"/>
    <n v="37"/>
    <n v="53"/>
    <n v="61"/>
    <n v="1"/>
    <n v="90"/>
    <n v="89"/>
    <n v="0.8"/>
    <n v="37"/>
    <n v="90"/>
    <s v="REORDER"/>
    <s v="Expired"/>
    <n v="684"/>
  </r>
  <r>
    <x v="46"/>
    <x v="0"/>
    <s v="Brainverse"/>
    <s v="0 Delladonna Place"/>
    <x v="2"/>
    <s v="88-304-2855"/>
    <s v="59-570-2020"/>
    <x v="20"/>
    <d v="2025-01-24T00:00:00"/>
    <d v="2027-02-12T00:00:00"/>
    <n v="20"/>
    <n v="51"/>
    <n v="33"/>
    <n v="3.5"/>
    <n v="80"/>
    <n v="41"/>
    <n v="0.01"/>
    <n v="70"/>
    <n v="280"/>
    <s v="REORDER"/>
    <s v="Ok"/>
    <n v="493"/>
  </r>
  <r>
    <x v="24"/>
    <x v="3"/>
    <s v="Skyba"/>
    <s v="63 Debra Park"/>
    <x v="0"/>
    <s v="53-008-2419"/>
    <s v="86-841-6074"/>
    <x v="20"/>
    <d v="2024-04-10T00:00:00"/>
    <d v="2026-05-27T00:00:00"/>
    <n v="62"/>
    <n v="36"/>
    <n v="96"/>
    <n v="4.75"/>
    <n v="31"/>
    <n v="25"/>
    <n v="0.49"/>
    <n v="294.5"/>
    <n v="147.25"/>
    <s v="OK"/>
    <s v="Expired"/>
    <n v="782"/>
  </r>
  <r>
    <x v="30"/>
    <x v="0"/>
    <s v="Brainverse"/>
    <s v="157 David Center"/>
    <x v="1"/>
    <s v="76-340-4432"/>
    <s v="79-915-4185"/>
    <x v="21"/>
    <d v="2024-03-28T00:00:00"/>
    <d v="2026-03-06T00:00:00"/>
    <n v="19"/>
    <n v="36"/>
    <n v="72"/>
    <n v="1.75"/>
    <n v="31"/>
    <n v="81"/>
    <n v="0.19"/>
    <n v="33.25"/>
    <n v="54.25"/>
    <s v="REORDER"/>
    <s v="Expired"/>
    <n v="795"/>
  </r>
  <r>
    <x v="47"/>
    <x v="4"/>
    <s v="Blogtag"/>
    <s v="4508 Shopko Trail"/>
    <x v="2"/>
    <s v="26-010-9519"/>
    <s v="28-837-4164"/>
    <x v="21"/>
    <d v="2024-11-26T00:00:00"/>
    <d v="2027-01-09T00:00:00"/>
    <n v="29"/>
    <n v="72"/>
    <n v="96"/>
    <n v="12"/>
    <n v="85"/>
    <n v="52"/>
    <n v="-1.61"/>
    <n v="348"/>
    <n v="1020"/>
    <s v="REORDER"/>
    <s v="Ok"/>
    <n v="552"/>
  </r>
  <r>
    <x v="48"/>
    <x v="0"/>
    <s v="Oba"/>
    <s v="74 Menomonie Point"/>
    <x v="0"/>
    <s v="08-940-8578"/>
    <s v="37-686-1726"/>
    <x v="21"/>
    <d v="2024-10-04T00:00:00"/>
    <d v="2026-11-22T00:00:00"/>
    <n v="34"/>
    <n v="29"/>
    <n v="65"/>
    <n v="2"/>
    <n v="90"/>
    <n v="23"/>
    <n v="0.39"/>
    <n v="68"/>
    <n v="180"/>
    <s v="OK"/>
    <s v="Ok"/>
    <n v="605"/>
  </r>
  <r>
    <x v="49"/>
    <x v="2"/>
    <s v="Oyondu"/>
    <s v="74997 Katie Terrace"/>
    <x v="0"/>
    <s v="54-374-9986"/>
    <s v="33-818-4917"/>
    <x v="22"/>
    <d v="2024-10-22T00:00:00"/>
    <d v="2026-03-21T00:00:00"/>
    <n v="92"/>
    <n v="52"/>
    <n v="80"/>
    <n v="2.5"/>
    <n v="72"/>
    <n v="96"/>
    <n v="0.74"/>
    <n v="230"/>
    <n v="180"/>
    <s v="OK"/>
    <s v="Expired"/>
    <n v="587"/>
  </r>
  <r>
    <x v="50"/>
    <x v="4"/>
    <s v="Eayo"/>
    <s v="7819 Fallview Park"/>
    <x v="0"/>
    <s v="67-625-9704"/>
    <s v="13-475-1009"/>
    <x v="22"/>
    <d v="2024-09-26T00:00:00"/>
    <d v="2026-07-18T00:00:00"/>
    <n v="33"/>
    <n v="18"/>
    <n v="92"/>
    <n v="6"/>
    <n v="98"/>
    <n v="56"/>
    <n v="-0.33"/>
    <n v="198"/>
    <n v="588"/>
    <s v="OK"/>
    <s v="Ok"/>
    <n v="613"/>
  </r>
  <r>
    <x v="25"/>
    <x v="5"/>
    <s v="Avamba"/>
    <s v="744 Green Center"/>
    <x v="1"/>
    <s v="56-635-6764"/>
    <s v="20-257-6927"/>
    <x v="22"/>
    <d v="2025-01-16T00:00:00"/>
    <d v="2026-08-05T00:00:00"/>
    <n v="12"/>
    <n v="59"/>
    <n v="62"/>
    <n v="4.5"/>
    <n v="75"/>
    <n v="92"/>
    <n v="0.43"/>
    <n v="54"/>
    <n v="337.5"/>
    <s v="REORDER"/>
    <s v="Ok"/>
    <n v="501"/>
  </r>
  <r>
    <x v="7"/>
    <x v="4"/>
    <s v="Mybuzz"/>
    <s v="31 Loomis Park"/>
    <x v="2"/>
    <s v="10-445-0741"/>
    <s v="82-470-7146"/>
    <x v="22"/>
    <d v="2024-07-11T00:00:00"/>
    <d v="2026-03-31T00:00:00"/>
    <n v="83"/>
    <n v="17"/>
    <n v="39"/>
    <n v="10"/>
    <n v="33"/>
    <n v="20"/>
    <n v="-0.23"/>
    <n v="830"/>
    <n v="330"/>
    <s v="OK"/>
    <s v="Expired"/>
    <n v="690"/>
  </r>
  <r>
    <x v="43"/>
    <x v="1"/>
    <s v="Twitterwire"/>
    <s v="1170 Shasta Circle"/>
    <x v="1"/>
    <s v="76-584-4790"/>
    <s v="58-213-1146"/>
    <x v="22"/>
    <d v="2024-11-04T00:00:00"/>
    <d v="2027-01-01T00:00:00"/>
    <n v="21"/>
    <n v="52"/>
    <n v="80"/>
    <n v="4"/>
    <n v="49"/>
    <n v="37"/>
    <n v="0.39"/>
    <n v="84"/>
    <n v="196"/>
    <s v="REORDER"/>
    <s v="Ok"/>
    <n v="574"/>
  </r>
  <r>
    <x v="51"/>
    <x v="0"/>
    <s v="Topicstorm"/>
    <s v="15068 Scoville Court"/>
    <x v="1"/>
    <s v="57-437-1828"/>
    <s v="54-226-4308"/>
    <x v="23"/>
    <d v="2024-10-11T00:00:00"/>
    <d v="2026-10-05T00:00:00"/>
    <n v="37"/>
    <n v="30"/>
    <n v="74"/>
    <n v="4"/>
    <n v="62"/>
    <n v="25"/>
    <n v="0.24"/>
    <n v="148"/>
    <n v="248"/>
    <s v="OK"/>
    <s v="Ok"/>
    <n v="598"/>
  </r>
  <r>
    <x v="52"/>
    <x v="3"/>
    <s v="Katz"/>
    <s v="5743 Superior Place"/>
    <x v="1"/>
    <s v="62-777-6010"/>
    <s v="40-914-7156"/>
    <x v="23"/>
    <d v="2024-03-06T00:00:00"/>
    <d v="2026-11-05T00:00:00"/>
    <n v="77"/>
    <n v="20"/>
    <n v="37"/>
    <n v="4.25"/>
    <n v="42"/>
    <n v="19"/>
    <n v="0.6"/>
    <n v="327.25"/>
    <n v="178.5"/>
    <s v="OK"/>
    <s v="Ok"/>
    <n v="817"/>
  </r>
  <r>
    <x v="53"/>
    <x v="3"/>
    <s v="Vinder"/>
    <s v="3296 Walton Court"/>
    <x v="1"/>
    <s v="06-955-3428"/>
    <s v="54-031-2945"/>
    <x v="24"/>
    <d v="2024-06-10T00:00:00"/>
    <d v="2026-09-22T00:00:00"/>
    <n v="30"/>
    <n v="38"/>
    <n v="83"/>
    <n v="6"/>
    <n v="31"/>
    <n v="34"/>
    <n v="0.55000000000000004"/>
    <n v="180"/>
    <n v="186"/>
    <s v="REORDER"/>
    <s v="Ok"/>
    <n v="721"/>
  </r>
  <r>
    <x v="54"/>
    <x v="3"/>
    <s v="Wordpedia"/>
    <s v="5 Toban Circle"/>
    <x v="0"/>
    <s v="04-758-0410"/>
    <s v="56-231-2524"/>
    <x v="24"/>
    <d v="2024-08-16T00:00:00"/>
    <d v="2026-05-02T00:00:00"/>
    <n v="26"/>
    <n v="21"/>
    <n v="47"/>
    <n v="10"/>
    <n v="40"/>
    <n v="59"/>
    <n v="-0.1"/>
    <n v="260"/>
    <n v="400"/>
    <s v="OK"/>
    <s v="Expired"/>
    <n v="654"/>
  </r>
  <r>
    <x v="54"/>
    <x v="3"/>
    <s v="Kayveo"/>
    <s v="8569 Bashford Court"/>
    <x v="1"/>
    <s v="06-655-5498"/>
    <s v="89-574-3430"/>
    <x v="24"/>
    <d v="2024-07-09T00:00:00"/>
    <d v="2026-09-28T00:00:00"/>
    <n v="72"/>
    <n v="82"/>
    <n v="52"/>
    <n v="9.75"/>
    <n v="51"/>
    <n v="95"/>
    <n v="-0.48"/>
    <n v="702"/>
    <n v="497.25"/>
    <s v="REORDER"/>
    <s v="Ok"/>
    <n v="692"/>
  </r>
  <r>
    <x v="55"/>
    <x v="0"/>
    <s v="Meeveo"/>
    <s v="31892 Pennsylvania Street"/>
    <x v="2"/>
    <s v="76-401-7083"/>
    <s v="29-156-0691"/>
    <x v="25"/>
    <d v="2024-10-03T00:00:00"/>
    <d v="2026-07-31T00:00:00"/>
    <n v="59"/>
    <n v="79"/>
    <n v="87"/>
    <n v="6"/>
    <n v="47"/>
    <n v="18"/>
    <n v="-0.86"/>
    <n v="354"/>
    <n v="282"/>
    <s v="REORDER"/>
    <s v="Ok"/>
    <n v="606"/>
  </r>
  <r>
    <x v="53"/>
    <x v="3"/>
    <s v="Npath"/>
    <s v="6382 Anniversary Pass"/>
    <x v="0"/>
    <s v="30-429-2162"/>
    <s v="05-100-7102"/>
    <x v="26"/>
    <d v="2024-12-06T00:00:00"/>
    <d v="2027-01-15T00:00:00"/>
    <n v="34"/>
    <n v="96"/>
    <n v="76"/>
    <n v="6.15"/>
    <n v="90"/>
    <n v="34"/>
    <n v="0.62"/>
    <n v="209.10000000000002"/>
    <n v="553.5"/>
    <s v="REORDER"/>
    <s v="Ok"/>
    <n v="542"/>
  </r>
  <r>
    <x v="49"/>
    <x v="2"/>
    <s v="Riffpedia"/>
    <s v="09189 2nd Drive"/>
    <x v="2"/>
    <s v="49-730-0159"/>
    <s v="62-766-8232"/>
    <x v="26"/>
    <d v="2024-12-10T00:00:00"/>
    <d v="2026-08-26T00:00:00"/>
    <n v="82"/>
    <n v="3"/>
    <n v="82"/>
    <n v="2.4"/>
    <n v="48"/>
    <n v="31"/>
    <n v="0.62"/>
    <n v="196.79999999999998"/>
    <n v="115.19999999999999"/>
    <s v="OK"/>
    <s v="Ok"/>
    <n v="538"/>
  </r>
  <r>
    <x v="56"/>
    <x v="0"/>
    <s v="Lajo"/>
    <s v="081 Jana Lane"/>
    <x v="2"/>
    <s v="31-745-6850"/>
    <s v="96-215-2767"/>
    <x v="26"/>
    <d v="2024-10-24T00:00:00"/>
    <d v="2026-11-01T00:00:00"/>
    <n v="94"/>
    <n v="90"/>
    <n v="12"/>
    <n v="0.9"/>
    <n v="98"/>
    <n v="71"/>
    <n v="0.35"/>
    <n v="84.600000000000009"/>
    <n v="88.2"/>
    <s v="OK"/>
    <s v="Ok"/>
    <n v="585"/>
  </r>
  <r>
    <x v="25"/>
    <x v="5"/>
    <s v="Vinte"/>
    <s v="72083 Acker Crossing"/>
    <x v="2"/>
    <s v="69-468-5468"/>
    <s v="37-099-6976"/>
    <x v="27"/>
    <d v="2024-06-10T00:00:00"/>
    <d v="2026-11-26T00:00:00"/>
    <n v="59"/>
    <n v="78"/>
    <n v="6"/>
    <n v="4.5"/>
    <n v="32"/>
    <n v="3"/>
    <n v="0.28000000000000003"/>
    <n v="265.5"/>
    <n v="144"/>
    <s v="REORDER"/>
    <s v="Ok"/>
    <n v="721"/>
  </r>
  <r>
    <x v="3"/>
    <x v="0"/>
    <s v="Gevee"/>
    <s v="7744 Oxford Pass"/>
    <x v="2"/>
    <s v="68-636-4774"/>
    <s v="40-436-0171"/>
    <x v="27"/>
    <d v="2024-08-30T00:00:00"/>
    <d v="2027-02-19T00:00:00"/>
    <n v="18"/>
    <n v="50"/>
    <n v="77"/>
    <n v="1.45"/>
    <n v="44"/>
    <n v="19"/>
    <n v="0.91"/>
    <n v="26.099999999999998"/>
    <n v="63.8"/>
    <s v="REORDER"/>
    <s v="Ok"/>
    <n v="640"/>
  </r>
  <r>
    <x v="57"/>
    <x v="3"/>
    <s v="Dabjam"/>
    <s v="050 Mcbride Avenue"/>
    <x v="0"/>
    <s v="21-120-6238"/>
    <s v="86-292-4587"/>
    <x v="28"/>
    <d v="2024-05-26T00:00:00"/>
    <d v="2026-09-05T00:00:00"/>
    <n v="55"/>
    <n v="33"/>
    <n v="14"/>
    <n v="1.75"/>
    <n v="34"/>
    <n v="62"/>
    <n v="0.56999999999999995"/>
    <n v="96.25"/>
    <n v="59.5"/>
    <s v="OK"/>
    <s v="Ok"/>
    <n v="736"/>
  </r>
  <r>
    <x v="10"/>
    <x v="2"/>
    <s v="Wordify"/>
    <s v="1 Merchant Circle"/>
    <x v="1"/>
    <s v="92-995-8689"/>
    <s v="18-682-7828"/>
    <x v="28"/>
    <d v="2024-10-17T00:00:00"/>
    <d v="2026-03-06T00:00:00"/>
    <n v="31"/>
    <n v="65"/>
    <n v="94"/>
    <n v="9"/>
    <n v="63"/>
    <n v="7"/>
    <n v="-0.82"/>
    <n v="279"/>
    <n v="567"/>
    <s v="REORDER"/>
    <s v="Expired"/>
    <n v="592"/>
  </r>
  <r>
    <x v="26"/>
    <x v="6"/>
    <s v="Aibox"/>
    <s v="97 Thierer Terrace"/>
    <x v="0"/>
    <s v="15-045-8444"/>
    <s v="29-143-2001"/>
    <x v="29"/>
    <d v="2024-07-12T00:00:00"/>
    <d v="2026-03-27T00:00:00"/>
    <n v="27"/>
    <n v="12"/>
    <n v="93"/>
    <n v="12"/>
    <n v="88"/>
    <n v="83"/>
    <n v="0.89"/>
    <n v="324"/>
    <n v="1056"/>
    <s v="OK"/>
    <s v="Expired"/>
    <n v="689"/>
  </r>
  <r>
    <x v="58"/>
    <x v="2"/>
    <s v="Yakitri"/>
    <s v="069 Basil Center"/>
    <x v="2"/>
    <s v="73-567-6194"/>
    <s v="81-927-7236"/>
    <x v="29"/>
    <d v="2024-12-10T00:00:00"/>
    <d v="2026-09-08T00:00:00"/>
    <n v="76"/>
    <n v="81"/>
    <n v="85"/>
    <n v="4"/>
    <n v="65"/>
    <n v="68"/>
    <n v="0.06"/>
    <n v="304"/>
    <n v="260"/>
    <s v="REORDER"/>
    <s v="Ok"/>
    <n v="538"/>
  </r>
  <r>
    <x v="51"/>
    <x v="0"/>
    <s v="Mybuzz"/>
    <s v="29 Vera Drive"/>
    <x v="0"/>
    <s v="48-242-8445"/>
    <s v="84-941-3034"/>
    <x v="29"/>
    <d v="2024-06-15T00:00:00"/>
    <d v="2026-06-24T00:00:00"/>
    <n v="40"/>
    <n v="3"/>
    <n v="5"/>
    <n v="4"/>
    <n v="45"/>
    <n v="69"/>
    <n v="-0.05"/>
    <n v="160"/>
    <n v="180"/>
    <s v="OK"/>
    <s v="Expiring Soon"/>
    <n v="716"/>
  </r>
  <r>
    <x v="46"/>
    <x v="0"/>
    <s v="Quinu"/>
    <s v="0584 Lindbergh Alley"/>
    <x v="2"/>
    <s v="33-507-9886"/>
    <s v="11-445-3951"/>
    <x v="30"/>
    <d v="2024-08-19T00:00:00"/>
    <d v="2026-06-27T00:00:00"/>
    <n v="68"/>
    <n v="25"/>
    <n v="16"/>
    <n v="3.5"/>
    <n v="25"/>
    <n v="83"/>
    <n v="-0.53"/>
    <n v="238"/>
    <n v="87.5"/>
    <s v="OK"/>
    <s v="Expiring Soon"/>
    <n v="651"/>
  </r>
  <r>
    <x v="59"/>
    <x v="0"/>
    <s v="Thoughtmix"/>
    <s v="183 Algoma Trail"/>
    <x v="0"/>
    <s v="80-025-6757"/>
    <s v="49-608-3851"/>
    <x v="30"/>
    <d v="2024-11-29T00:00:00"/>
    <d v="2027-01-01T00:00:00"/>
    <n v="59"/>
    <n v="29"/>
    <n v="100"/>
    <n v="5.5"/>
    <n v="74"/>
    <n v="16"/>
    <n v="-2.3199999999999998"/>
    <n v="324.5"/>
    <n v="407"/>
    <s v="OK"/>
    <s v="Ok"/>
    <n v="549"/>
  </r>
  <r>
    <x v="60"/>
    <x v="1"/>
    <s v="Photofeed"/>
    <s v="7 Rutledge Pass"/>
    <x v="1"/>
    <s v="36-296-9609"/>
    <s v="46-041-1131"/>
    <x v="31"/>
    <d v="2024-06-24T00:00:00"/>
    <d v="2026-12-01T00:00:00"/>
    <n v="24"/>
    <n v="35"/>
    <n v="14"/>
    <n v="2.5"/>
    <n v="91"/>
    <n v="71"/>
    <n v="0.78"/>
    <n v="60"/>
    <n v="227.5"/>
    <s v="REORDER"/>
    <s v="Ok"/>
    <n v="707"/>
  </r>
  <r>
    <x v="5"/>
    <x v="0"/>
    <s v="Centimia"/>
    <s v="01 Straubel Hill"/>
    <x v="0"/>
    <s v="56-054-8664"/>
    <s v="53-247-1844"/>
    <x v="31"/>
    <d v="2024-03-25T00:00:00"/>
    <d v="2026-03-03T00:00:00"/>
    <n v="59"/>
    <n v="82"/>
    <n v="69"/>
    <n v="2.4500000000000002"/>
    <n v="30"/>
    <n v="34"/>
    <n v="0.22"/>
    <n v="144.55000000000001"/>
    <n v="73.5"/>
    <s v="REORDER"/>
    <s v="Expired"/>
    <n v="798"/>
  </r>
  <r>
    <x v="5"/>
    <x v="0"/>
    <s v="Mydo"/>
    <s v="208 Miller Court"/>
    <x v="2"/>
    <s v="64-478-4745"/>
    <s v="36-780-8625"/>
    <x v="32"/>
    <d v="2024-04-20T00:00:00"/>
    <d v="2026-11-19T00:00:00"/>
    <n v="63"/>
    <n v="81"/>
    <n v="94"/>
    <n v="2.5"/>
    <n v="56"/>
    <n v="2"/>
    <n v="-0.13"/>
    <n v="157.5"/>
    <n v="140"/>
    <s v="REORDER"/>
    <s v="Ok"/>
    <n v="772"/>
  </r>
  <r>
    <x v="43"/>
    <x v="1"/>
    <s v="Edgeify"/>
    <s v="203 Mariners Cove Junction"/>
    <x v="1"/>
    <s v="67-546-1568"/>
    <s v="10-038-3988"/>
    <x v="32"/>
    <d v="2024-06-16T00:00:00"/>
    <d v="2026-03-28T00:00:00"/>
    <n v="57"/>
    <n v="36"/>
    <n v="53"/>
    <n v="4"/>
    <n v="56"/>
    <n v="32"/>
    <n v="0.96"/>
    <n v="228"/>
    <n v="224"/>
    <s v="OK"/>
    <s v="Expired"/>
    <n v="715"/>
  </r>
  <r>
    <x v="16"/>
    <x v="2"/>
    <s v="Quinu"/>
    <s v="6810 Aberg Junction"/>
    <x v="1"/>
    <s v="10-218-2680"/>
    <s v="72-024-1595"/>
    <x v="32"/>
    <d v="2024-05-28T00:00:00"/>
    <d v="2027-01-03T00:00:00"/>
    <n v="39"/>
    <n v="93"/>
    <n v="57"/>
    <n v="2.5"/>
    <n v="26"/>
    <n v="44"/>
    <n v="0.43"/>
    <n v="97.5"/>
    <n v="65"/>
    <s v="REORDER"/>
    <s v="Ok"/>
    <n v="734"/>
  </r>
  <r>
    <x v="61"/>
    <x v="3"/>
    <s v="Katz"/>
    <s v="805 Nancy Crossing"/>
    <x v="1"/>
    <s v="46-520-1819"/>
    <s v="10-762-7936"/>
    <x v="33"/>
    <d v="2024-10-04T00:00:00"/>
    <d v="2026-05-15T00:00:00"/>
    <n v="41"/>
    <n v="36"/>
    <n v="78"/>
    <n v="4.5"/>
    <n v="38"/>
    <n v="75"/>
    <n v="-0.69"/>
    <n v="184.5"/>
    <n v="171"/>
    <s v="OK"/>
    <s v="Expired"/>
    <n v="605"/>
  </r>
  <r>
    <x v="62"/>
    <x v="4"/>
    <s v="Meemm"/>
    <s v="8 Fremont Circle"/>
    <x v="2"/>
    <s v="87-791-5803"/>
    <s v="89-843-0880"/>
    <x v="33"/>
    <d v="2024-03-09T00:00:00"/>
    <d v="2026-09-01T00:00:00"/>
    <n v="25"/>
    <n v="44"/>
    <n v="96"/>
    <n v="18"/>
    <n v="36"/>
    <n v="16"/>
    <n v="-0.97"/>
    <n v="450"/>
    <n v="648"/>
    <s v="REORDER"/>
    <s v="Ok"/>
    <n v="814"/>
  </r>
  <r>
    <x v="14"/>
    <x v="0"/>
    <s v="Dynabox"/>
    <s v="52 Victoria Plaza"/>
    <x v="0"/>
    <s v="71-436-5841"/>
    <s v="87-546-9674"/>
    <x v="33"/>
    <d v="2024-09-25T00:00:00"/>
    <d v="2026-06-25T00:00:00"/>
    <n v="87"/>
    <n v="91"/>
    <n v="94"/>
    <n v="2.5"/>
    <n v="47"/>
    <n v="4"/>
    <n v="0.56000000000000005"/>
    <n v="217.5"/>
    <n v="117.5"/>
    <s v="REORDER"/>
    <s v="Expiring Soon"/>
    <n v="614"/>
  </r>
  <r>
    <x v="48"/>
    <x v="0"/>
    <s v="Wikizz"/>
    <s v="1991 Kropf Way"/>
    <x v="2"/>
    <s v="07-679-1199"/>
    <s v="75-406-6250"/>
    <x v="33"/>
    <d v="2024-07-10T00:00:00"/>
    <d v="2026-10-15T00:00:00"/>
    <n v="20"/>
    <n v="65"/>
    <n v="61"/>
    <n v="2"/>
    <n v="51"/>
    <n v="78"/>
    <n v="0.91"/>
    <n v="40"/>
    <n v="102"/>
    <s v="REORDER"/>
    <s v="Ok"/>
    <n v="691"/>
  </r>
  <r>
    <x v="63"/>
    <x v="0"/>
    <s v="Youfeed"/>
    <s v="3825 Raven Avenue"/>
    <x v="0"/>
    <s v="48-957-8596"/>
    <s v="40-817-2222"/>
    <x v="34"/>
    <d v="2024-04-24T00:00:00"/>
    <d v="2026-10-18T00:00:00"/>
    <n v="95"/>
    <n v="25"/>
    <n v="91"/>
    <n v="53.82"/>
    <n v="87"/>
    <n v="5"/>
    <n v="-0.53"/>
    <n v="5112.8999999999996"/>
    <n v="4682.34"/>
    <s v="OK"/>
    <s v="Ok"/>
    <n v="768"/>
  </r>
  <r>
    <x v="64"/>
    <x v="0"/>
    <s v="Katz"/>
    <s v="78884 Union Street"/>
    <x v="1"/>
    <s v="20-325-1965"/>
    <s v="97-155-1262"/>
    <x v="34"/>
    <d v="2024-04-04T00:00:00"/>
    <d v="2026-05-21T00:00:00"/>
    <n v="56"/>
    <n v="75"/>
    <n v="13"/>
    <n v="5"/>
    <n v="42"/>
    <n v="53"/>
    <n v="0.94"/>
    <n v="280"/>
    <n v="210"/>
    <s v="REORDER"/>
    <s v="Expired"/>
    <n v="788"/>
  </r>
  <r>
    <x v="29"/>
    <x v="3"/>
    <s v="Oloo"/>
    <s v="3 Anthes Place"/>
    <x v="0"/>
    <s v="51-069-0489"/>
    <s v="19-978-0708"/>
    <x v="35"/>
    <d v="2024-03-30T00:00:00"/>
    <d v="2026-05-30T00:00:00"/>
    <n v="96"/>
    <n v="83"/>
    <n v="50"/>
    <n v="1.5"/>
    <n v="81"/>
    <n v="89"/>
    <n v="-0.26"/>
    <n v="144"/>
    <n v="121.5"/>
    <s v="OK"/>
    <s v="Expired"/>
    <n v="793"/>
  </r>
  <r>
    <x v="65"/>
    <x v="3"/>
    <s v="Trudoo"/>
    <s v="4627 Amoth Circle"/>
    <x v="2"/>
    <s v="17-493-4579"/>
    <s v="67-541-7091"/>
    <x v="35"/>
    <d v="2024-11-08T00:00:00"/>
    <d v="2026-05-28T00:00:00"/>
    <n v="76"/>
    <n v="8"/>
    <n v="2"/>
    <n v="9.5"/>
    <n v="24"/>
    <n v="53"/>
    <n v="-0.1"/>
    <n v="722"/>
    <n v="228"/>
    <s v="OK"/>
    <s v="Expired"/>
    <n v="570"/>
  </r>
  <r>
    <x v="24"/>
    <x v="3"/>
    <s v="Topdrive"/>
    <s v="2 Miller Lane"/>
    <x v="0"/>
    <s v="46-622-3434"/>
    <s v="85-473-1534"/>
    <x v="35"/>
    <d v="2024-12-08T00:00:00"/>
    <d v="2026-07-23T00:00:00"/>
    <n v="17"/>
    <n v="19"/>
    <n v="74"/>
    <n v="4.75"/>
    <n v="58"/>
    <n v="27"/>
    <n v="-1.21"/>
    <n v="80.75"/>
    <n v="275.5"/>
    <s v="REORDER"/>
    <s v="Ok"/>
    <n v="540"/>
  </r>
  <r>
    <x v="11"/>
    <x v="1"/>
    <s v="Dabjam"/>
    <s v="591 Maple Junction"/>
    <x v="2"/>
    <s v="05-899-1428"/>
    <s v="17-494-5505"/>
    <x v="35"/>
    <d v="2025-01-25T00:00:00"/>
    <d v="2026-07-01T00:00:00"/>
    <n v="14"/>
    <n v="75"/>
    <n v="10"/>
    <n v="10"/>
    <n v="65"/>
    <n v="62"/>
    <n v="0.53"/>
    <n v="140"/>
    <n v="650"/>
    <s v="REORDER"/>
    <s v="Ok"/>
    <n v="492"/>
  </r>
  <r>
    <x v="37"/>
    <x v="5"/>
    <s v="Trunyx"/>
    <s v="48 Golf View Pass"/>
    <x v="2"/>
    <s v="60-632-8752"/>
    <s v="07-948-8632"/>
    <x v="36"/>
    <d v="2024-04-04T00:00:00"/>
    <d v="2027-01-26T00:00:00"/>
    <n v="96"/>
    <n v="16"/>
    <n v="48"/>
    <n v="5"/>
    <n v="45"/>
    <n v="68"/>
    <n v="0.05"/>
    <n v="480"/>
    <n v="225"/>
    <s v="OK"/>
    <s v="Ok"/>
    <n v="788"/>
  </r>
  <r>
    <x v="53"/>
    <x v="3"/>
    <s v="BlogXS"/>
    <s v="752 Mccormick Way"/>
    <x v="1"/>
    <s v="65-854-9364"/>
    <s v="64-800-4141"/>
    <x v="36"/>
    <d v="2024-12-19T00:00:00"/>
    <d v="2026-04-22T00:00:00"/>
    <n v="30"/>
    <n v="34"/>
    <n v="96"/>
    <n v="6.3"/>
    <n v="61"/>
    <n v="13"/>
    <n v="-0.51"/>
    <n v="189"/>
    <n v="384.3"/>
    <s v="REORDER"/>
    <s v="Expired"/>
    <n v="529"/>
  </r>
  <r>
    <x v="66"/>
    <x v="2"/>
    <s v="Thoughtstorm"/>
    <s v="550 Clemons Plaza"/>
    <x v="2"/>
    <s v="66-268-8345"/>
    <s v="32-182-1895"/>
    <x v="37"/>
    <d v="2024-06-02T00:00:00"/>
    <d v="2027-01-08T00:00:00"/>
    <n v="91"/>
    <n v="84"/>
    <n v="11"/>
    <n v="3"/>
    <n v="56"/>
    <n v="90"/>
    <n v="0.79"/>
    <n v="273"/>
    <n v="168"/>
    <s v="OK"/>
    <s v="Ok"/>
    <n v="729"/>
  </r>
  <r>
    <x v="67"/>
    <x v="0"/>
    <s v="Youfeed"/>
    <s v="04 Hagan Crossing"/>
    <x v="1"/>
    <s v="13-673-7016"/>
    <s v="78-726-6352"/>
    <x v="37"/>
    <d v="2024-07-22T00:00:00"/>
    <d v="2027-02-23T00:00:00"/>
    <n v="47"/>
    <n v="67"/>
    <n v="57"/>
    <n v="4"/>
    <n v="36"/>
    <n v="48"/>
    <n v="-0.61"/>
    <n v="188"/>
    <n v="144"/>
    <s v="REORDER"/>
    <s v="Ok"/>
    <n v="679"/>
  </r>
  <r>
    <x v="37"/>
    <x v="5"/>
    <s v="JumpXS"/>
    <s v="39 Lakewood Gardens Center"/>
    <x v="0"/>
    <s v="20-054-3716"/>
    <s v="49-591-1019"/>
    <x v="38"/>
    <d v="2024-09-16T00:00:00"/>
    <d v="2026-02-25T00:00:00"/>
    <n v="11"/>
    <n v="6"/>
    <n v="100"/>
    <n v="5"/>
    <n v="88"/>
    <n v="24"/>
    <n v="-0.33"/>
    <n v="55"/>
    <n v="440"/>
    <s v="OK"/>
    <s v="Expired"/>
    <n v="623"/>
  </r>
  <r>
    <x v="51"/>
    <x v="0"/>
    <s v="Voomm"/>
    <s v="5104 Jana Court"/>
    <x v="2"/>
    <s v="11-073-0189"/>
    <s v="75-190-3627"/>
    <x v="39"/>
    <d v="2024-09-21T00:00:00"/>
    <d v="2026-05-06T00:00:00"/>
    <n v="95"/>
    <n v="50"/>
    <n v="76"/>
    <n v="4"/>
    <n v="69"/>
    <n v="5"/>
    <n v="0.73"/>
    <n v="380"/>
    <n v="276"/>
    <s v="OK"/>
    <s v="Expired"/>
    <n v="618"/>
  </r>
  <r>
    <x v="34"/>
    <x v="2"/>
    <s v="Chatterbridge"/>
    <s v="68086 Crowley Circle"/>
    <x v="0"/>
    <s v="40-793-7235"/>
    <s v="89-048-3542"/>
    <x v="39"/>
    <d v="2024-12-09T00:00:00"/>
    <d v="2026-05-19T00:00:00"/>
    <n v="92"/>
    <n v="67"/>
    <n v="51"/>
    <n v="4"/>
    <n v="23"/>
    <n v="78"/>
    <n v="0.93"/>
    <n v="368"/>
    <n v="92"/>
    <s v="OK"/>
    <s v="Expired"/>
    <n v="539"/>
  </r>
  <r>
    <x v="9"/>
    <x v="2"/>
    <s v="Skinte"/>
    <s v="897 Independence Circle"/>
    <x v="1"/>
    <s v="56-894-3733"/>
    <s v="57-133-8386"/>
    <x v="39"/>
    <d v="2024-03-17T00:00:00"/>
    <d v="2027-02-02T00:00:00"/>
    <n v="85"/>
    <n v="83"/>
    <n v="13"/>
    <n v="1.75"/>
    <n v="49"/>
    <n v="75"/>
    <n v="-2.39"/>
    <n v="148.75"/>
    <n v="85.75"/>
    <s v="OK"/>
    <s v="Ok"/>
    <n v="806"/>
  </r>
  <r>
    <x v="68"/>
    <x v="0"/>
    <s v="Yabox"/>
    <s v="0282 Emmet Hill"/>
    <x v="1"/>
    <s v="83-117-7658"/>
    <s v="61-424-7670"/>
    <x v="39"/>
    <d v="2024-02-25T00:00:00"/>
    <d v="2026-12-19T00:00:00"/>
    <n v="92"/>
    <n v="3"/>
    <n v="81"/>
    <n v="5"/>
    <n v="62"/>
    <n v="20"/>
    <n v="-0.53"/>
    <n v="460"/>
    <n v="310"/>
    <s v="OK"/>
    <s v="Ok"/>
    <n v="827"/>
  </r>
  <r>
    <x v="69"/>
    <x v="0"/>
    <s v="Yakijo"/>
    <s v="61 Waubesa Court"/>
    <x v="1"/>
    <s v="72-989-2512"/>
    <s v="03-117-6217"/>
    <x v="39"/>
    <d v="2024-06-27T00:00:00"/>
    <d v="2026-10-28T00:00:00"/>
    <n v="24"/>
    <n v="21"/>
    <n v="4"/>
    <n v="6"/>
    <n v="85"/>
    <n v="17"/>
    <n v="0.68"/>
    <n v="144"/>
    <n v="510"/>
    <s v="OK"/>
    <s v="Ok"/>
    <n v="704"/>
  </r>
  <r>
    <x v="49"/>
    <x v="2"/>
    <s v="Bubblebox"/>
    <s v="1 Lillian Plaza"/>
    <x v="1"/>
    <s v="58-229-1358"/>
    <s v="66-883-2383"/>
    <x v="39"/>
    <d v="2024-09-11T00:00:00"/>
    <d v="2026-09-28T00:00:00"/>
    <n v="21"/>
    <n v="24"/>
    <n v="2"/>
    <n v="2.35"/>
    <n v="87"/>
    <n v="36"/>
    <n v="0.8"/>
    <n v="49.35"/>
    <n v="204.45000000000002"/>
    <s v="REORDER"/>
    <s v="Ok"/>
    <n v="628"/>
  </r>
  <r>
    <x v="7"/>
    <x v="4"/>
    <s v="Jatri"/>
    <s v="4 Doe Crossing Avenue"/>
    <x v="2"/>
    <s v="28-275-5901"/>
    <s v="44-760-4337"/>
    <x v="39"/>
    <d v="2024-04-23T00:00:00"/>
    <d v="2027-01-24T00:00:00"/>
    <n v="64"/>
    <n v="1"/>
    <n v="92"/>
    <n v="10"/>
    <n v="49"/>
    <n v="15"/>
    <n v="0.59"/>
    <n v="640"/>
    <n v="490"/>
    <s v="OK"/>
    <s v="Ok"/>
    <n v="769"/>
  </r>
  <r>
    <x v="70"/>
    <x v="6"/>
    <s v="Kare"/>
    <s v="24 South Trail"/>
    <x v="2"/>
    <s v="85-806-8672"/>
    <s v="44-646-7502"/>
    <x v="39"/>
    <d v="2024-10-12T00:00:00"/>
    <d v="2026-11-21T00:00:00"/>
    <n v="35"/>
    <n v="88"/>
    <n v="87"/>
    <n v="4.7"/>
    <n v="39"/>
    <n v="62"/>
    <n v="0.69"/>
    <n v="164.5"/>
    <n v="183.3"/>
    <s v="REORDER"/>
    <s v="Ok"/>
    <n v="597"/>
  </r>
  <r>
    <x v="44"/>
    <x v="1"/>
    <s v="Midel"/>
    <s v="8626 Chinook Parkway"/>
    <x v="2"/>
    <s v="65-718-0492"/>
    <s v="91-492-8216"/>
    <x v="40"/>
    <d v="2025-01-23T00:00:00"/>
    <d v="2027-02-16T00:00:00"/>
    <n v="100"/>
    <n v="92"/>
    <n v="26"/>
    <n v="6"/>
    <n v="84"/>
    <n v="9"/>
    <n v="-0.59"/>
    <n v="600"/>
    <n v="504"/>
    <s v="OK"/>
    <s v="Ok"/>
    <n v="494"/>
  </r>
  <r>
    <x v="71"/>
    <x v="6"/>
    <s v="Brightbean"/>
    <s v="5501 Fuller Way"/>
    <x v="1"/>
    <s v="86-482-6451"/>
    <s v="56-965-0404"/>
    <x v="40"/>
    <d v="2024-10-27T00:00:00"/>
    <d v="2026-08-10T00:00:00"/>
    <n v="91"/>
    <n v="78"/>
    <n v="61"/>
    <n v="25"/>
    <n v="63"/>
    <n v="15"/>
    <n v="0.89"/>
    <n v="2275"/>
    <n v="1575"/>
    <s v="OK"/>
    <s v="Ok"/>
    <n v="582"/>
  </r>
  <r>
    <x v="1"/>
    <x v="1"/>
    <s v="Browseblab"/>
    <s v="5 Colorado Park"/>
    <x v="2"/>
    <s v="48-289-0604"/>
    <s v="94-261-1193"/>
    <x v="40"/>
    <d v="2024-08-12T00:00:00"/>
    <d v="2026-06-20T00:00:00"/>
    <n v="18"/>
    <n v="72"/>
    <n v="71"/>
    <n v="2"/>
    <n v="25"/>
    <n v="81"/>
    <n v="0.76"/>
    <n v="36"/>
    <n v="50"/>
    <s v="REORDER"/>
    <s v="Expiring Soon"/>
    <n v="658"/>
  </r>
  <r>
    <x v="72"/>
    <x v="3"/>
    <s v="Tagcat"/>
    <s v="3053 Sachs Center"/>
    <x v="0"/>
    <s v="21-809-7115"/>
    <s v="57-774-4116"/>
    <x v="40"/>
    <d v="2024-07-22T00:00:00"/>
    <d v="2027-02-24T00:00:00"/>
    <n v="80"/>
    <n v="86"/>
    <n v="50"/>
    <n v="1.8"/>
    <n v="46"/>
    <n v="69"/>
    <n v="-2.2400000000000002"/>
    <n v="144"/>
    <n v="82.8"/>
    <s v="REORDER"/>
    <s v="Ok"/>
    <n v="679"/>
  </r>
  <r>
    <x v="73"/>
    <x v="3"/>
    <s v="Flashspan"/>
    <s v="49263 Graceland Pass"/>
    <x v="0"/>
    <s v="84-269-9130"/>
    <s v="88-615-2915"/>
    <x v="41"/>
    <d v="2024-09-27T00:00:00"/>
    <d v="2026-08-02T00:00:00"/>
    <n v="11"/>
    <n v="10"/>
    <n v="80"/>
    <n v="1.5"/>
    <n v="48"/>
    <n v="65"/>
    <n v="-0.5"/>
    <n v="16.5"/>
    <n v="72"/>
    <s v="OK"/>
    <s v="Ok"/>
    <n v="612"/>
  </r>
  <r>
    <x v="37"/>
    <x v="5"/>
    <s v="Devcast"/>
    <s v="865 Eagle Crest Park"/>
    <x v="1"/>
    <s v="54-758-4622"/>
    <s v="94-903-2643"/>
    <x v="41"/>
    <d v="2025-01-16T00:00:00"/>
    <d v="2026-11-21T00:00:00"/>
    <n v="99"/>
    <n v="3"/>
    <n v="79"/>
    <n v="5"/>
    <n v="65"/>
    <n v="16"/>
    <n v="-0.35"/>
    <n v="495"/>
    <n v="325"/>
    <s v="OK"/>
    <s v="Ok"/>
    <n v="501"/>
  </r>
  <r>
    <x v="67"/>
    <x v="0"/>
    <s v="Livepath"/>
    <s v="36124 Carberry Junction"/>
    <x v="2"/>
    <s v="65-867-4029"/>
    <s v="70-591-9841"/>
    <x v="41"/>
    <d v="2024-09-03T00:00:00"/>
    <d v="2026-06-16T00:00:00"/>
    <n v="40"/>
    <n v="83"/>
    <n v="50"/>
    <n v="4"/>
    <n v="92"/>
    <n v="50"/>
    <n v="0.75"/>
    <n v="160"/>
    <n v="368"/>
    <s v="REORDER"/>
    <s v="Expiring Soon"/>
    <n v="636"/>
  </r>
  <r>
    <x v="74"/>
    <x v="5"/>
    <s v="Brainlounge"/>
    <s v="6 Haas Circle"/>
    <x v="1"/>
    <s v="24-310-9184"/>
    <s v="69-378-2045"/>
    <x v="42"/>
    <d v="2024-07-26T00:00:00"/>
    <d v="2026-04-08T00:00:00"/>
    <n v="69"/>
    <n v="65"/>
    <n v="91"/>
    <n v="3"/>
    <n v="98"/>
    <n v="50"/>
    <n v="0.46"/>
    <n v="207"/>
    <n v="294"/>
    <s v="OK"/>
    <s v="Expired"/>
    <n v="675"/>
  </r>
  <r>
    <x v="75"/>
    <x v="2"/>
    <s v="Gabvine"/>
    <s v="292 Utah Street"/>
    <x v="2"/>
    <s v="53-930-2215"/>
    <s v="42-210-6541"/>
    <x v="42"/>
    <d v="2024-10-04T00:00:00"/>
    <d v="2026-07-09T00:00:00"/>
    <n v="60"/>
    <n v="43"/>
    <n v="32"/>
    <n v="2.5"/>
    <n v="77"/>
    <n v="60"/>
    <n v="0.49"/>
    <n v="150"/>
    <n v="192.5"/>
    <s v="OK"/>
    <s v="Ok"/>
    <n v="605"/>
  </r>
  <r>
    <x v="76"/>
    <x v="3"/>
    <s v="Viva"/>
    <s v="7403 Fuller Hill"/>
    <x v="0"/>
    <s v="94-598-3383"/>
    <s v="39-488-0039"/>
    <x v="42"/>
    <d v="2024-10-08T00:00:00"/>
    <d v="2026-09-01T00:00:00"/>
    <n v="79"/>
    <n v="38"/>
    <n v="67"/>
    <n v="2.5"/>
    <n v="43"/>
    <n v="93"/>
    <n v="0.22"/>
    <n v="197.5"/>
    <n v="107.5"/>
    <s v="OK"/>
    <s v="Ok"/>
    <n v="601"/>
  </r>
  <r>
    <x v="68"/>
    <x v="0"/>
    <s v="Realmix"/>
    <s v="2696 Katie Road"/>
    <x v="1"/>
    <s v="83-625-3618"/>
    <s v="64-528-9996"/>
    <x v="43"/>
    <d v="2025-01-11T00:00:00"/>
    <d v="2026-07-04T00:00:00"/>
    <n v="68"/>
    <n v="12"/>
    <n v="73"/>
    <n v="5"/>
    <n v="84"/>
    <n v="95"/>
    <n v="-1.1599999999999999"/>
    <n v="340"/>
    <n v="420"/>
    <s v="OK"/>
    <s v="Ok"/>
    <n v="506"/>
  </r>
  <r>
    <x v="50"/>
    <x v="4"/>
    <s v="Browsetype"/>
    <s v="86207 Tennyson Parkway"/>
    <x v="2"/>
    <s v="13-844-2178"/>
    <s v="66-832-1802"/>
    <x v="44"/>
    <d v="2024-09-21T00:00:00"/>
    <d v="2026-03-24T00:00:00"/>
    <n v="44"/>
    <n v="67"/>
    <n v="48"/>
    <n v="6"/>
    <n v="90"/>
    <n v="11"/>
    <n v="-0.13"/>
    <n v="264"/>
    <n v="540"/>
    <s v="REORDER"/>
    <s v="Expired"/>
    <n v="618"/>
  </r>
  <r>
    <x v="77"/>
    <x v="6"/>
    <s v="Skyndu"/>
    <s v="57 Di Loreto Circle"/>
    <x v="2"/>
    <s v="05-184-4175"/>
    <s v="31-676-5646"/>
    <x v="44"/>
    <d v="2024-10-23T00:00:00"/>
    <d v="2026-05-03T00:00:00"/>
    <n v="40"/>
    <n v="30"/>
    <n v="60"/>
    <n v="15"/>
    <n v="33"/>
    <n v="84"/>
    <n v="0.88"/>
    <n v="600"/>
    <n v="495"/>
    <s v="OK"/>
    <s v="Expired"/>
    <n v="586"/>
  </r>
  <r>
    <x v="76"/>
    <x v="3"/>
    <s v="Fivebridge"/>
    <s v="9 Kipling Road"/>
    <x v="2"/>
    <s v="89-335-0155"/>
    <s v="83-780-4531"/>
    <x v="44"/>
    <d v="2024-09-11T00:00:00"/>
    <d v="2027-01-16T00:00:00"/>
    <n v="46"/>
    <n v="81"/>
    <n v="47"/>
    <n v="2.5"/>
    <n v="48"/>
    <n v="48"/>
    <n v="-1.55"/>
    <n v="115"/>
    <n v="120"/>
    <s v="REORDER"/>
    <s v="Ok"/>
    <n v="628"/>
  </r>
  <r>
    <x v="78"/>
    <x v="3"/>
    <s v="Dazzlesphere"/>
    <s v="1309 Elka Junction"/>
    <x v="1"/>
    <s v="38-417-4656"/>
    <s v="57-202-5756"/>
    <x v="45"/>
    <d v="2024-04-13T00:00:00"/>
    <d v="2026-12-23T00:00:00"/>
    <n v="24"/>
    <n v="69"/>
    <n v="2"/>
    <n v="2"/>
    <n v="20"/>
    <n v="20"/>
    <n v="0"/>
    <n v="48"/>
    <n v="40"/>
    <s v="REORDER"/>
    <s v="Ok"/>
    <n v="779"/>
  </r>
  <r>
    <x v="26"/>
    <x v="6"/>
    <s v="Photobean"/>
    <s v="744 Lakewood Gardens Crossing"/>
    <x v="2"/>
    <s v="74-305-1263"/>
    <s v="83-076-5024"/>
    <x v="45"/>
    <d v="2024-07-10T00:00:00"/>
    <d v="2026-08-16T00:00:00"/>
    <n v="29"/>
    <n v="91"/>
    <n v="48"/>
    <n v="12"/>
    <n v="28"/>
    <n v="40"/>
    <n v="0"/>
    <n v="348"/>
    <n v="336"/>
    <s v="REORDER"/>
    <s v="Ok"/>
    <n v="691"/>
  </r>
  <r>
    <x v="79"/>
    <x v="2"/>
    <s v="Realpoint"/>
    <s v="895 Northland Hill"/>
    <x v="0"/>
    <s v="02-508-3777"/>
    <s v="69-933-2582"/>
    <x v="46"/>
    <d v="2024-07-07T00:00:00"/>
    <d v="2026-06-26T00:00:00"/>
    <n v="97"/>
    <n v="88"/>
    <n v="81"/>
    <n v="0.8"/>
    <n v="97"/>
    <n v="18"/>
    <n v="-0.43"/>
    <n v="77.600000000000009"/>
    <n v="77.600000000000009"/>
    <s v="OK"/>
    <s v="Expiring Soon"/>
    <n v="694"/>
  </r>
  <r>
    <x v="80"/>
    <x v="6"/>
    <s v="Pixonyx"/>
    <s v="26175 Oxford Way"/>
    <x v="0"/>
    <s v="79-136-9840"/>
    <s v="07-809-0926"/>
    <x v="46"/>
    <d v="2024-08-19T00:00:00"/>
    <d v="2026-06-23T00:00:00"/>
    <n v="77"/>
    <n v="45"/>
    <n v="75"/>
    <n v="30"/>
    <n v="25"/>
    <n v="37"/>
    <n v="0.81"/>
    <n v="2310"/>
    <n v="750"/>
    <s v="OK"/>
    <s v="Expiring Soon"/>
    <n v="651"/>
  </r>
  <r>
    <x v="81"/>
    <x v="1"/>
    <s v="Gevee"/>
    <s v="95 Packers Lane"/>
    <x v="0"/>
    <s v="35-299-0889"/>
    <s v="16-776-9987"/>
    <x v="46"/>
    <d v="2024-07-11T00:00:00"/>
    <d v="2026-04-21T00:00:00"/>
    <n v="33"/>
    <n v="78"/>
    <n v="79"/>
    <n v="5"/>
    <n v="60"/>
    <n v="25"/>
    <n v="-0.48"/>
    <n v="165"/>
    <n v="300"/>
    <s v="REORDER"/>
    <s v="Expired"/>
    <n v="690"/>
  </r>
  <r>
    <x v="45"/>
    <x v="2"/>
    <s v="Blogtags"/>
    <s v="9 Clemons Hill"/>
    <x v="0"/>
    <s v="41-594-5069"/>
    <s v="45-471-5053"/>
    <x v="46"/>
    <d v="2025-02-05T00:00:00"/>
    <d v="2026-03-21T00:00:00"/>
    <n v="77"/>
    <n v="1"/>
    <n v="41"/>
    <n v="1"/>
    <n v="58"/>
    <n v="55"/>
    <n v="0.57999999999999996"/>
    <n v="77"/>
    <n v="58"/>
    <s v="OK"/>
    <s v="Expired"/>
    <n v="481"/>
  </r>
  <r>
    <x v="82"/>
    <x v="2"/>
    <s v="Zoombox"/>
    <s v="84336 Haas Place"/>
    <x v="2"/>
    <s v="83-553-9523"/>
    <s v="89-976-4338"/>
    <x v="46"/>
    <d v="2025-02-14T00:00:00"/>
    <d v="2027-01-28T00:00:00"/>
    <n v="28"/>
    <n v="90"/>
    <n v="70"/>
    <n v="2.4500000000000002"/>
    <n v="76"/>
    <n v="78"/>
    <n v="0.05"/>
    <n v="68.600000000000009"/>
    <n v="186.20000000000002"/>
    <s v="REORDER"/>
    <s v="Ok"/>
    <n v="472"/>
  </r>
  <r>
    <x v="62"/>
    <x v="4"/>
    <s v="Realmix"/>
    <s v="63787 Arkansas Street"/>
    <x v="0"/>
    <s v="44-112-3331"/>
    <s v="90-453-4096"/>
    <x v="46"/>
    <d v="2024-07-02T00:00:00"/>
    <d v="2026-04-08T00:00:00"/>
    <n v="85"/>
    <n v="17"/>
    <n v="96"/>
    <n v="18"/>
    <n v="92"/>
    <n v="34"/>
    <n v="-0.03"/>
    <n v="1530"/>
    <n v="1656"/>
    <s v="OK"/>
    <s v="Expired"/>
    <n v="699"/>
  </r>
  <r>
    <x v="22"/>
    <x v="0"/>
    <s v="Skalith"/>
    <s v="54706 Prairieview Point"/>
    <x v="2"/>
    <s v="93-198-5984"/>
    <s v="86-441-7850"/>
    <x v="46"/>
    <d v="2024-05-14T00:00:00"/>
    <d v="2026-09-17T00:00:00"/>
    <n v="73"/>
    <n v="69"/>
    <n v="1"/>
    <n v="5"/>
    <n v="50"/>
    <n v="67"/>
    <n v="0.63"/>
    <n v="365"/>
    <n v="250"/>
    <s v="OK"/>
    <s v="Ok"/>
    <n v="748"/>
  </r>
  <r>
    <x v="55"/>
    <x v="0"/>
    <s v="Twitterwire"/>
    <s v="901 Norway Maple Crossing"/>
    <x v="1"/>
    <s v="73-874-7534"/>
    <s v="12-566-2563"/>
    <x v="46"/>
    <d v="2024-11-08T00:00:00"/>
    <d v="2026-12-18T00:00:00"/>
    <n v="88"/>
    <n v="24"/>
    <n v="44"/>
    <n v="6"/>
    <n v="72"/>
    <n v="88"/>
    <n v="-0.34"/>
    <n v="528"/>
    <n v="432"/>
    <s v="OK"/>
    <s v="Ok"/>
    <n v="570"/>
  </r>
  <r>
    <x v="83"/>
    <x v="2"/>
    <s v="Demivee"/>
    <s v="55309 6th Junction"/>
    <x v="2"/>
    <s v="18-107-7886"/>
    <s v="11-466-3182"/>
    <x v="46"/>
    <d v="2024-11-07T00:00:00"/>
    <d v="2026-02-27T00:00:00"/>
    <n v="64"/>
    <n v="28"/>
    <n v="35"/>
    <n v="2"/>
    <n v="74"/>
    <n v="50"/>
    <n v="-0.22"/>
    <n v="128"/>
    <n v="148"/>
    <s v="OK"/>
    <s v="Expired"/>
    <n v="571"/>
  </r>
  <r>
    <x v="36"/>
    <x v="6"/>
    <s v="Jetwire"/>
    <s v="6808 Chinook Parkway"/>
    <x v="1"/>
    <s v="63-956-0739"/>
    <s v="17-123-1252"/>
    <x v="47"/>
    <d v="2025-02-21T00:00:00"/>
    <d v="2026-12-22T00:00:00"/>
    <n v="68"/>
    <n v="12"/>
    <n v="42"/>
    <n v="10"/>
    <n v="39"/>
    <n v="6"/>
    <n v="0.32"/>
    <n v="680"/>
    <n v="390"/>
    <s v="OK"/>
    <s v="Ok"/>
    <n v="465"/>
  </r>
  <r>
    <x v="30"/>
    <x v="0"/>
    <s v="Skinte"/>
    <s v="61707 Mariners Cove Park"/>
    <x v="0"/>
    <s v="26-177-5690"/>
    <s v="06-708-1412"/>
    <x v="48"/>
    <d v="2024-07-15T00:00:00"/>
    <d v="2027-01-21T00:00:00"/>
    <n v="85"/>
    <n v="33"/>
    <n v="50"/>
    <n v="1.8"/>
    <n v="64"/>
    <n v="38"/>
    <n v="0.85"/>
    <n v="153"/>
    <n v="115.2"/>
    <s v="OK"/>
    <s v="Ok"/>
    <n v="686"/>
  </r>
  <r>
    <x v="84"/>
    <x v="3"/>
    <s v="Devbug"/>
    <s v="502 Sachs Circle"/>
    <x v="1"/>
    <s v="47-749-3277"/>
    <s v="96-551-3929"/>
    <x v="48"/>
    <d v="2024-02-29T00:00:00"/>
    <d v="2026-09-13T00:00:00"/>
    <n v="46"/>
    <n v="20"/>
    <n v="30"/>
    <n v="2.5"/>
    <n v="54"/>
    <n v="24"/>
    <n v="0.41"/>
    <n v="115"/>
    <n v="135"/>
    <s v="OK"/>
    <s v="Ok"/>
    <n v="823"/>
  </r>
  <r>
    <x v="85"/>
    <x v="4"/>
    <s v="Kwimbee"/>
    <s v="46 Colorado Place"/>
    <x v="0"/>
    <s v="57-763-5501"/>
    <s v="25-790-1641"/>
    <x v="48"/>
    <d v="2024-04-07T00:00:00"/>
    <d v="2026-03-24T00:00:00"/>
    <n v="72"/>
    <n v="29"/>
    <n v="10"/>
    <n v="8"/>
    <n v="54"/>
    <n v="38"/>
    <n v="0.56000000000000005"/>
    <n v="576"/>
    <n v="432"/>
    <s v="OK"/>
    <s v="Expired"/>
    <n v="785"/>
  </r>
  <r>
    <x v="73"/>
    <x v="3"/>
    <s v="Voonyx"/>
    <s v="00397 Bay Terrace"/>
    <x v="0"/>
    <s v="90-230-9767"/>
    <s v="70-515-9048"/>
    <x v="49"/>
    <d v="2024-05-01T00:00:00"/>
    <d v="2026-11-17T00:00:00"/>
    <n v="67"/>
    <n v="88"/>
    <n v="32"/>
    <n v="1.5"/>
    <n v="66"/>
    <n v="42"/>
    <n v="0.3"/>
    <n v="100.5"/>
    <n v="99"/>
    <s v="REORDER"/>
    <s v="Ok"/>
    <n v="761"/>
  </r>
  <r>
    <x v="15"/>
    <x v="0"/>
    <s v="Gigashots"/>
    <s v="7 Bonner Terrace"/>
    <x v="1"/>
    <s v="19-214-5762"/>
    <s v="88-108-3774"/>
    <x v="49"/>
    <d v="2024-04-24T00:00:00"/>
    <d v="2026-10-13T00:00:00"/>
    <n v="41"/>
    <n v="52"/>
    <n v="75"/>
    <n v="4.5"/>
    <n v="57"/>
    <n v="62"/>
    <n v="0.36"/>
    <n v="184.5"/>
    <n v="256.5"/>
    <s v="REORDER"/>
    <s v="Ok"/>
    <n v="768"/>
  </r>
  <r>
    <x v="14"/>
    <x v="0"/>
    <s v="Skinix"/>
    <s v="6292 Chive Street"/>
    <x v="1"/>
    <s v="74-642-2435"/>
    <s v="52-012-3409"/>
    <x v="49"/>
    <d v="2024-12-28T00:00:00"/>
    <d v="2026-04-08T00:00:00"/>
    <n v="66"/>
    <n v="31"/>
    <n v="18"/>
    <n v="2.5"/>
    <n v="85"/>
    <n v="39"/>
    <n v="-0.09"/>
    <n v="165"/>
    <n v="212.5"/>
    <s v="OK"/>
    <s v="Expired"/>
    <n v="520"/>
  </r>
  <r>
    <x v="77"/>
    <x v="6"/>
    <s v="Digitube"/>
    <s v="0023 Upham Road"/>
    <x v="2"/>
    <s v="47-221-3391"/>
    <s v="21-450-5520"/>
    <x v="49"/>
    <d v="2024-07-09T00:00:00"/>
    <d v="2026-09-12T00:00:00"/>
    <n v="78"/>
    <n v="38"/>
    <n v="27"/>
    <n v="15"/>
    <n v="54"/>
    <n v="42"/>
    <n v="0.54"/>
    <n v="1170"/>
    <n v="810"/>
    <s v="OK"/>
    <s v="Ok"/>
    <n v="692"/>
  </r>
  <r>
    <x v="19"/>
    <x v="3"/>
    <s v="Rhyloo"/>
    <s v="0 Moose Lane"/>
    <x v="1"/>
    <s v="87-104-0187"/>
    <s v="41-881-1166"/>
    <x v="49"/>
    <d v="2024-05-28T00:00:00"/>
    <d v="2027-02-05T00:00:00"/>
    <n v="86"/>
    <n v="100"/>
    <n v="78"/>
    <n v="2.75"/>
    <n v="52"/>
    <n v="91"/>
    <n v="0.22"/>
    <n v="236.5"/>
    <n v="143"/>
    <s v="REORDER"/>
    <s v="Ok"/>
    <n v="734"/>
  </r>
  <r>
    <x v="75"/>
    <x v="2"/>
    <s v="Skalith"/>
    <s v="4 Nelson Alley"/>
    <x v="0"/>
    <s v="87-272-6544"/>
    <s v="93-699-8001"/>
    <x v="50"/>
    <d v="2024-05-03T00:00:00"/>
    <d v="2027-02-13T00:00:00"/>
    <n v="90"/>
    <n v="3"/>
    <n v="49"/>
    <n v="2.5"/>
    <n v="51"/>
    <n v="87"/>
    <n v="-0.75"/>
    <n v="225"/>
    <n v="127.5"/>
    <s v="OK"/>
    <s v="Ok"/>
    <n v="759"/>
  </r>
  <r>
    <x v="54"/>
    <x v="3"/>
    <s v="Podcat"/>
    <s v="84 Rusk Terrace"/>
    <x v="2"/>
    <s v="06-340-6856"/>
    <s v="11-005-7835"/>
    <x v="50"/>
    <d v="2024-11-25T00:00:00"/>
    <d v="2026-03-01T00:00:00"/>
    <n v="41"/>
    <n v="56"/>
    <n v="12"/>
    <n v="9.75"/>
    <n v="93"/>
    <n v="88"/>
    <n v="-0.71"/>
    <n v="399.75"/>
    <n v="906.75"/>
    <s v="REORDER"/>
    <s v="Expired"/>
    <n v="553"/>
  </r>
  <r>
    <x v="53"/>
    <x v="3"/>
    <s v="Wordware"/>
    <s v="662 Vernon Point"/>
    <x v="2"/>
    <s v="80-020-8041"/>
    <s v="66-684-1941"/>
    <x v="51"/>
    <d v="2024-12-03T00:00:00"/>
    <d v="2026-07-08T00:00:00"/>
    <n v="11"/>
    <n v="58"/>
    <n v="26"/>
    <n v="6.2"/>
    <n v="49"/>
    <n v="34"/>
    <n v="0.05"/>
    <n v="68.2"/>
    <n v="303.8"/>
    <s v="REORDER"/>
    <s v="Ok"/>
    <n v="545"/>
  </r>
  <r>
    <x v="86"/>
    <x v="0"/>
    <s v="Zooveo"/>
    <s v="42719 Milwaukee Avenue"/>
    <x v="0"/>
    <s v="48-461-3742"/>
    <s v="78-381-5054"/>
    <x v="52"/>
    <d v="2024-05-17T00:00:00"/>
    <d v="2027-01-23T00:00:00"/>
    <n v="37"/>
    <n v="8"/>
    <n v="50"/>
    <n v="6"/>
    <n v="47"/>
    <n v="62"/>
    <n v="0.31"/>
    <n v="222"/>
    <n v="282"/>
    <s v="OK"/>
    <s v="Ok"/>
    <n v="745"/>
  </r>
  <r>
    <x v="5"/>
    <x v="0"/>
    <s v="Vimbo"/>
    <s v="86 Corben Crossing"/>
    <x v="1"/>
    <s v="78-362-8578"/>
    <s v="57-633-6273"/>
    <x v="52"/>
    <d v="2024-11-17T00:00:00"/>
    <d v="2026-04-10T00:00:00"/>
    <n v="72"/>
    <n v="32"/>
    <n v="80"/>
    <n v="2.4500000000000002"/>
    <n v="25"/>
    <n v="9"/>
    <n v="-0.32"/>
    <n v="176.4"/>
    <n v="61.250000000000007"/>
    <s v="OK"/>
    <s v="Expired"/>
    <n v="561"/>
  </r>
  <r>
    <x v="87"/>
    <x v="4"/>
    <s v="Kwimbee"/>
    <s v="1 Monica Lane"/>
    <x v="1"/>
    <s v="60-550-4771"/>
    <s v="24-568-9517"/>
    <x v="52"/>
    <d v="2024-10-03T00:00:00"/>
    <d v="2026-08-24T00:00:00"/>
    <n v="75"/>
    <n v="80"/>
    <n v="87"/>
    <n v="9"/>
    <n v="49"/>
    <n v="40"/>
    <n v="0.64"/>
    <n v="675"/>
    <n v="441"/>
    <s v="REORDER"/>
    <s v="Ok"/>
    <n v="606"/>
  </r>
  <r>
    <x v="20"/>
    <x v="6"/>
    <s v="Feedfire"/>
    <s v="321 Barby Parkway"/>
    <x v="2"/>
    <s v="11-155-7826"/>
    <s v="91-788-3177"/>
    <x v="52"/>
    <d v="2025-01-31T00:00:00"/>
    <d v="2026-12-26T00:00:00"/>
    <n v="98"/>
    <n v="83"/>
    <n v="5"/>
    <n v="20"/>
    <n v="39"/>
    <n v="79"/>
    <n v="0.18"/>
    <n v="1960"/>
    <n v="780"/>
    <s v="OK"/>
    <s v="Ok"/>
    <n v="486"/>
  </r>
  <r>
    <x v="81"/>
    <x v="1"/>
    <s v="Bluejam"/>
    <s v="093 Anhalt Crossing"/>
    <x v="2"/>
    <s v="42-907-6946"/>
    <s v="32-386-9832"/>
    <x v="52"/>
    <d v="2025-01-01T00:00:00"/>
    <d v="2026-08-31T00:00:00"/>
    <n v="90"/>
    <n v="75"/>
    <n v="6"/>
    <n v="5"/>
    <n v="55"/>
    <n v="64"/>
    <n v="-1.03"/>
    <n v="450"/>
    <n v="275"/>
    <s v="OK"/>
    <s v="Ok"/>
    <n v="516"/>
  </r>
  <r>
    <x v="88"/>
    <x v="0"/>
    <s v="Demimbu"/>
    <s v="43 Lakewood Junction"/>
    <x v="0"/>
    <s v="99-048-8310"/>
    <s v="70-453-8646"/>
    <x v="52"/>
    <d v="2024-04-22T00:00:00"/>
    <d v="2026-05-27T00:00:00"/>
    <n v="32"/>
    <n v="49"/>
    <n v="73"/>
    <n v="2.5"/>
    <n v="80"/>
    <n v="36"/>
    <n v="-0.16"/>
    <n v="80"/>
    <n v="200"/>
    <s v="REORDER"/>
    <s v="Expired"/>
    <n v="770"/>
  </r>
  <r>
    <x v="89"/>
    <x v="2"/>
    <s v="Kamba"/>
    <s v="6151 Forster Drive"/>
    <x v="1"/>
    <s v="85-440-3667"/>
    <s v="00-680-5333"/>
    <x v="53"/>
    <d v="2024-06-03T00:00:00"/>
    <d v="2026-09-09T00:00:00"/>
    <n v="68"/>
    <n v="29"/>
    <n v="31"/>
    <n v="7"/>
    <n v="53"/>
    <n v="20"/>
    <n v="0.55000000000000004"/>
    <n v="476"/>
    <n v="371"/>
    <s v="OK"/>
    <s v="Ok"/>
    <n v="728"/>
  </r>
  <r>
    <x v="52"/>
    <x v="3"/>
    <s v="Quire"/>
    <s v="76 Fisk Park"/>
    <x v="1"/>
    <s v="93-571-7294"/>
    <s v="77-842-0920"/>
    <x v="54"/>
    <d v="2024-11-03T00:00:00"/>
    <d v="2026-05-22T00:00:00"/>
    <n v="78"/>
    <n v="94"/>
    <n v="7"/>
    <n v="4.3499999999999996"/>
    <n v="69"/>
    <n v="40"/>
    <n v="0.62"/>
    <n v="339.29999999999995"/>
    <n v="300.14999999999998"/>
    <s v="REORDER"/>
    <s v="Expired"/>
    <n v="575"/>
  </r>
  <r>
    <x v="90"/>
    <x v="0"/>
    <s v="Shuffledrive"/>
    <s v="58 Corscot Terrace"/>
    <x v="2"/>
    <s v="82-977-7752"/>
    <s v="57-473-8672"/>
    <x v="54"/>
    <d v="2024-12-28T00:00:00"/>
    <d v="2026-11-04T00:00:00"/>
    <n v="88"/>
    <n v="78"/>
    <n v="17"/>
    <n v="2.5"/>
    <n v="58"/>
    <n v="21"/>
    <n v="0.42"/>
    <n v="220"/>
    <n v="145"/>
    <s v="OK"/>
    <s v="Ok"/>
    <n v="520"/>
  </r>
  <r>
    <x v="37"/>
    <x v="5"/>
    <s v="Photobean"/>
    <s v="0 Larry Terrace"/>
    <x v="1"/>
    <s v="76-476-9996"/>
    <s v="88-428-6227"/>
    <x v="55"/>
    <d v="2025-01-14T00:00:00"/>
    <d v="2026-12-06T00:00:00"/>
    <n v="37"/>
    <n v="96"/>
    <n v="82"/>
    <n v="5"/>
    <n v="35"/>
    <n v="23"/>
    <n v="0.64"/>
    <n v="185"/>
    <n v="175"/>
    <s v="REORDER"/>
    <s v="Ok"/>
    <n v="503"/>
  </r>
  <r>
    <x v="91"/>
    <x v="1"/>
    <s v="Thoughtmix"/>
    <s v="20 Butterfield Lane"/>
    <x v="2"/>
    <s v="50-679-2072"/>
    <s v="81-588-5701"/>
    <x v="55"/>
    <d v="2024-05-03T00:00:00"/>
    <d v="2026-05-30T00:00:00"/>
    <n v="97"/>
    <n v="32"/>
    <n v="43"/>
    <n v="2.2999999999999998"/>
    <n v="82"/>
    <n v="98"/>
    <n v="0.34"/>
    <n v="223.1"/>
    <n v="188.6"/>
    <s v="OK"/>
    <s v="Expired"/>
    <n v="759"/>
  </r>
  <r>
    <x v="31"/>
    <x v="2"/>
    <s v="Jatri"/>
    <s v="591 Maple Wood Drive"/>
    <x v="1"/>
    <s v="50-329-3145"/>
    <s v="88-418-3855"/>
    <x v="56"/>
    <d v="2024-12-20T00:00:00"/>
    <d v="2026-04-21T00:00:00"/>
    <n v="12"/>
    <n v="54"/>
    <n v="48"/>
    <n v="1"/>
    <n v="31"/>
    <n v="88"/>
    <n v="-0.2"/>
    <n v="12"/>
    <n v="31"/>
    <s v="REORDER"/>
    <s v="Expired"/>
    <n v="528"/>
  </r>
  <r>
    <x v="57"/>
    <x v="3"/>
    <s v="Pixonyx"/>
    <s v="336 Old Shore Lane"/>
    <x v="2"/>
    <s v="52-392-5312"/>
    <s v="78-092-4768"/>
    <x v="56"/>
    <d v="2025-02-19T00:00:00"/>
    <d v="2026-07-24T00:00:00"/>
    <n v="50"/>
    <n v="42"/>
    <n v="20"/>
    <n v="1.75"/>
    <n v="87"/>
    <n v="59"/>
    <n v="-1.84"/>
    <n v="87.5"/>
    <n v="152.25"/>
    <s v="OK"/>
    <s v="Ok"/>
    <n v="467"/>
  </r>
  <r>
    <x v="92"/>
    <x v="3"/>
    <s v="Kanoodle"/>
    <s v="6500 Raven Drive"/>
    <x v="0"/>
    <s v="47-663-5703"/>
    <s v="52-062-2916"/>
    <x v="57"/>
    <d v="2024-06-14T00:00:00"/>
    <d v="2026-09-14T00:00:00"/>
    <n v="15"/>
    <n v="49"/>
    <n v="40"/>
    <n v="4.5"/>
    <n v="68"/>
    <n v="74"/>
    <n v="0.32"/>
    <n v="67.5"/>
    <n v="306"/>
    <s v="REORDER"/>
    <s v="Ok"/>
    <n v="717"/>
  </r>
  <r>
    <x v="70"/>
    <x v="6"/>
    <s v="Ozu"/>
    <s v="96 American Ash Center"/>
    <x v="0"/>
    <s v="58-122-2282"/>
    <s v="55-773-9118"/>
    <x v="57"/>
    <d v="2024-06-30T00:00:00"/>
    <d v="2026-06-12T00:00:00"/>
    <n v="59"/>
    <n v="20"/>
    <n v="17"/>
    <n v="5"/>
    <n v="45"/>
    <n v="15"/>
    <n v="-0.09"/>
    <n v="295"/>
    <n v="225"/>
    <s v="OK"/>
    <s v="Expiring Soon"/>
    <n v="701"/>
  </r>
  <r>
    <x v="76"/>
    <x v="3"/>
    <s v="Avamm"/>
    <s v="12 Rigney Street"/>
    <x v="2"/>
    <s v="84-151-2114"/>
    <s v="79-704-1471"/>
    <x v="57"/>
    <d v="2024-03-06T00:00:00"/>
    <d v="2026-08-11T00:00:00"/>
    <n v="39"/>
    <n v="57"/>
    <n v="54"/>
    <n v="2.5"/>
    <n v="77"/>
    <n v="32"/>
    <n v="0.67"/>
    <n v="97.5"/>
    <n v="192.5"/>
    <s v="REORDER"/>
    <s v="Ok"/>
    <n v="817"/>
  </r>
  <r>
    <x v="32"/>
    <x v="0"/>
    <s v="Roomm"/>
    <s v="2718 Londonderry Plaza"/>
    <x v="1"/>
    <s v="93-682-2069"/>
    <s v="60-038-7810"/>
    <x v="57"/>
    <d v="2024-06-23T00:00:00"/>
    <d v="2026-08-16T00:00:00"/>
    <n v="76"/>
    <n v="39"/>
    <n v="15"/>
    <n v="2"/>
    <n v="77"/>
    <n v="70"/>
    <n v="0.57999999999999996"/>
    <n v="152"/>
    <n v="154"/>
    <s v="OK"/>
    <s v="Ok"/>
    <n v="708"/>
  </r>
  <r>
    <x v="67"/>
    <x v="0"/>
    <s v="Browsetype"/>
    <s v="41 Stephen Crossing"/>
    <x v="1"/>
    <s v="48-789-9187"/>
    <s v="95-944-5323"/>
    <x v="57"/>
    <d v="2024-06-26T00:00:00"/>
    <d v="2026-11-15T00:00:00"/>
    <n v="45"/>
    <n v="79"/>
    <n v="95"/>
    <n v="4"/>
    <n v="84"/>
    <n v="62"/>
    <n v="0.09"/>
    <n v="180"/>
    <n v="336"/>
    <s v="REORDER"/>
    <s v="Ok"/>
    <n v="705"/>
  </r>
  <r>
    <x v="93"/>
    <x v="5"/>
    <s v="Kwimbee"/>
    <s v="9269 Main Trail"/>
    <x v="2"/>
    <s v="85-806-0613"/>
    <s v="06-286-2758"/>
    <x v="58"/>
    <d v="2025-01-01T00:00:00"/>
    <d v="2026-04-26T00:00:00"/>
    <n v="41"/>
    <n v="21"/>
    <n v="47"/>
    <n v="5"/>
    <n v="50"/>
    <n v="99"/>
    <n v="0.26"/>
    <n v="205"/>
    <n v="250"/>
    <s v="OK"/>
    <s v="Expired"/>
    <n v="516"/>
  </r>
  <r>
    <x v="80"/>
    <x v="6"/>
    <s v="Wikido"/>
    <s v="620 Mockingbird Pass"/>
    <x v="2"/>
    <s v="19-244-9890"/>
    <s v="98-107-0604"/>
    <x v="58"/>
    <d v="2024-10-02T00:00:00"/>
    <d v="2026-11-09T00:00:00"/>
    <n v="61"/>
    <n v="22"/>
    <n v="98"/>
    <n v="30"/>
    <n v="90"/>
    <n v="11"/>
    <n v="-0.98"/>
    <n v="1830"/>
    <n v="2700"/>
    <s v="OK"/>
    <s v="Ok"/>
    <n v="607"/>
  </r>
  <r>
    <x v="69"/>
    <x v="0"/>
    <s v="Youfeed"/>
    <s v="37973 Parkside Junction"/>
    <x v="2"/>
    <s v="60-285-3783"/>
    <s v="58-827-9061"/>
    <x v="59"/>
    <d v="2024-03-28T00:00:00"/>
    <d v="2027-01-15T00:00:00"/>
    <n v="51"/>
    <n v="62"/>
    <n v="95"/>
    <n v="6"/>
    <n v="52"/>
    <n v="21"/>
    <n v="0.88"/>
    <n v="306"/>
    <n v="312"/>
    <s v="REORDER"/>
    <s v="Ok"/>
    <n v="795"/>
  </r>
  <r>
    <x v="72"/>
    <x v="3"/>
    <s v="Wikibox"/>
    <s v="18 Comanche Junction"/>
    <x v="1"/>
    <s v="34-547-0827"/>
    <s v="30-853-8580"/>
    <x v="59"/>
    <d v="2025-01-17T00:00:00"/>
    <d v="2026-07-05T00:00:00"/>
    <n v="54"/>
    <n v="53"/>
    <n v="33"/>
    <n v="1.8"/>
    <n v="94"/>
    <n v="82"/>
    <n v="0.6"/>
    <n v="97.2"/>
    <n v="169.20000000000002"/>
    <s v="OK"/>
    <s v="Ok"/>
    <n v="500"/>
  </r>
  <r>
    <x v="5"/>
    <x v="0"/>
    <s v="Meejo"/>
    <s v="30968 Anzinger Court"/>
    <x v="0"/>
    <s v="06-731-2162"/>
    <s v="17-546-8875"/>
    <x v="59"/>
    <d v="2024-10-07T00:00:00"/>
    <d v="2026-07-19T00:00:00"/>
    <n v="87"/>
    <n v="1"/>
    <n v="98"/>
    <n v="2.5"/>
    <n v="61"/>
    <n v="84"/>
    <n v="0.13"/>
    <n v="217.5"/>
    <n v="152.5"/>
    <s v="OK"/>
    <s v="Ok"/>
    <n v="602"/>
  </r>
  <r>
    <x v="91"/>
    <x v="1"/>
    <s v="Omba"/>
    <s v="339 Paget Place"/>
    <x v="0"/>
    <s v="48-193-1199"/>
    <s v="63-924-5144"/>
    <x v="60"/>
    <d v="2024-12-24T00:00:00"/>
    <d v="2026-06-09T00:00:00"/>
    <n v="46"/>
    <n v="51"/>
    <n v="92"/>
    <n v="2.2999999999999998"/>
    <n v="47"/>
    <n v="25"/>
    <n v="-0.38"/>
    <n v="105.8"/>
    <n v="108.1"/>
    <s v="REORDER"/>
    <s v="Expiring Soon"/>
    <n v="524"/>
  </r>
  <r>
    <x v="78"/>
    <x v="3"/>
    <s v="Wordtune"/>
    <s v="2693 6th Court"/>
    <x v="0"/>
    <s v="40-003-7322"/>
    <s v="41-644-3129"/>
    <x v="60"/>
    <d v="2025-02-16T00:00:00"/>
    <d v="2026-10-11T00:00:00"/>
    <n v="13"/>
    <n v="32"/>
    <n v="79"/>
    <n v="2"/>
    <n v="38"/>
    <n v="61"/>
    <n v="0.47"/>
    <n v="26"/>
    <n v="76"/>
    <s v="REORDER"/>
    <s v="Ok"/>
    <n v="470"/>
  </r>
  <r>
    <x v="59"/>
    <x v="0"/>
    <s v="Riffwire"/>
    <s v="1 Elmside Parkway"/>
    <x v="0"/>
    <s v="91-417-0366"/>
    <s v="28-442-2578"/>
    <x v="61"/>
    <d v="2024-12-07T00:00:00"/>
    <d v="2026-12-04T00:00:00"/>
    <n v="25"/>
    <n v="74"/>
    <n v="100"/>
    <n v="5.5"/>
    <n v="41"/>
    <n v="59"/>
    <n v="-0.61"/>
    <n v="137.5"/>
    <n v="225.5"/>
    <s v="REORDER"/>
    <s v="Ok"/>
    <n v="541"/>
  </r>
  <r>
    <x v="23"/>
    <x v="0"/>
    <s v="Devshare"/>
    <s v="5325 Milwaukee Lane"/>
    <x v="0"/>
    <s v="24-571-1080"/>
    <s v="07-520-1107"/>
    <x v="61"/>
    <d v="2025-02-21T00:00:00"/>
    <d v="2026-04-11T00:00:00"/>
    <n v="60"/>
    <n v="15"/>
    <n v="89"/>
    <n v="4"/>
    <n v="21"/>
    <n v="29"/>
    <n v="-0.44"/>
    <n v="240"/>
    <n v="84"/>
    <s v="OK"/>
    <s v="Expired"/>
    <n v="465"/>
  </r>
  <r>
    <x v="73"/>
    <x v="3"/>
    <s v="Yodoo"/>
    <s v="38 Superior Road"/>
    <x v="0"/>
    <s v="22-083-3347"/>
    <s v="01-431-7544"/>
    <x v="62"/>
    <d v="2024-04-29T00:00:00"/>
    <d v="2026-04-30T00:00:00"/>
    <n v="69"/>
    <n v="82"/>
    <n v="58"/>
    <n v="1.5"/>
    <n v="34"/>
    <n v="22"/>
    <n v="-0.38"/>
    <n v="103.5"/>
    <n v="51"/>
    <s v="REORDER"/>
    <s v="Expired"/>
    <n v="763"/>
  </r>
  <r>
    <x v="52"/>
    <x v="3"/>
    <s v="Talane"/>
    <s v="96629 Nova Plaza"/>
    <x v="0"/>
    <s v="09-101-1740"/>
    <s v="63-836-1262"/>
    <x v="62"/>
    <d v="2024-12-20T00:00:00"/>
    <d v="2026-08-31T00:00:00"/>
    <n v="36"/>
    <n v="81"/>
    <n v="54"/>
    <n v="4.75"/>
    <n v="73"/>
    <n v="60"/>
    <n v="0.35"/>
    <n v="171"/>
    <n v="346.75"/>
    <s v="REORDER"/>
    <s v="Ok"/>
    <n v="528"/>
  </r>
  <r>
    <x v="35"/>
    <x v="5"/>
    <s v="Photobug"/>
    <s v="657 Texas Street"/>
    <x v="1"/>
    <s v="17-274-6898"/>
    <s v="34-738-1209"/>
    <x v="62"/>
    <d v="2024-06-01T00:00:00"/>
    <d v="2026-03-22T00:00:00"/>
    <n v="36"/>
    <n v="53"/>
    <n v="92"/>
    <n v="3.5"/>
    <n v="67"/>
    <n v="43"/>
    <n v="0.18"/>
    <n v="126"/>
    <n v="234.5"/>
    <s v="REORDER"/>
    <s v="Expired"/>
    <n v="730"/>
  </r>
  <r>
    <x v="23"/>
    <x v="0"/>
    <s v="Dabshots"/>
    <s v="17 Reinke Circle"/>
    <x v="1"/>
    <s v="38-655-2312"/>
    <s v="91-127-7174"/>
    <x v="63"/>
    <d v="2024-04-09T00:00:00"/>
    <d v="2026-10-18T00:00:00"/>
    <n v="79"/>
    <n v="74"/>
    <n v="87"/>
    <n v="4"/>
    <n v="80"/>
    <n v="26"/>
    <n v="0.36"/>
    <n v="316"/>
    <n v="320"/>
    <s v="OK"/>
    <s v="Ok"/>
    <n v="783"/>
  </r>
  <r>
    <x v="16"/>
    <x v="2"/>
    <s v="Katz"/>
    <s v="3 Bellgrove Way"/>
    <x v="2"/>
    <s v="60-327-4114"/>
    <s v="59-968-8346"/>
    <x v="64"/>
    <d v="2024-11-22T00:00:00"/>
    <d v="2026-10-17T00:00:00"/>
    <n v="63"/>
    <n v="7"/>
    <n v="23"/>
    <n v="2.35"/>
    <n v="78"/>
    <n v="100"/>
    <n v="0.68"/>
    <n v="148.05000000000001"/>
    <n v="183.3"/>
    <s v="OK"/>
    <s v="Ok"/>
    <n v="556"/>
  </r>
  <r>
    <x v="94"/>
    <x v="0"/>
    <s v="Viva"/>
    <s v="00 Ridgeway Plaza"/>
    <x v="0"/>
    <s v="54-281-3746"/>
    <s v="08-824-4585"/>
    <x v="64"/>
    <d v="2024-03-10T00:00:00"/>
    <d v="2026-11-03T00:00:00"/>
    <n v="26"/>
    <n v="70"/>
    <n v="52"/>
    <n v="2"/>
    <n v="36"/>
    <n v="10"/>
    <n v="-0.28000000000000003"/>
    <n v="52"/>
    <n v="72"/>
    <s v="REORDER"/>
    <s v="Ok"/>
    <n v="813"/>
  </r>
  <r>
    <x v="90"/>
    <x v="0"/>
    <s v="Devshare"/>
    <s v="42 Bunker Hill Junction"/>
    <x v="0"/>
    <s v="25-349-7974"/>
    <s v="82-737-6019"/>
    <x v="65"/>
    <d v="2024-05-28T00:00:00"/>
    <d v="2026-06-22T00:00:00"/>
    <n v="72"/>
    <n v="70"/>
    <n v="99"/>
    <n v="2.5"/>
    <n v="82"/>
    <n v="32"/>
    <n v="0.72"/>
    <n v="180"/>
    <n v="205"/>
    <s v="OK"/>
    <s v="Expiring Soon"/>
    <n v="734"/>
  </r>
  <r>
    <x v="42"/>
    <x v="0"/>
    <s v="Quinu"/>
    <s v="701 Logan Court"/>
    <x v="2"/>
    <s v="16-380-0753"/>
    <s v="24-603-5521"/>
    <x v="65"/>
    <d v="2024-05-16T00:00:00"/>
    <d v="2026-05-08T00:00:00"/>
    <n v="38"/>
    <n v="22"/>
    <n v="71"/>
    <n v="5"/>
    <n v="33"/>
    <n v="62"/>
    <n v="0.61"/>
    <n v="190"/>
    <n v="165"/>
    <s v="OK"/>
    <s v="Expired"/>
    <n v="746"/>
  </r>
  <r>
    <x v="93"/>
    <x v="5"/>
    <s v="Trunyx"/>
    <s v="6 Lillian Junction"/>
    <x v="2"/>
    <s v="38-049-9319"/>
    <s v="90-447-5123"/>
    <x v="66"/>
    <d v="2024-04-29T00:00:00"/>
    <d v="2026-05-09T00:00:00"/>
    <n v="82"/>
    <n v="6"/>
    <n v="53"/>
    <n v="5"/>
    <n v="21"/>
    <n v="58"/>
    <n v="-0.88"/>
    <n v="410"/>
    <n v="105"/>
    <s v="OK"/>
    <s v="Expired"/>
    <n v="763"/>
  </r>
  <r>
    <x v="54"/>
    <x v="3"/>
    <s v="Topdrive"/>
    <s v="72 Crownhardt Circle"/>
    <x v="2"/>
    <s v="50-329-3360"/>
    <s v="85-594-2570"/>
    <x v="66"/>
    <d v="2025-02-16T00:00:00"/>
    <d v="2026-08-25T00:00:00"/>
    <n v="19"/>
    <n v="77"/>
    <n v="66"/>
    <n v="10"/>
    <n v="62"/>
    <n v="100"/>
    <n v="-1.76"/>
    <n v="190"/>
    <n v="620"/>
    <s v="REORDER"/>
    <s v="Ok"/>
    <n v="470"/>
  </r>
  <r>
    <x v="35"/>
    <x v="5"/>
    <s v="Mybuzz"/>
    <s v="8524 Shelley Way"/>
    <x v="2"/>
    <s v="19-610-2236"/>
    <s v="53-799-3174"/>
    <x v="67"/>
    <d v="2024-08-03T00:00:00"/>
    <d v="2026-03-19T00:00:00"/>
    <n v="58"/>
    <n v="48"/>
    <n v="9"/>
    <n v="3.5"/>
    <n v="98"/>
    <n v="69"/>
    <n v="-0.61"/>
    <n v="203"/>
    <n v="343"/>
    <s v="OK"/>
    <s v="Expired"/>
    <n v="667"/>
  </r>
  <r>
    <x v="58"/>
    <x v="2"/>
    <s v="Skippad"/>
    <s v="9 Meadow Ridge Center"/>
    <x v="2"/>
    <s v="46-632-8420"/>
    <s v="27-996-8883"/>
    <x v="68"/>
    <d v="2024-12-21T00:00:00"/>
    <d v="2026-05-23T00:00:00"/>
    <n v="98"/>
    <n v="24"/>
    <n v="4"/>
    <n v="4.0999999999999996"/>
    <n v="89"/>
    <n v="80"/>
    <n v="0.3"/>
    <n v="401.79999999999995"/>
    <n v="364.9"/>
    <s v="OK"/>
    <s v="Expired"/>
    <n v="527"/>
  </r>
  <r>
    <x v="95"/>
    <x v="0"/>
    <s v="Jabbersphere"/>
    <s v="2 Hooker Terrace"/>
    <x v="2"/>
    <s v="14-836-2894"/>
    <s v="82-157-4299"/>
    <x v="68"/>
    <d v="2025-01-11T00:00:00"/>
    <d v="2026-09-25T00:00:00"/>
    <n v="44"/>
    <n v="92"/>
    <n v="92"/>
    <n v="3.5"/>
    <n v="41"/>
    <n v="61"/>
    <n v="0.1"/>
    <n v="154"/>
    <n v="143.5"/>
    <s v="REORDER"/>
    <s v="Ok"/>
    <n v="506"/>
  </r>
  <r>
    <x v="96"/>
    <x v="0"/>
    <s v="Youbridge"/>
    <s v="56 Esker Park"/>
    <x v="1"/>
    <s v="08-196-2703"/>
    <s v="34-315-1199"/>
    <x v="68"/>
    <d v="2024-11-29T00:00:00"/>
    <d v="2026-10-17T00:00:00"/>
    <n v="100"/>
    <n v="52"/>
    <n v="2"/>
    <n v="3"/>
    <n v="86"/>
    <n v="70"/>
    <n v="-0.49"/>
    <n v="300"/>
    <n v="258"/>
    <s v="OK"/>
    <s v="Ok"/>
    <n v="549"/>
  </r>
  <r>
    <x v="36"/>
    <x v="6"/>
    <s v="Photofeed"/>
    <s v="236 Gateway Lane"/>
    <x v="0"/>
    <s v="87-097-5691"/>
    <s v="26-213-7885"/>
    <x v="69"/>
    <d v="2024-08-29T00:00:00"/>
    <d v="2026-03-26T00:00:00"/>
    <n v="62"/>
    <n v="78"/>
    <n v="97"/>
    <n v="10"/>
    <n v="62"/>
    <n v="97"/>
    <n v="0.19"/>
    <n v="620"/>
    <n v="620"/>
    <s v="REORDER"/>
    <s v="Expired"/>
    <n v="641"/>
  </r>
  <r>
    <x v="88"/>
    <x v="0"/>
    <s v="Quatz"/>
    <s v="2 Sunbrook Lane"/>
    <x v="1"/>
    <s v="04-453-5485"/>
    <s v="43-880-2879"/>
    <x v="69"/>
    <d v="2025-01-10T00:00:00"/>
    <d v="2026-04-02T00:00:00"/>
    <n v="84"/>
    <n v="20"/>
    <n v="58"/>
    <n v="2.5"/>
    <n v="86"/>
    <n v="64"/>
    <n v="-0.56000000000000005"/>
    <n v="210"/>
    <n v="215"/>
    <s v="OK"/>
    <s v="Expired"/>
    <n v="507"/>
  </r>
  <r>
    <x v="97"/>
    <x v="2"/>
    <s v="Feedmix"/>
    <s v="6172 Hovde Circle"/>
    <x v="1"/>
    <s v="82-678-8097"/>
    <s v="65-403-0311"/>
    <x v="69"/>
    <d v="2024-08-24T00:00:00"/>
    <d v="2026-04-05T00:00:00"/>
    <n v="68"/>
    <n v="82"/>
    <n v="58"/>
    <n v="4.8"/>
    <n v="90"/>
    <n v="2"/>
    <n v="0.26"/>
    <n v="326.39999999999998"/>
    <n v="432"/>
    <s v="REORDER"/>
    <s v="Expired"/>
    <n v="646"/>
  </r>
  <r>
    <x v="46"/>
    <x v="0"/>
    <s v="Bubblemix"/>
    <s v="4 Sundown Place"/>
    <x v="2"/>
    <s v="43-703-9939"/>
    <s v="69-928-4929"/>
    <x v="70"/>
    <d v="2024-05-22T00:00:00"/>
    <d v="2027-02-17T00:00:00"/>
    <n v="55"/>
    <n v="91"/>
    <n v="35"/>
    <n v="3.5"/>
    <n v="81"/>
    <n v="19"/>
    <n v="0.98"/>
    <n v="192.5"/>
    <n v="283.5"/>
    <s v="REORDER"/>
    <s v="Ok"/>
    <n v="740"/>
  </r>
  <r>
    <x v="98"/>
    <x v="5"/>
    <s v="Topicware"/>
    <s v="8 Mayer Trail"/>
    <x v="2"/>
    <s v="28-433-8533"/>
    <s v="81-694-0300"/>
    <x v="70"/>
    <d v="2024-02-27T00:00:00"/>
    <d v="2027-02-02T00:00:00"/>
    <n v="87"/>
    <n v="70"/>
    <n v="77"/>
    <n v="3.2"/>
    <n v="73"/>
    <n v="44"/>
    <n v="0.77"/>
    <n v="278.40000000000003"/>
    <n v="233.60000000000002"/>
    <s v="OK"/>
    <s v="Ok"/>
    <n v="825"/>
  </r>
  <r>
    <x v="65"/>
    <x v="3"/>
    <s v="Shuffledrive"/>
    <s v="2 Veith Crossing"/>
    <x v="2"/>
    <s v="74-234-0628"/>
    <s v="49-559-7092"/>
    <x v="70"/>
    <d v="2024-12-15T00:00:00"/>
    <d v="2026-05-13T00:00:00"/>
    <n v="12"/>
    <n v="56"/>
    <n v="92"/>
    <n v="9.5"/>
    <n v="56"/>
    <n v="6"/>
    <n v="0.4"/>
    <n v="114"/>
    <n v="532"/>
    <s v="REORDER"/>
    <s v="Expired"/>
    <n v="533"/>
  </r>
  <r>
    <x v="14"/>
    <x v="0"/>
    <s v="Photobug"/>
    <s v="880 Calypso Road"/>
    <x v="1"/>
    <s v="02-888-9412"/>
    <s v="22-307-4653"/>
    <x v="71"/>
    <d v="2024-03-28T00:00:00"/>
    <d v="2027-02-04T00:00:00"/>
    <n v="95"/>
    <n v="66"/>
    <n v="69"/>
    <n v="2.48"/>
    <n v="92"/>
    <n v="72"/>
    <n v="0.89"/>
    <n v="235.6"/>
    <n v="228.16"/>
    <s v="OK"/>
    <s v="Ok"/>
    <n v="795"/>
  </r>
  <r>
    <x v="22"/>
    <x v="0"/>
    <s v="Wordtune"/>
    <s v="44051 Old Shore Junction"/>
    <x v="1"/>
    <s v="80-658-6456"/>
    <s v="42-080-6579"/>
    <x v="71"/>
    <d v="2024-05-19T00:00:00"/>
    <d v="2026-12-10T00:00:00"/>
    <n v="84"/>
    <n v="9"/>
    <n v="46"/>
    <n v="5"/>
    <n v="30"/>
    <n v="68"/>
    <n v="0.22"/>
    <n v="420"/>
    <n v="150"/>
    <s v="OK"/>
    <s v="Ok"/>
    <n v="743"/>
  </r>
  <r>
    <x v="53"/>
    <x v="3"/>
    <s v="Reallinks"/>
    <s v="2446 Anhalt Way"/>
    <x v="0"/>
    <s v="70-587-1204"/>
    <s v="41-399-9203"/>
    <x v="72"/>
    <d v="2024-07-15T00:00:00"/>
    <d v="2026-06-23T00:00:00"/>
    <n v="68"/>
    <n v="68"/>
    <n v="97"/>
    <n v="6"/>
    <n v="37"/>
    <n v="31"/>
    <n v="-1.27"/>
    <n v="408"/>
    <n v="222"/>
    <s v="REORDER"/>
    <s v="Expiring Soon"/>
    <n v="686"/>
  </r>
  <r>
    <x v="77"/>
    <x v="6"/>
    <s v="Youfeed"/>
    <s v="5 Anderson Trail"/>
    <x v="2"/>
    <s v="88-951-9038"/>
    <s v="14-713-5795"/>
    <x v="72"/>
    <d v="2024-10-11T00:00:00"/>
    <d v="2027-02-11T00:00:00"/>
    <n v="11"/>
    <n v="72"/>
    <n v="5"/>
    <n v="15"/>
    <n v="89"/>
    <n v="4"/>
    <n v="0.16"/>
    <n v="165"/>
    <n v="1335"/>
    <s v="REORDER"/>
    <s v="Ok"/>
    <n v="598"/>
  </r>
  <r>
    <x v="38"/>
    <x v="1"/>
    <s v="Wordware"/>
    <s v="70156 7th Junction"/>
    <x v="0"/>
    <s v="45-317-9731"/>
    <s v="05-779-0378"/>
    <x v="72"/>
    <d v="2025-01-07T00:00:00"/>
    <d v="2026-08-20T00:00:00"/>
    <n v="44"/>
    <n v="83"/>
    <n v="78"/>
    <n v="1.8"/>
    <n v="46"/>
    <n v="4"/>
    <n v="0.96"/>
    <n v="79.2"/>
    <n v="82.8"/>
    <s v="REORDER"/>
    <s v="Ok"/>
    <n v="510"/>
  </r>
  <r>
    <x v="12"/>
    <x v="0"/>
    <s v="Oloo"/>
    <s v="183 Buell Park"/>
    <x v="0"/>
    <s v="63-874-9747"/>
    <s v="22-506-4911"/>
    <x v="72"/>
    <d v="2024-12-09T00:00:00"/>
    <d v="2026-11-11T00:00:00"/>
    <n v="36"/>
    <n v="59"/>
    <n v="90"/>
    <n v="3"/>
    <n v="25"/>
    <n v="60"/>
    <n v="0.91"/>
    <n v="108"/>
    <n v="75"/>
    <s v="REORDER"/>
    <s v="Ok"/>
    <n v="539"/>
  </r>
  <r>
    <x v="67"/>
    <x v="0"/>
    <s v="Blogpad"/>
    <s v="832 Goodland Alley"/>
    <x v="0"/>
    <s v="44-546-5713"/>
    <s v="61-382-5182"/>
    <x v="72"/>
    <d v="2025-01-16T00:00:00"/>
    <d v="2027-02-13T00:00:00"/>
    <n v="94"/>
    <n v="69"/>
    <n v="68"/>
    <n v="4"/>
    <n v="24"/>
    <n v="20"/>
    <n v="-1.4"/>
    <n v="376"/>
    <n v="96"/>
    <s v="OK"/>
    <s v="Ok"/>
    <n v="501"/>
  </r>
  <r>
    <x v="84"/>
    <x v="3"/>
    <s v="Meeveo"/>
    <s v="836 Brown Alley"/>
    <x v="0"/>
    <s v="23-070-2433"/>
    <s v="82-235-9317"/>
    <x v="73"/>
    <d v="2024-04-11T00:00:00"/>
    <d v="2026-12-28T00:00:00"/>
    <n v="68"/>
    <n v="7"/>
    <n v="37"/>
    <n v="2.5"/>
    <n v="69"/>
    <n v="1"/>
    <n v="0.17"/>
    <n v="170"/>
    <n v="172.5"/>
    <s v="OK"/>
    <s v="Ok"/>
    <n v="781"/>
  </r>
  <r>
    <x v="27"/>
    <x v="4"/>
    <s v="InnoZ"/>
    <s v="10997 Dexter Parkway"/>
    <x v="2"/>
    <s v="91-257-3672"/>
    <s v="30-438-6295"/>
    <x v="73"/>
    <d v="2024-12-18T00:00:00"/>
    <d v="2026-07-05T00:00:00"/>
    <n v="78"/>
    <n v="75"/>
    <n v="3"/>
    <n v="7"/>
    <n v="63"/>
    <n v="100"/>
    <n v="0.99"/>
    <n v="546"/>
    <n v="441"/>
    <s v="OK"/>
    <s v="Ok"/>
    <n v="530"/>
  </r>
  <r>
    <x v="63"/>
    <x v="0"/>
    <s v="Skinix"/>
    <s v="154 Delladonna Hill"/>
    <x v="1"/>
    <s v="69-561-2496"/>
    <s v="38-790-7081"/>
    <x v="73"/>
    <d v="2024-03-18T00:00:00"/>
    <d v="2026-12-09T00:00:00"/>
    <n v="82"/>
    <n v="29"/>
    <n v="62"/>
    <n v="15.31"/>
    <n v="77"/>
    <n v="27"/>
    <n v="-0.59"/>
    <n v="1255.42"/>
    <n v="1178.8700000000001"/>
    <s v="OK"/>
    <s v="Ok"/>
    <n v="805"/>
  </r>
  <r>
    <x v="52"/>
    <x v="3"/>
    <s v="Tekfly"/>
    <s v="07855 Goodland Lane"/>
    <x v="2"/>
    <s v="87-013-6488"/>
    <s v="77-471-0792"/>
    <x v="73"/>
    <d v="2024-10-26T00:00:00"/>
    <d v="2026-04-14T00:00:00"/>
    <n v="22"/>
    <n v="10"/>
    <n v="53"/>
    <n v="4.25"/>
    <n v="64"/>
    <n v="7"/>
    <n v="0.65"/>
    <n v="93.5"/>
    <n v="272"/>
    <s v="OK"/>
    <s v="Expired"/>
    <n v="583"/>
  </r>
  <r>
    <x v="20"/>
    <x v="6"/>
    <s v="Voomm"/>
    <s v="993 Kensington Drive"/>
    <x v="0"/>
    <s v="31-969-4614"/>
    <s v="83-104-8425"/>
    <x v="74"/>
    <d v="2024-06-06T00:00:00"/>
    <d v="2027-01-15T00:00:00"/>
    <n v="62"/>
    <n v="89"/>
    <n v="6"/>
    <n v="20"/>
    <n v="23"/>
    <n v="11"/>
    <n v="0.89"/>
    <n v="1240"/>
    <n v="460"/>
    <s v="REORDER"/>
    <s v="Ok"/>
    <n v="725"/>
  </r>
  <r>
    <x v="83"/>
    <x v="2"/>
    <s v="Miboo"/>
    <s v="779 Ridgeway Street"/>
    <x v="1"/>
    <s v="96-209-1739"/>
    <s v="82-930-7733"/>
    <x v="74"/>
    <d v="2024-02-27T00:00:00"/>
    <d v="2026-03-01T00:00:00"/>
    <n v="70"/>
    <n v="81"/>
    <n v="75"/>
    <n v="2"/>
    <n v="24"/>
    <n v="54"/>
    <n v="0.52"/>
    <n v="140"/>
    <n v="48"/>
    <s v="REORDER"/>
    <s v="Expired"/>
    <n v="825"/>
  </r>
  <r>
    <x v="29"/>
    <x v="3"/>
    <s v="Mydeo"/>
    <s v="81878 Nobel Point"/>
    <x v="0"/>
    <s v="20-022-3173"/>
    <s v="54-188-1006"/>
    <x v="75"/>
    <d v="2024-11-10T00:00:00"/>
    <d v="2027-02-22T00:00:00"/>
    <n v="21"/>
    <n v="63"/>
    <n v="65"/>
    <n v="1.5"/>
    <n v="38"/>
    <n v="73"/>
    <n v="-1.25"/>
    <n v="31.5"/>
    <n v="57"/>
    <s v="REORDER"/>
    <s v="Ok"/>
    <n v="568"/>
  </r>
  <r>
    <x v="15"/>
    <x v="0"/>
    <s v="Riffwire"/>
    <s v="6 Charing Cross Circle"/>
    <x v="2"/>
    <s v="44-552-3909"/>
    <s v="80-863-1186"/>
    <x v="75"/>
    <d v="2024-02-26T00:00:00"/>
    <d v="2027-01-19T00:00:00"/>
    <n v="61"/>
    <n v="50"/>
    <n v="9"/>
    <n v="4.5"/>
    <n v="24"/>
    <n v="92"/>
    <n v="-0.92"/>
    <n v="274.5"/>
    <n v="108"/>
    <s v="OK"/>
    <s v="Ok"/>
    <n v="826"/>
  </r>
  <r>
    <x v="68"/>
    <x v="0"/>
    <s v="Zoomzone"/>
    <s v="1519 Delaware Court"/>
    <x v="1"/>
    <s v="40-902-1995"/>
    <s v="86-879-7811"/>
    <x v="75"/>
    <d v="2024-12-08T00:00:00"/>
    <d v="2026-04-01T00:00:00"/>
    <n v="46"/>
    <n v="88"/>
    <n v="20"/>
    <n v="4.8"/>
    <n v="59"/>
    <n v="79"/>
    <n v="-2.83"/>
    <n v="220.79999999999998"/>
    <n v="283.2"/>
    <s v="REORDER"/>
    <s v="Expired"/>
    <n v="540"/>
  </r>
  <r>
    <x v="24"/>
    <x v="3"/>
    <s v="Tagcat"/>
    <s v="2 Fair Oaks Pass"/>
    <x v="0"/>
    <s v="07-846-4804"/>
    <s v="30-605-2164"/>
    <x v="75"/>
    <d v="2024-07-02T00:00:00"/>
    <d v="2026-09-25T00:00:00"/>
    <n v="20"/>
    <n v="25"/>
    <n v="73"/>
    <n v="4.75"/>
    <n v="78"/>
    <n v="1"/>
    <n v="-0.34"/>
    <n v="95"/>
    <n v="370.5"/>
    <s v="REORDER"/>
    <s v="Ok"/>
    <n v="699"/>
  </r>
  <r>
    <x v="21"/>
    <x v="0"/>
    <s v="Jaxworks"/>
    <s v="18 Daystar Parkway"/>
    <x v="2"/>
    <s v="17-504-3699"/>
    <s v="81-276-8218"/>
    <x v="75"/>
    <d v="2024-06-15T00:00:00"/>
    <d v="2026-08-17T00:00:00"/>
    <n v="80"/>
    <n v="60"/>
    <n v="71"/>
    <n v="2"/>
    <n v="98"/>
    <n v="13"/>
    <n v="0.99"/>
    <n v="160"/>
    <n v="196"/>
    <s v="OK"/>
    <s v="Ok"/>
    <n v="716"/>
  </r>
  <r>
    <x v="58"/>
    <x v="2"/>
    <s v="Feedbug"/>
    <s v="7 Spohn Avenue"/>
    <x v="1"/>
    <s v="55-522-8242"/>
    <s v="48-884-5431"/>
    <x v="76"/>
    <d v="2024-03-30T00:00:00"/>
    <d v="2026-09-07T00:00:00"/>
    <n v="29"/>
    <n v="36"/>
    <n v="40"/>
    <n v="4"/>
    <n v="60"/>
    <n v="96"/>
    <n v="0.87"/>
    <n v="116"/>
    <n v="240"/>
    <s v="REORDER"/>
    <s v="Ok"/>
    <n v="793"/>
  </r>
  <r>
    <x v="95"/>
    <x v="0"/>
    <s v="Chatterpoint"/>
    <s v="39 Dahle Alley"/>
    <x v="0"/>
    <s v="17-022-9721"/>
    <s v="59-629-0798"/>
    <x v="76"/>
    <d v="2024-12-13T00:00:00"/>
    <d v="2027-01-12T00:00:00"/>
    <n v="43"/>
    <n v="63"/>
    <n v="99"/>
    <n v="3.5"/>
    <n v="39"/>
    <n v="77"/>
    <n v="-0.6"/>
    <n v="150.5"/>
    <n v="136.5"/>
    <s v="REORDER"/>
    <s v="Ok"/>
    <n v="535"/>
  </r>
  <r>
    <x v="60"/>
    <x v="1"/>
    <s v="Skibox"/>
    <s v="27408 Burning Wood Street"/>
    <x v="0"/>
    <s v="03-940-0630"/>
    <s v="49-762-8263"/>
    <x v="76"/>
    <d v="2024-10-31T00:00:00"/>
    <d v="2026-04-03T00:00:00"/>
    <n v="23"/>
    <n v="43"/>
    <n v="75"/>
    <n v="2.5"/>
    <n v="91"/>
    <n v="86"/>
    <n v="-0.97"/>
    <n v="57.5"/>
    <n v="227.5"/>
    <s v="REORDER"/>
    <s v="Expired"/>
    <n v="578"/>
  </r>
  <r>
    <x v="73"/>
    <x v="3"/>
    <s v="Brightbean"/>
    <s v="3 Westerfield Crossing"/>
    <x v="2"/>
    <s v="71-594-6552"/>
    <s v="63-492-7603"/>
    <x v="77"/>
    <d v="2025-02-19T00:00:00"/>
    <d v="2026-04-17T00:00:00"/>
    <n v="12"/>
    <n v="59"/>
    <n v="62"/>
    <n v="1.5"/>
    <n v="95"/>
    <n v="99"/>
    <n v="0.05"/>
    <n v="18"/>
    <n v="142.5"/>
    <s v="REORDER"/>
    <s v="Expired"/>
    <n v="467"/>
  </r>
  <r>
    <x v="71"/>
    <x v="6"/>
    <s v="Skipstorm"/>
    <s v="5756 Stephen Avenue"/>
    <x v="2"/>
    <s v="20-225-3930"/>
    <s v="73-069-2753"/>
    <x v="77"/>
    <d v="2024-02-29T00:00:00"/>
    <d v="2026-03-17T00:00:00"/>
    <n v="99"/>
    <n v="87"/>
    <n v="10"/>
    <n v="25"/>
    <n v="93"/>
    <n v="70"/>
    <n v="-0.04"/>
    <n v="2475"/>
    <n v="2325"/>
    <s v="OK"/>
    <s v="Expired"/>
    <n v="823"/>
  </r>
  <r>
    <x v="59"/>
    <x v="0"/>
    <s v="Flipopia"/>
    <s v="84239 Meadow Vale Trail"/>
    <x v="1"/>
    <s v="53-151-5726"/>
    <s v="93-180-4005"/>
    <x v="77"/>
    <d v="2025-01-12T00:00:00"/>
    <d v="2026-04-20T00:00:00"/>
    <n v="37"/>
    <n v="45"/>
    <n v="62"/>
    <n v="5.5"/>
    <n v="34"/>
    <n v="23"/>
    <n v="0.25"/>
    <n v="203.5"/>
    <n v="187"/>
    <s v="REORDER"/>
    <s v="Expired"/>
    <n v="505"/>
  </r>
  <r>
    <x v="92"/>
    <x v="3"/>
    <s v="Skidoo"/>
    <s v="4784 Farmco Alley"/>
    <x v="1"/>
    <s v="77-777-4536"/>
    <s v="64-396-5538"/>
    <x v="77"/>
    <d v="2024-09-12T00:00:00"/>
    <d v="2026-04-04T00:00:00"/>
    <n v="26"/>
    <n v="67"/>
    <n v="46"/>
    <n v="4.4000000000000004"/>
    <n v="54"/>
    <n v="46"/>
    <n v="0.32"/>
    <n v="114.4"/>
    <n v="237.60000000000002"/>
    <s v="REORDER"/>
    <s v="Expired"/>
    <n v="627"/>
  </r>
  <r>
    <x v="79"/>
    <x v="2"/>
    <s v="Trunyx"/>
    <s v="79 Monterey Avenue"/>
    <x v="2"/>
    <s v="07-834-3320"/>
    <s v="47-831-9154"/>
    <x v="77"/>
    <d v="2024-03-07T00:00:00"/>
    <d v="2026-09-20T00:00:00"/>
    <n v="94"/>
    <n v="60"/>
    <n v="78"/>
    <n v="0.8"/>
    <n v="100"/>
    <n v="42"/>
    <n v="0.15"/>
    <n v="75.2"/>
    <n v="80"/>
    <s v="OK"/>
    <s v="Ok"/>
    <n v="816"/>
  </r>
  <r>
    <x v="75"/>
    <x v="2"/>
    <s v="Youopia"/>
    <s v="587 Vermont Terrace"/>
    <x v="1"/>
    <s v="51-761-6320"/>
    <s v="28-461-1136"/>
    <x v="78"/>
    <d v="2024-08-30T00:00:00"/>
    <d v="2026-06-22T00:00:00"/>
    <n v="43"/>
    <n v="78"/>
    <n v="85"/>
    <n v="2.5"/>
    <n v="48"/>
    <n v="98"/>
    <n v="0.57999999999999996"/>
    <n v="107.5"/>
    <n v="120"/>
    <s v="REORDER"/>
    <s v="Expiring Soon"/>
    <n v="640"/>
  </r>
  <r>
    <x v="13"/>
    <x v="5"/>
    <s v="Eimbee"/>
    <s v="983 Sommers Circle"/>
    <x v="0"/>
    <s v="34-291-4939"/>
    <s v="39-284-1614"/>
    <x v="78"/>
    <d v="2024-11-24T00:00:00"/>
    <d v="2027-02-13T00:00:00"/>
    <n v="34"/>
    <n v="49"/>
    <n v="27"/>
    <n v="4"/>
    <n v="78"/>
    <n v="20"/>
    <n v="-1.04"/>
    <n v="136"/>
    <n v="312"/>
    <s v="REORDER"/>
    <s v="Ok"/>
    <n v="554"/>
  </r>
  <r>
    <x v="56"/>
    <x v="0"/>
    <s v="Chatterbridge"/>
    <s v="51890 Lindbergh Terrace"/>
    <x v="2"/>
    <s v="67-025-1245"/>
    <s v="28-575-0716"/>
    <x v="79"/>
    <d v="2024-03-06T00:00:00"/>
    <d v="2026-08-12T00:00:00"/>
    <n v="88"/>
    <n v="46"/>
    <n v="55"/>
    <n v="1"/>
    <n v="73"/>
    <n v="63"/>
    <n v="0.74"/>
    <n v="88"/>
    <n v="73"/>
    <s v="OK"/>
    <s v="Ok"/>
    <n v="817"/>
  </r>
  <r>
    <x v="51"/>
    <x v="0"/>
    <s v="Thoughtbeat"/>
    <s v="95 Kingsford Terrace"/>
    <x v="0"/>
    <s v="63-936-0145"/>
    <s v="69-415-3675"/>
    <x v="79"/>
    <d v="2024-06-08T00:00:00"/>
    <d v="2026-12-03T00:00:00"/>
    <n v="22"/>
    <n v="56"/>
    <n v="72"/>
    <n v="4"/>
    <n v="70"/>
    <n v="39"/>
    <n v="0.14000000000000001"/>
    <n v="88"/>
    <n v="280"/>
    <s v="REORDER"/>
    <s v="Ok"/>
    <n v="723"/>
  </r>
  <r>
    <x v="99"/>
    <x v="0"/>
    <s v="Thoughtbridge"/>
    <s v="12710 Gulseth Circle"/>
    <x v="2"/>
    <s v="27-495-1912"/>
    <s v="34-667-8907"/>
    <x v="80"/>
    <d v="2024-02-29T00:00:00"/>
    <d v="2026-05-24T00:00:00"/>
    <n v="26"/>
    <n v="63"/>
    <n v="88"/>
    <n v="1.2"/>
    <n v="84"/>
    <n v="70"/>
    <n v="0.44"/>
    <n v="31.2"/>
    <n v="100.8"/>
    <s v="REORDER"/>
    <s v="Expired"/>
    <n v="823"/>
  </r>
  <r>
    <x v="87"/>
    <x v="4"/>
    <s v="Babbleopia"/>
    <s v="1 Westport Crossing"/>
    <x v="2"/>
    <s v="47-554-5780"/>
    <s v="62-979-5038"/>
    <x v="81"/>
    <d v="2024-06-22T00:00:00"/>
    <d v="2026-04-17T00:00:00"/>
    <n v="93"/>
    <n v="62"/>
    <n v="65"/>
    <n v="9"/>
    <n v="78"/>
    <n v="87"/>
    <n v="0.17"/>
    <n v="837"/>
    <n v="702"/>
    <s v="OK"/>
    <s v="Expired"/>
    <n v="709"/>
  </r>
  <r>
    <x v="56"/>
    <x v="0"/>
    <s v="Meevee"/>
    <s v="84305 Fair Oaks Plaza"/>
    <x v="1"/>
    <s v="21-013-3508"/>
    <s v="64-489-8494"/>
    <x v="81"/>
    <d v="2024-06-13T00:00:00"/>
    <d v="2026-11-10T00:00:00"/>
    <n v="12"/>
    <n v="95"/>
    <n v="49"/>
    <n v="1"/>
    <n v="25"/>
    <n v="23"/>
    <n v="-0.12"/>
    <n v="12"/>
    <n v="25"/>
    <s v="REORDER"/>
    <s v="Ok"/>
    <n v="718"/>
  </r>
  <r>
    <x v="83"/>
    <x v="2"/>
    <s v="Centimia"/>
    <s v="15 Oriole Park"/>
    <x v="0"/>
    <s v="39-913-2999"/>
    <s v="74-119-8973"/>
    <x v="81"/>
    <d v="2024-04-06T00:00:00"/>
    <d v="2026-04-10T00:00:00"/>
    <n v="23"/>
    <n v="99"/>
    <n v="97"/>
    <n v="2"/>
    <n v="68"/>
    <n v="76"/>
    <n v="0.08"/>
    <n v="46"/>
    <n v="136"/>
    <s v="REORDER"/>
    <s v="Expired"/>
    <n v="786"/>
  </r>
  <r>
    <x v="37"/>
    <x v="5"/>
    <s v="Vidoo"/>
    <s v="43442 Homewood Street"/>
    <x v="2"/>
    <s v="82-395-5070"/>
    <s v="01-801-9502"/>
    <x v="82"/>
    <d v="2025-02-17T00:00:00"/>
    <d v="2027-02-20T00:00:00"/>
    <n v="75"/>
    <n v="81"/>
    <n v="17"/>
    <n v="5"/>
    <n v="69"/>
    <n v="38"/>
    <n v="-0.12"/>
    <n v="375"/>
    <n v="345"/>
    <s v="REORDER"/>
    <s v="Ok"/>
    <n v="469"/>
  </r>
  <r>
    <x v="25"/>
    <x v="5"/>
    <s v="Meevee"/>
    <s v="56830 Fremont Road"/>
    <x v="1"/>
    <s v="62-100-2245"/>
    <s v="18-110-8314"/>
    <x v="82"/>
    <d v="2024-11-08T00:00:00"/>
    <d v="2026-07-12T00:00:00"/>
    <n v="22"/>
    <n v="60"/>
    <n v="73"/>
    <n v="4.2"/>
    <n v="62"/>
    <n v="3"/>
    <n v="0.45"/>
    <n v="92.4"/>
    <n v="260.40000000000003"/>
    <s v="REORDER"/>
    <s v="Ok"/>
    <n v="570"/>
  </r>
  <r>
    <x v="59"/>
    <x v="0"/>
    <s v="Aibox"/>
    <s v="10 Golf Course Hill"/>
    <x v="1"/>
    <s v="09-712-3630"/>
    <s v="17-807-6972"/>
    <x v="82"/>
    <d v="2024-03-25T00:00:00"/>
    <d v="2026-09-30T00:00:00"/>
    <n v="87"/>
    <n v="62"/>
    <n v="2"/>
    <n v="5.5"/>
    <n v="22"/>
    <n v="38"/>
    <n v="0.95"/>
    <n v="478.5"/>
    <n v="121"/>
    <s v="OK"/>
    <s v="Ok"/>
    <n v="798"/>
  </r>
  <r>
    <x v="18"/>
    <x v="0"/>
    <s v="Topicblab"/>
    <s v="357 Maple Park"/>
    <x v="2"/>
    <s v="25-010-9478"/>
    <s v="24-576-3402"/>
    <x v="83"/>
    <d v="2024-10-13T00:00:00"/>
    <d v="2026-07-31T00:00:00"/>
    <n v="74"/>
    <n v="30"/>
    <n v="24"/>
    <n v="3"/>
    <n v="82"/>
    <n v="12"/>
    <n v="-0.73"/>
    <n v="222"/>
    <n v="246"/>
    <s v="OK"/>
    <s v="Ok"/>
    <n v="596"/>
  </r>
  <r>
    <x v="100"/>
    <x v="4"/>
    <s v="Wikibox"/>
    <s v="7 Riverside Road"/>
    <x v="2"/>
    <s v="03-919-9890"/>
    <s v="69-289-8783"/>
    <x v="83"/>
    <d v="2024-12-07T00:00:00"/>
    <d v="2026-07-25T00:00:00"/>
    <n v="47"/>
    <n v="29"/>
    <n v="70"/>
    <n v="20"/>
    <n v="61"/>
    <n v="44"/>
    <n v="0.85"/>
    <n v="940"/>
    <n v="1220"/>
    <s v="OK"/>
    <s v="Ok"/>
    <n v="541"/>
  </r>
  <r>
    <x v="101"/>
    <x v="4"/>
    <s v="Kamba"/>
    <s v="4353 Dixon Circle"/>
    <x v="2"/>
    <s v="61-293-6327"/>
    <s v="00-023-7719"/>
    <x v="83"/>
    <d v="2024-12-29T00:00:00"/>
    <d v="2026-04-04T00:00:00"/>
    <n v="98"/>
    <n v="67"/>
    <n v="49"/>
    <n v="15"/>
    <n v="21"/>
    <n v="61"/>
    <n v="0.28000000000000003"/>
    <n v="1470"/>
    <n v="315"/>
    <s v="OK"/>
    <s v="Expired"/>
    <n v="519"/>
  </r>
  <r>
    <x v="102"/>
    <x v="0"/>
    <s v="Abatz"/>
    <s v="89 Karstens Alley"/>
    <x v="0"/>
    <s v="08-519-5579"/>
    <s v="32-178-2765"/>
    <x v="83"/>
    <d v="2024-08-22T00:00:00"/>
    <d v="2026-08-16T00:00:00"/>
    <n v="35"/>
    <n v="4"/>
    <n v="76"/>
    <n v="4"/>
    <n v="90"/>
    <n v="30"/>
    <n v="-1.9"/>
    <n v="140"/>
    <n v="360"/>
    <s v="OK"/>
    <s v="Ok"/>
    <n v="648"/>
  </r>
  <r>
    <x v="59"/>
    <x v="0"/>
    <s v="Kimia"/>
    <s v="898 Rowland Trail"/>
    <x v="2"/>
    <s v="00-366-9496"/>
    <s v="40-515-1141"/>
    <x v="83"/>
    <d v="2025-02-08T00:00:00"/>
    <d v="2026-12-28T00:00:00"/>
    <n v="30"/>
    <n v="66"/>
    <n v="28"/>
    <n v="5.5"/>
    <n v="63"/>
    <n v="98"/>
    <n v="0.67"/>
    <n v="165"/>
    <n v="346.5"/>
    <s v="REORDER"/>
    <s v="Ok"/>
    <n v="478"/>
  </r>
  <r>
    <x v="55"/>
    <x v="0"/>
    <s v="Flipopia"/>
    <s v="92655 Pond Park"/>
    <x v="0"/>
    <s v="28-840-6096"/>
    <s v="15-444-8224"/>
    <x v="84"/>
    <d v="2025-02-14T00:00:00"/>
    <d v="2026-09-12T00:00:00"/>
    <n v="19"/>
    <n v="65"/>
    <n v="48"/>
    <n v="6"/>
    <n v="59"/>
    <n v="53"/>
    <n v="-0.56000000000000005"/>
    <n v="114"/>
    <n v="354"/>
    <s v="REORDER"/>
    <s v="Ok"/>
    <n v="472"/>
  </r>
  <r>
    <x v="29"/>
    <x v="3"/>
    <s v="Eidel"/>
    <s v="403 Loomis Way"/>
    <x v="1"/>
    <s v="04-542-3863"/>
    <s v="55-952-9832"/>
    <x v="85"/>
    <d v="2024-12-11T00:00:00"/>
    <d v="2026-12-22T00:00:00"/>
    <n v="34"/>
    <n v="46"/>
    <n v="45"/>
    <n v="1.5"/>
    <n v="49"/>
    <n v="25"/>
    <n v="0.1"/>
    <n v="51"/>
    <n v="73.5"/>
    <s v="REORDER"/>
    <s v="Ok"/>
    <n v="537"/>
  </r>
  <r>
    <x v="10"/>
    <x v="2"/>
    <s v="Jayo"/>
    <s v="87784 Blaine Way"/>
    <x v="1"/>
    <s v="18-199-5799"/>
    <s v="76-870-2139"/>
    <x v="85"/>
    <d v="2024-04-28T00:00:00"/>
    <d v="2026-10-30T00:00:00"/>
    <n v="40"/>
    <n v="81"/>
    <n v="40"/>
    <n v="9"/>
    <n v="40"/>
    <n v="48"/>
    <n v="0.49"/>
    <n v="360"/>
    <n v="360"/>
    <s v="REORDER"/>
    <s v="Ok"/>
    <n v="764"/>
  </r>
  <r>
    <x v="76"/>
    <x v="3"/>
    <s v="Youtags"/>
    <s v="32 Cottonwood Pass"/>
    <x v="2"/>
    <s v="56-875-3717"/>
    <s v="39-257-6162"/>
    <x v="85"/>
    <d v="2024-08-01T00:00:00"/>
    <d v="2026-05-03T00:00:00"/>
    <n v="89"/>
    <n v="54"/>
    <n v="15"/>
    <n v="2.5"/>
    <n v="64"/>
    <n v="63"/>
    <n v="-0.2"/>
    <n v="222.5"/>
    <n v="160"/>
    <s v="OK"/>
    <s v="Expired"/>
    <n v="669"/>
  </r>
  <r>
    <x v="89"/>
    <x v="2"/>
    <s v="Kazu"/>
    <s v="890 Eggendart Pass"/>
    <x v="0"/>
    <s v="25-522-6043"/>
    <s v="29-122-7037"/>
    <x v="85"/>
    <d v="2024-08-19T00:00:00"/>
    <d v="2027-02-03T00:00:00"/>
    <n v="71"/>
    <n v="93"/>
    <n v="75"/>
    <n v="7"/>
    <n v="77"/>
    <n v="58"/>
    <n v="0.02"/>
    <n v="497"/>
    <n v="539"/>
    <s v="REORDER"/>
    <s v="Ok"/>
    <n v="651"/>
  </r>
  <r>
    <x v="41"/>
    <x v="2"/>
    <s v="Quaxo"/>
    <s v="4 Duke Way"/>
    <x v="0"/>
    <s v="27-459-0724"/>
    <s v="45-331-8563"/>
    <x v="86"/>
    <d v="2024-08-12T00:00:00"/>
    <d v="2027-02-24T00:00:00"/>
    <n v="91"/>
    <n v="7"/>
    <n v="64"/>
    <n v="7"/>
    <n v="32"/>
    <n v="65"/>
    <n v="0.25"/>
    <n v="637"/>
    <n v="224"/>
    <s v="OK"/>
    <s v="Ok"/>
    <n v="658"/>
  </r>
  <r>
    <x v="103"/>
    <x v="1"/>
    <s v="Tagopia"/>
    <s v="7 Gateway Center"/>
    <x v="1"/>
    <s v="75-080-4909"/>
    <s v="34-726-5887"/>
    <x v="87"/>
    <d v="2024-04-12T00:00:00"/>
    <d v="2026-09-09T00:00:00"/>
    <n v="20"/>
    <n v="55"/>
    <n v="15"/>
    <n v="2.5"/>
    <n v="86"/>
    <n v="61"/>
    <n v="-1.03"/>
    <n v="50"/>
    <n v="215"/>
    <s v="REORDER"/>
    <s v="Ok"/>
    <n v="780"/>
  </r>
  <r>
    <x v="0"/>
    <x v="0"/>
    <s v="Tagtune"/>
    <s v="459 Gateway Pass"/>
    <x v="2"/>
    <s v="07-970-9352"/>
    <s v="14-724-4622"/>
    <x v="88"/>
    <d v="2024-05-16T00:00:00"/>
    <d v="2026-07-12T00:00:00"/>
    <n v="96"/>
    <n v="33"/>
    <n v="72"/>
    <n v="4.45"/>
    <n v="74"/>
    <n v="100"/>
    <n v="0.28999999999999998"/>
    <n v="427.20000000000005"/>
    <n v="329.3"/>
    <s v="OK"/>
    <s v="Ok"/>
    <n v="746"/>
  </r>
  <r>
    <x v="58"/>
    <x v="2"/>
    <s v="Devcast"/>
    <s v="4929 Westend Point"/>
    <x v="2"/>
    <s v="26-134-9069"/>
    <s v="80-068-0825"/>
    <x v="88"/>
    <d v="2024-11-11T00:00:00"/>
    <d v="2027-01-30T00:00:00"/>
    <n v="14"/>
    <n v="87"/>
    <n v="8"/>
    <n v="4"/>
    <n v="90"/>
    <n v="14"/>
    <n v="-0.35"/>
    <n v="56"/>
    <n v="360"/>
    <s v="REORDER"/>
    <s v="Ok"/>
    <n v="567"/>
  </r>
  <r>
    <x v="78"/>
    <x v="3"/>
    <s v="Cogibox"/>
    <s v="160 Crowley Center"/>
    <x v="0"/>
    <s v="08-396-2704"/>
    <s v="94-186-9620"/>
    <x v="88"/>
    <d v="2024-04-01T00:00:00"/>
    <d v="2026-05-10T00:00:00"/>
    <n v="42"/>
    <n v="12"/>
    <n v="28"/>
    <n v="2"/>
    <n v="80"/>
    <n v="8"/>
    <n v="0.84"/>
    <n v="84"/>
    <n v="160"/>
    <s v="OK"/>
    <s v="Expired"/>
    <n v="791"/>
  </r>
  <r>
    <x v="94"/>
    <x v="0"/>
    <s v="Jayo"/>
    <s v="62494 Longview Drive"/>
    <x v="2"/>
    <s v="24-975-4231"/>
    <s v="99-145-4924"/>
    <x v="88"/>
    <d v="2024-07-09T00:00:00"/>
    <d v="2026-08-17T00:00:00"/>
    <n v="31"/>
    <n v="61"/>
    <n v="28"/>
    <n v="2.1"/>
    <n v="55"/>
    <n v="70"/>
    <n v="0.9"/>
    <n v="65.100000000000009"/>
    <n v="115.5"/>
    <s v="REORDER"/>
    <s v="Ok"/>
    <n v="692"/>
  </r>
  <r>
    <x v="84"/>
    <x v="3"/>
    <s v="Riffwire"/>
    <s v="8499 Hanover Terrace"/>
    <x v="2"/>
    <s v="28-197-9246"/>
    <s v="31-281-2352"/>
    <x v="88"/>
    <d v="2024-07-11T00:00:00"/>
    <d v="2026-05-23T00:00:00"/>
    <n v="47"/>
    <n v="30"/>
    <n v="16"/>
    <n v="2.5"/>
    <n v="22"/>
    <n v="81"/>
    <n v="-0.27"/>
    <n v="117.5"/>
    <n v="55"/>
    <s v="OK"/>
    <s v="Expired"/>
    <n v="690"/>
  </r>
  <r>
    <x v="91"/>
    <x v="1"/>
    <s v="Yodo"/>
    <s v="48788 Chinook Place"/>
    <x v="0"/>
    <s v="77-013-1553"/>
    <s v="42-252-5861"/>
    <x v="89"/>
    <d v="2024-10-13T00:00:00"/>
    <d v="2026-08-20T00:00:00"/>
    <n v="79"/>
    <n v="31"/>
    <n v="66"/>
    <n v="2.2999999999999998"/>
    <n v="92"/>
    <n v="13"/>
    <n v="-2.68"/>
    <n v="181.7"/>
    <n v="211.6"/>
    <s v="OK"/>
    <s v="Ok"/>
    <n v="596"/>
  </r>
  <r>
    <x v="100"/>
    <x v="4"/>
    <s v="Linktype"/>
    <s v="26266 Esker Point"/>
    <x v="1"/>
    <s v="83-716-2177"/>
    <s v="79-518-8344"/>
    <x v="89"/>
    <d v="2024-10-10T00:00:00"/>
    <d v="2026-09-13T00:00:00"/>
    <n v="18"/>
    <n v="46"/>
    <n v="26"/>
    <n v="20"/>
    <n v="57"/>
    <n v="95"/>
    <n v="0.86"/>
    <n v="360"/>
    <n v="1140"/>
    <s v="REORDER"/>
    <s v="Ok"/>
    <n v="599"/>
  </r>
  <r>
    <x v="100"/>
    <x v="4"/>
    <s v="Gevee"/>
    <s v="6410 Northwestern Pass"/>
    <x v="2"/>
    <s v="55-164-7723"/>
    <s v="85-454-9252"/>
    <x v="89"/>
    <d v="2024-05-17T00:00:00"/>
    <d v="2027-01-08T00:00:00"/>
    <n v="82"/>
    <n v="31"/>
    <n v="86"/>
    <n v="20"/>
    <n v="66"/>
    <n v="74"/>
    <n v="-0.67"/>
    <n v="1640"/>
    <n v="1320"/>
    <s v="OK"/>
    <s v="Ok"/>
    <n v="745"/>
  </r>
  <r>
    <x v="10"/>
    <x v="2"/>
    <s v="Quaxo"/>
    <s v="0782 Dapin Avenue"/>
    <x v="2"/>
    <s v="22-778-3553"/>
    <s v="49-590-1752"/>
    <x v="89"/>
    <d v="2024-10-24T00:00:00"/>
    <d v="2027-02-09T00:00:00"/>
    <n v="36"/>
    <n v="77"/>
    <n v="49"/>
    <n v="9"/>
    <n v="30"/>
    <n v="84"/>
    <n v="-0.12"/>
    <n v="324"/>
    <n v="270"/>
    <s v="REORDER"/>
    <s v="Ok"/>
    <n v="585"/>
  </r>
  <r>
    <x v="11"/>
    <x v="1"/>
    <s v="Voolith"/>
    <s v="8 Thackeray Drive"/>
    <x v="0"/>
    <s v="14-331-3739"/>
    <s v="87-159-6467"/>
    <x v="89"/>
    <d v="2024-10-15T00:00:00"/>
    <d v="2026-03-28T00:00:00"/>
    <n v="24"/>
    <n v="89"/>
    <n v="27"/>
    <n v="10"/>
    <n v="99"/>
    <n v="1"/>
    <n v="-1.8"/>
    <n v="240"/>
    <n v="990"/>
    <s v="REORDER"/>
    <s v="Expired"/>
    <n v="594"/>
  </r>
  <r>
    <x v="7"/>
    <x v="4"/>
    <s v="Jaxspan"/>
    <s v="5 Forest Run Way"/>
    <x v="0"/>
    <s v="47-578-4161"/>
    <s v="96-001-5429"/>
    <x v="90"/>
    <d v="2024-03-10T00:00:00"/>
    <d v="2026-09-14T00:00:00"/>
    <n v="88"/>
    <n v="56"/>
    <n v="81"/>
    <n v="10"/>
    <n v="98"/>
    <n v="86"/>
    <n v="0.99"/>
    <n v="880"/>
    <n v="980"/>
    <s v="OK"/>
    <s v="Ok"/>
    <n v="813"/>
  </r>
  <r>
    <x v="83"/>
    <x v="2"/>
    <s v="Blognation"/>
    <s v="230 Tony Court"/>
    <x v="0"/>
    <s v="59-857-6577"/>
    <s v="57-569-7172"/>
    <x v="90"/>
    <d v="2024-08-10T00:00:00"/>
    <d v="2026-03-04T00:00:00"/>
    <n v="23"/>
    <n v="100"/>
    <n v="77"/>
    <n v="2"/>
    <n v="63"/>
    <n v="26"/>
    <n v="0.12"/>
    <n v="46"/>
    <n v="126"/>
    <s v="REORDER"/>
    <s v="Expired"/>
    <n v="660"/>
  </r>
  <r>
    <x v="22"/>
    <x v="0"/>
    <s v="Jaxnation"/>
    <s v="545 Linden Alley"/>
    <x v="0"/>
    <s v="02-559-8196"/>
    <s v="44-495-6660"/>
    <x v="91"/>
    <d v="2024-12-12T00:00:00"/>
    <d v="2026-07-25T00:00:00"/>
    <n v="61"/>
    <n v="14"/>
    <n v="49"/>
    <n v="5.2"/>
    <n v="74"/>
    <n v="35"/>
    <n v="0.59"/>
    <n v="317.2"/>
    <n v="384.8"/>
    <s v="OK"/>
    <s v="Ok"/>
    <n v="536"/>
  </r>
  <r>
    <x v="0"/>
    <x v="0"/>
    <s v="Meetz"/>
    <s v="521 Burning Wood Trail"/>
    <x v="0"/>
    <s v="13-900-9016"/>
    <s v="63-969-9608"/>
    <x v="91"/>
    <d v="2025-01-06T00:00:00"/>
    <d v="2026-09-19T00:00:00"/>
    <n v="89"/>
    <n v="96"/>
    <n v="94"/>
    <n v="4.5"/>
    <n v="38"/>
    <n v="96"/>
    <n v="0.53"/>
    <n v="400.5"/>
    <n v="171"/>
    <s v="REORDER"/>
    <s v="Ok"/>
    <n v="511"/>
  </r>
  <r>
    <x v="104"/>
    <x v="0"/>
    <s v="Meevee"/>
    <s v="3 Buhler Place"/>
    <x v="1"/>
    <s v="15-144-9413"/>
    <s v="08-912-0895"/>
    <x v="92"/>
    <d v="2024-06-30T00:00:00"/>
    <d v="2026-07-29T00:00:00"/>
    <n v="58"/>
    <n v="15"/>
    <n v="87"/>
    <n v="5.9"/>
    <n v="52"/>
    <n v="81"/>
    <n v="-1.53"/>
    <n v="342.20000000000005"/>
    <n v="306.8"/>
    <s v="OK"/>
    <s v="Ok"/>
    <n v="701"/>
  </r>
  <r>
    <x v="59"/>
    <x v="0"/>
    <s v="Layo"/>
    <s v="23704 Algoma Park"/>
    <x v="2"/>
    <s v="65-527-9488"/>
    <s v="23-482-0516"/>
    <x v="92"/>
    <d v="2024-06-24T00:00:00"/>
    <d v="2026-10-10T00:00:00"/>
    <n v="38"/>
    <n v="72"/>
    <n v="39"/>
    <n v="5.5"/>
    <n v="59"/>
    <n v="8"/>
    <n v="-0.56000000000000005"/>
    <n v="209"/>
    <n v="324.5"/>
    <s v="REORDER"/>
    <s v="Ok"/>
    <n v="707"/>
  </r>
  <r>
    <x v="90"/>
    <x v="0"/>
    <s v="Eabox"/>
    <s v="62 Thackeray Center"/>
    <x v="1"/>
    <s v="74-818-3306"/>
    <s v="75-536-2986"/>
    <x v="93"/>
    <d v="2024-07-27T00:00:00"/>
    <d v="2026-05-09T00:00:00"/>
    <n v="45"/>
    <n v="70"/>
    <n v="98"/>
    <n v="2.4500000000000002"/>
    <n v="25"/>
    <n v="39"/>
    <n v="0.86"/>
    <n v="110.25000000000001"/>
    <n v="61.250000000000007"/>
    <s v="REORDER"/>
    <s v="Expired"/>
    <n v="674"/>
  </r>
  <r>
    <x v="105"/>
    <x v="6"/>
    <s v="Photobug"/>
    <s v="5306 Arkansas Avenue"/>
    <x v="2"/>
    <s v="60-198-7050"/>
    <s v="27-493-6787"/>
    <x v="93"/>
    <d v="2024-11-24T00:00:00"/>
    <d v="2026-03-19T00:00:00"/>
    <n v="26"/>
    <n v="59"/>
    <n v="54"/>
    <n v="8"/>
    <n v="92"/>
    <n v="49"/>
    <n v="-0.56000000000000005"/>
    <n v="208"/>
    <n v="736"/>
    <s v="REORDER"/>
    <s v="Expired"/>
    <n v="554"/>
  </r>
  <r>
    <x v="106"/>
    <x v="2"/>
    <s v="Reallinks"/>
    <s v="285 1st Park"/>
    <x v="0"/>
    <s v="82-041-7211"/>
    <s v="03-615-0558"/>
    <x v="94"/>
    <d v="2024-05-19T00:00:00"/>
    <d v="2026-07-01T00:00:00"/>
    <n v="49"/>
    <n v="49"/>
    <n v="26"/>
    <n v="8"/>
    <n v="78"/>
    <n v="61"/>
    <n v="0.47"/>
    <n v="392"/>
    <n v="624"/>
    <s v="REORDER"/>
    <s v="Ok"/>
    <n v="743"/>
  </r>
  <r>
    <x v="94"/>
    <x v="0"/>
    <s v="Omba"/>
    <s v="379 Duke Court"/>
    <x v="2"/>
    <s v="17-002-4721"/>
    <s v="38-310-4533"/>
    <x v="94"/>
    <d v="2025-02-18T00:00:00"/>
    <d v="2026-10-29T00:00:00"/>
    <n v="31"/>
    <n v="55"/>
    <n v="5"/>
    <n v="2"/>
    <n v="71"/>
    <n v="46"/>
    <n v="0.22"/>
    <n v="62"/>
    <n v="142"/>
    <s v="REORDER"/>
    <s v="Ok"/>
    <n v="468"/>
  </r>
  <r>
    <x v="107"/>
    <x v="0"/>
    <s v="Jabbersphere"/>
    <s v="07 Maple Wood Drive"/>
    <x v="2"/>
    <s v="74-404-0582"/>
    <s v="31-628-6696"/>
    <x v="94"/>
    <d v="2024-11-20T00:00:00"/>
    <d v="2026-06-11T00:00:00"/>
    <n v="57"/>
    <n v="82"/>
    <n v="59"/>
    <n v="8"/>
    <n v="44"/>
    <n v="57"/>
    <n v="0.35"/>
    <n v="456"/>
    <n v="352"/>
    <s v="REORDER"/>
    <s v="Expiring Soon"/>
    <n v="558"/>
  </r>
  <r>
    <x v="25"/>
    <x v="5"/>
    <s v="Eayo"/>
    <s v="7444 Saint Paul Circle"/>
    <x v="0"/>
    <s v="73-561-2867"/>
    <s v="60-386-5077"/>
    <x v="95"/>
    <d v="2024-06-29T00:00:00"/>
    <d v="2026-09-29T00:00:00"/>
    <n v="12"/>
    <n v="86"/>
    <n v="98"/>
    <n v="4"/>
    <n v="75"/>
    <n v="86"/>
    <n v="-0.3"/>
    <n v="48"/>
    <n v="300"/>
    <s v="REORDER"/>
    <s v="Ok"/>
    <n v="702"/>
  </r>
  <r>
    <x v="51"/>
    <x v="0"/>
    <s v="Devcast"/>
    <s v="2 Scofield Street"/>
    <x v="2"/>
    <s v="45-194-4094"/>
    <s v="65-611-4749"/>
    <x v="95"/>
    <d v="2024-06-14T00:00:00"/>
    <d v="2026-10-10T00:00:00"/>
    <n v="64"/>
    <n v="71"/>
    <n v="69"/>
    <n v="3.9"/>
    <n v="60"/>
    <n v="67"/>
    <n v="-0.15"/>
    <n v="249.6"/>
    <n v="234"/>
    <s v="REORDER"/>
    <s v="Ok"/>
    <n v="717"/>
  </r>
  <r>
    <x v="88"/>
    <x v="0"/>
    <s v="Fivebridge"/>
    <s v="826 Melvin Pass"/>
    <x v="0"/>
    <s v="92-362-3567"/>
    <s v="40-056-7748"/>
    <x v="95"/>
    <d v="2024-05-06T00:00:00"/>
    <d v="2026-12-25T00:00:00"/>
    <n v="11"/>
    <n v="10"/>
    <n v="60"/>
    <n v="2.5"/>
    <n v="93"/>
    <n v="53"/>
    <n v="-0.12"/>
    <n v="27.5"/>
    <n v="232.5"/>
    <s v="OK"/>
    <s v="Ok"/>
    <n v="756"/>
  </r>
  <r>
    <x v="24"/>
    <x v="3"/>
    <s v="Babbleset"/>
    <s v="63578 Butternut Hill"/>
    <x v="2"/>
    <s v="96-961-2193"/>
    <s v="71-467-4910"/>
    <x v="95"/>
    <d v="2024-08-16T00:00:00"/>
    <d v="2026-11-10T00:00:00"/>
    <n v="46"/>
    <n v="39"/>
    <n v="11"/>
    <n v="4.75"/>
    <n v="36"/>
    <n v="54"/>
    <n v="0.43"/>
    <n v="218.5"/>
    <n v="171"/>
    <s v="OK"/>
    <s v="Ok"/>
    <n v="654"/>
  </r>
  <r>
    <x v="108"/>
    <x v="0"/>
    <s v="Quimm"/>
    <s v="66330 Northridge Street"/>
    <x v="1"/>
    <s v="92-652-3737"/>
    <s v="42-361-6981"/>
    <x v="96"/>
    <d v="2024-07-30T00:00:00"/>
    <d v="2026-10-01T00:00:00"/>
    <n v="89"/>
    <n v="56"/>
    <n v="74"/>
    <n v="2.5"/>
    <n v="27"/>
    <n v="51"/>
    <n v="-0.5"/>
    <n v="222.5"/>
    <n v="67.5"/>
    <s v="OK"/>
    <s v="Ok"/>
    <n v="671"/>
  </r>
  <r>
    <x v="13"/>
    <x v="5"/>
    <s v="Lajo"/>
    <s v="297 Petterle Way"/>
    <x v="0"/>
    <s v="89-673-1543"/>
    <s v="43-679-7350"/>
    <x v="96"/>
    <d v="2024-03-28T00:00:00"/>
    <d v="2027-01-03T00:00:00"/>
    <n v="72"/>
    <n v="78"/>
    <n v="1"/>
    <n v="4"/>
    <n v="85"/>
    <n v="30"/>
    <n v="-0.89"/>
    <n v="288"/>
    <n v="340"/>
    <s v="REORDER"/>
    <s v="Ok"/>
    <n v="795"/>
  </r>
  <r>
    <x v="109"/>
    <x v="5"/>
    <s v="Ozu"/>
    <s v="175 Sycamore Circle"/>
    <x v="2"/>
    <s v="70-815-4015"/>
    <s v="89-134-9717"/>
    <x v="97"/>
    <d v="2024-07-15T00:00:00"/>
    <d v="2026-08-30T00:00:00"/>
    <n v="38"/>
    <n v="93"/>
    <n v="61"/>
    <n v="6"/>
    <n v="67"/>
    <n v="100"/>
    <n v="0.65"/>
    <n v="228"/>
    <n v="402"/>
    <s v="REORDER"/>
    <s v="Ok"/>
    <n v="686"/>
  </r>
  <r>
    <x v="53"/>
    <x v="3"/>
    <s v="Bubblemix"/>
    <s v="92321 Nelson Trail"/>
    <x v="1"/>
    <s v="90-737-0044"/>
    <s v="39-339-3869"/>
    <x v="97"/>
    <d v="2025-01-17T00:00:00"/>
    <d v="2026-05-17T00:00:00"/>
    <n v="79"/>
    <n v="98"/>
    <n v="97"/>
    <n v="6"/>
    <n v="26"/>
    <n v="21"/>
    <n v="-0.49"/>
    <n v="474"/>
    <n v="156"/>
    <s v="REORDER"/>
    <s v="Expired"/>
    <n v="500"/>
  </r>
  <r>
    <x v="70"/>
    <x v="6"/>
    <s v="Topicstorm"/>
    <s v="87417 Forest Pass"/>
    <x v="2"/>
    <s v="67-473-7093"/>
    <s v="92-830-6986"/>
    <x v="97"/>
    <d v="2024-03-20T00:00:00"/>
    <d v="2026-04-19T00:00:00"/>
    <n v="56"/>
    <n v="12"/>
    <n v="85"/>
    <n v="5"/>
    <n v="52"/>
    <n v="46"/>
    <n v="0.19"/>
    <n v="280"/>
    <n v="260"/>
    <s v="OK"/>
    <s v="Expired"/>
    <n v="803"/>
  </r>
  <r>
    <x v="104"/>
    <x v="0"/>
    <s v="Babblestorm"/>
    <s v="00 Drewry Court"/>
    <x v="2"/>
    <s v="22-621-2774"/>
    <s v="70-901-6191"/>
    <x v="98"/>
    <d v="2024-06-30T00:00:00"/>
    <d v="2026-06-14T00:00:00"/>
    <n v="54"/>
    <n v="26"/>
    <n v="16"/>
    <n v="6"/>
    <n v="63"/>
    <n v="97"/>
    <n v="0.12"/>
    <n v="324"/>
    <n v="378"/>
    <s v="OK"/>
    <s v="Expiring Soon"/>
    <n v="701"/>
  </r>
  <r>
    <x v="18"/>
    <x v="0"/>
    <s v="Mybuzz"/>
    <s v="25784 Old Gate Crossing"/>
    <x v="2"/>
    <s v="15-240-6267"/>
    <s v="12-983-3026"/>
    <x v="98"/>
    <d v="2024-04-10T00:00:00"/>
    <d v="2026-04-26T00:00:00"/>
    <n v="91"/>
    <n v="55"/>
    <n v="94"/>
    <n v="3"/>
    <n v="42"/>
    <n v="93"/>
    <n v="-0.54"/>
    <n v="273"/>
    <n v="126"/>
    <s v="OK"/>
    <s v="Expired"/>
    <n v="782"/>
  </r>
  <r>
    <x v="15"/>
    <x v="0"/>
    <s v="Voonix"/>
    <s v="622 Anthes Lane"/>
    <x v="1"/>
    <s v="75-152-8731"/>
    <s v="05-593-1927"/>
    <x v="99"/>
    <d v="2024-11-12T00:00:00"/>
    <d v="2026-08-08T00:00:00"/>
    <n v="82"/>
    <n v="65"/>
    <n v="69"/>
    <n v="4.45"/>
    <n v="30"/>
    <n v="78"/>
    <n v="-1.21"/>
    <n v="364.90000000000003"/>
    <n v="133.5"/>
    <s v="OK"/>
    <s v="Ok"/>
    <n v="566"/>
  </r>
  <r>
    <x v="110"/>
    <x v="2"/>
    <s v="Einti"/>
    <s v="553 Hooker Trail"/>
    <x v="1"/>
    <s v="40-913-9772"/>
    <s v="51-215-2283"/>
    <x v="99"/>
    <d v="2024-03-03T00:00:00"/>
    <d v="2026-05-26T00:00:00"/>
    <n v="36"/>
    <n v="30"/>
    <n v="44"/>
    <n v="0.2"/>
    <n v="68"/>
    <n v="88"/>
    <n v="-1.6"/>
    <n v="7.2"/>
    <n v="13.600000000000001"/>
    <s v="OK"/>
    <s v="Expired"/>
    <n v="820"/>
  </r>
  <r>
    <x v="61"/>
    <x v="3"/>
    <s v="Brightdog"/>
    <s v="9431 Clarendon Pass"/>
    <x v="2"/>
    <s v="29-377-7040"/>
    <s v="59-979-6740"/>
    <x v="99"/>
    <d v="2024-05-29T00:00:00"/>
    <d v="2026-07-29T00:00:00"/>
    <n v="22"/>
    <n v="77"/>
    <n v="15"/>
    <n v="3"/>
    <n v="68"/>
    <n v="46"/>
    <n v="-0.28999999999999998"/>
    <n v="66"/>
    <n v="204"/>
    <s v="REORDER"/>
    <s v="Ok"/>
    <n v="733"/>
  </r>
  <r>
    <x v="60"/>
    <x v="1"/>
    <s v="Voolith"/>
    <s v="88721 Dawn Crossing"/>
    <x v="0"/>
    <s v="72-780-6006"/>
    <s v="81-292-4650"/>
    <x v="100"/>
    <d v="2024-12-13T00:00:00"/>
    <d v="2026-04-17T00:00:00"/>
    <n v="87"/>
    <n v="24"/>
    <n v="19"/>
    <n v="2.5"/>
    <n v="83"/>
    <n v="3"/>
    <n v="0.32"/>
    <n v="217.5"/>
    <n v="207.5"/>
    <s v="OK"/>
    <s v="Expired"/>
    <n v="535"/>
  </r>
  <r>
    <x v="12"/>
    <x v="0"/>
    <s v="Oyondu"/>
    <s v="43211 Anzinger Drive"/>
    <x v="2"/>
    <s v="91-127-7489"/>
    <s v="86-079-1525"/>
    <x v="100"/>
    <d v="2024-12-10T00:00:00"/>
    <d v="2026-08-04T00:00:00"/>
    <n v="44"/>
    <n v="8"/>
    <n v="52"/>
    <n v="2.95"/>
    <n v="42"/>
    <n v="66"/>
    <n v="0.96"/>
    <n v="129.80000000000001"/>
    <n v="123.9"/>
    <s v="OK"/>
    <s v="Ok"/>
    <n v="538"/>
  </r>
  <r>
    <x v="85"/>
    <x v="4"/>
    <s v="Katz"/>
    <s v="0 Village Green Street"/>
    <x v="2"/>
    <s v="17-647-0503"/>
    <s v="69-416-9493"/>
    <x v="100"/>
    <d v="2024-05-24T00:00:00"/>
    <d v="2026-08-20T00:00:00"/>
    <n v="96"/>
    <n v="12"/>
    <n v="8"/>
    <n v="8"/>
    <n v="97"/>
    <n v="92"/>
    <n v="-0.56999999999999995"/>
    <n v="768"/>
    <n v="776"/>
    <s v="OK"/>
    <s v="Ok"/>
    <n v="738"/>
  </r>
  <r>
    <x v="48"/>
    <x v="0"/>
    <s v="Skyble"/>
    <s v="13 Corscot Hill"/>
    <x v="2"/>
    <s v="91-848-0606"/>
    <s v="68-836-0350"/>
    <x v="101"/>
    <d v="2024-07-23T00:00:00"/>
    <d v="2026-10-28T00:00:00"/>
    <n v="39"/>
    <n v="22"/>
    <n v="73"/>
    <n v="2"/>
    <n v="60"/>
    <n v="2"/>
    <n v="0.05"/>
    <n v="78"/>
    <n v="120"/>
    <s v="OK"/>
    <s v="Ok"/>
    <n v="678"/>
  </r>
  <r>
    <x v="67"/>
    <x v="0"/>
    <s v="Oyoloo"/>
    <s v="3104 Ridge Oak Hill"/>
    <x v="1"/>
    <s v="11-745-3025"/>
    <s v="54-711-1582"/>
    <x v="101"/>
    <d v="2025-02-21T00:00:00"/>
    <d v="2026-09-03T00:00:00"/>
    <n v="15"/>
    <n v="27"/>
    <n v="21"/>
    <n v="4"/>
    <n v="37"/>
    <n v="67"/>
    <n v="0.97"/>
    <n v="60"/>
    <n v="148"/>
    <s v="REORDER"/>
    <s v="Ok"/>
    <n v="465"/>
  </r>
  <r>
    <x v="108"/>
    <x v="0"/>
    <s v="Trudeo"/>
    <s v="3 Lawn Park"/>
    <x v="0"/>
    <s v="29-823-6004"/>
    <s v="10-295-7996"/>
    <x v="101"/>
    <d v="2024-04-04T00:00:00"/>
    <d v="2026-03-10T00:00:00"/>
    <n v="52"/>
    <n v="79"/>
    <n v="87"/>
    <n v="2.5"/>
    <n v="36"/>
    <n v="100"/>
    <n v="-0.81"/>
    <n v="130"/>
    <n v="90"/>
    <s v="REORDER"/>
    <s v="Expired"/>
    <n v="788"/>
  </r>
  <r>
    <x v="64"/>
    <x v="0"/>
    <s v="Eamia"/>
    <s v="277 Pawling Terrace"/>
    <x v="0"/>
    <s v="21-718-6746"/>
    <s v="96-012-3393"/>
    <x v="101"/>
    <d v="2025-01-20T00:00:00"/>
    <d v="2026-06-06T00:00:00"/>
    <n v="16"/>
    <n v="53"/>
    <n v="12"/>
    <n v="5"/>
    <n v="21"/>
    <n v="29"/>
    <n v="-1.78"/>
    <n v="80"/>
    <n v="105"/>
    <s v="REORDER"/>
    <s v="Expiring Soon"/>
    <n v="497"/>
  </r>
  <r>
    <x v="11"/>
    <x v="1"/>
    <s v="Dazzlesphere"/>
    <s v="00616 Manitowish Parkway"/>
    <x v="2"/>
    <s v="86-692-2312"/>
    <s v="77-783-4107"/>
    <x v="101"/>
    <d v="2024-12-07T00:00:00"/>
    <d v="2026-04-30T00:00:00"/>
    <n v="30"/>
    <n v="48"/>
    <n v="52"/>
    <n v="10"/>
    <n v="22"/>
    <n v="78"/>
    <n v="-0.38"/>
    <n v="300"/>
    <n v="220"/>
    <s v="REORDER"/>
    <s v="Expired"/>
    <n v="541"/>
  </r>
  <r>
    <x v="52"/>
    <x v="3"/>
    <s v="Linklinks"/>
    <s v="67 Little Fleur Road"/>
    <x v="1"/>
    <s v="54-109-8062"/>
    <s v="04-726-3363"/>
    <x v="102"/>
    <d v="2025-01-19T00:00:00"/>
    <d v="2027-02-16T00:00:00"/>
    <n v="75"/>
    <n v="69"/>
    <n v="100"/>
    <n v="4.5"/>
    <n v="43"/>
    <n v="18"/>
    <n v="-2.5499999999999998"/>
    <n v="337.5"/>
    <n v="193.5"/>
    <s v="OK"/>
    <s v="Ok"/>
    <n v="498"/>
  </r>
  <r>
    <x v="111"/>
    <x v="5"/>
    <s v="Tagfeed"/>
    <s v="0 Saint Paul Center"/>
    <x v="2"/>
    <s v="74-943-9034"/>
    <s v="15-739-5480"/>
    <x v="102"/>
    <d v="2024-11-18T00:00:00"/>
    <d v="2026-05-06T00:00:00"/>
    <n v="30"/>
    <n v="91"/>
    <n v="34"/>
    <n v="2.5"/>
    <n v="97"/>
    <n v="88"/>
    <n v="0.57999999999999996"/>
    <n v="75"/>
    <n v="242.5"/>
    <s v="REORDER"/>
    <s v="Expired"/>
    <n v="560"/>
  </r>
  <r>
    <x v="102"/>
    <x v="0"/>
    <s v="Yamia"/>
    <s v="7 Heffernan Drive"/>
    <x v="2"/>
    <s v="71-300-2191"/>
    <s v="98-677-4279"/>
    <x v="102"/>
    <d v="2024-05-06T00:00:00"/>
    <d v="2026-05-01T00:00:00"/>
    <n v="79"/>
    <n v="72"/>
    <n v="6"/>
    <n v="4"/>
    <n v="67"/>
    <n v="63"/>
    <n v="0.09"/>
    <n v="316"/>
    <n v="268"/>
    <s v="OK"/>
    <s v="Expired"/>
    <n v="756"/>
  </r>
  <r>
    <x v="73"/>
    <x v="3"/>
    <s v="Gigashots"/>
    <s v="8 Dovetail Junction"/>
    <x v="2"/>
    <s v="65-145-9672"/>
    <s v="65-068-1200"/>
    <x v="103"/>
    <d v="2024-03-16T00:00:00"/>
    <d v="2026-05-26T00:00:00"/>
    <n v="71"/>
    <n v="10"/>
    <n v="49"/>
    <n v="1.5"/>
    <n v="66"/>
    <n v="43"/>
    <n v="0.06"/>
    <n v="106.5"/>
    <n v="99"/>
    <s v="OK"/>
    <s v="Expired"/>
    <n v="807"/>
  </r>
  <r>
    <x v="46"/>
    <x v="0"/>
    <s v="Quinu"/>
    <s v="4 4th Place"/>
    <x v="2"/>
    <s v="93-966-7754"/>
    <s v="78-787-7171"/>
    <x v="103"/>
    <d v="2025-01-18T00:00:00"/>
    <d v="2026-09-27T00:00:00"/>
    <n v="65"/>
    <n v="35"/>
    <n v="3"/>
    <n v="3.5"/>
    <n v="25"/>
    <n v="13"/>
    <n v="0.35"/>
    <n v="227.5"/>
    <n v="87.5"/>
    <s v="OK"/>
    <s v="Ok"/>
    <n v="499"/>
  </r>
  <r>
    <x v="39"/>
    <x v="1"/>
    <s v="Skilith"/>
    <s v="4 Browning Terrace"/>
    <x v="2"/>
    <s v="27-216-9671"/>
    <s v="40-773-7065"/>
    <x v="103"/>
    <d v="2024-04-12T00:00:00"/>
    <d v="2026-06-04T00:00:00"/>
    <n v="100"/>
    <n v="86"/>
    <n v="94"/>
    <n v="6.5"/>
    <n v="77"/>
    <n v="57"/>
    <n v="0.48"/>
    <n v="650"/>
    <n v="500.5"/>
    <s v="OK"/>
    <s v="Expiring Soon"/>
    <n v="780"/>
  </r>
  <r>
    <x v="62"/>
    <x v="4"/>
    <s v="Realbridge"/>
    <s v="46 Cardinal Way"/>
    <x v="0"/>
    <s v="44-538-3366"/>
    <s v="33-898-6242"/>
    <x v="104"/>
    <d v="2024-04-17T00:00:00"/>
    <d v="2026-03-30T00:00:00"/>
    <n v="58"/>
    <n v="77"/>
    <n v="96"/>
    <n v="18"/>
    <n v="25"/>
    <n v="17"/>
    <n v="0.26"/>
    <n v="1044"/>
    <n v="450"/>
    <s v="REORDER"/>
    <s v="Expired"/>
    <n v="775"/>
  </r>
  <r>
    <x v="112"/>
    <x v="0"/>
    <s v="Latz"/>
    <s v="0039 Shelley Place"/>
    <x v="2"/>
    <s v="34-075-0371"/>
    <s v="32-771-2617"/>
    <x v="104"/>
    <d v="2025-01-10T00:00:00"/>
    <d v="2026-12-03T00:00:00"/>
    <n v="75"/>
    <n v="10"/>
    <n v="68"/>
    <n v="3"/>
    <n v="90"/>
    <n v="42"/>
    <n v="0.32"/>
    <n v="225"/>
    <n v="270"/>
    <s v="OK"/>
    <s v="Ok"/>
    <n v="507"/>
  </r>
  <r>
    <x v="8"/>
    <x v="2"/>
    <s v="Twitterbeat"/>
    <s v="5862 Hooker Pass"/>
    <x v="2"/>
    <s v="24-972-6969"/>
    <s v="27-532-7847"/>
    <x v="104"/>
    <d v="2024-05-28T00:00:00"/>
    <d v="2026-06-13T00:00:00"/>
    <n v="69"/>
    <n v="53"/>
    <n v="32"/>
    <n v="9.1999999999999993"/>
    <n v="28"/>
    <n v="56"/>
    <n v="0.53"/>
    <n v="634.79999999999995"/>
    <n v="257.59999999999997"/>
    <s v="OK"/>
    <s v="Expiring Soon"/>
    <n v="734"/>
  </r>
  <r>
    <x v="36"/>
    <x v="6"/>
    <s v="Katz"/>
    <s v="0 Ohio Hill"/>
    <x v="1"/>
    <s v="92-455-2959"/>
    <s v="13-109-8639"/>
    <x v="104"/>
    <d v="2024-07-16T00:00:00"/>
    <d v="2026-02-25T00:00:00"/>
    <n v="59"/>
    <n v="62"/>
    <n v="57"/>
    <n v="10.3"/>
    <n v="90"/>
    <n v="94"/>
    <n v="-1"/>
    <n v="607.70000000000005"/>
    <n v="927.00000000000011"/>
    <s v="REORDER"/>
    <s v="Expired"/>
    <n v="685"/>
  </r>
  <r>
    <x v="93"/>
    <x v="5"/>
    <s v="Pixope"/>
    <s v="86 Maryland Junction"/>
    <x v="2"/>
    <s v="58-182-6781"/>
    <s v="75-328-1709"/>
    <x v="105"/>
    <d v="2024-06-29T00:00:00"/>
    <d v="2026-11-15T00:00:00"/>
    <n v="34"/>
    <n v="55"/>
    <n v="22"/>
    <n v="5"/>
    <n v="77"/>
    <n v="85"/>
    <n v="-0.04"/>
    <n v="170"/>
    <n v="385"/>
    <s v="REORDER"/>
    <s v="Ok"/>
    <n v="702"/>
  </r>
  <r>
    <x v="91"/>
    <x v="1"/>
    <s v="Omba"/>
    <s v="0087 Bluejay Plaza"/>
    <x v="1"/>
    <s v="42-134-9798"/>
    <s v="16-869-7328"/>
    <x v="105"/>
    <d v="2024-10-23T00:00:00"/>
    <d v="2026-12-30T00:00:00"/>
    <n v="19"/>
    <n v="80"/>
    <n v="87"/>
    <n v="2.2999999999999998"/>
    <n v="33"/>
    <n v="38"/>
    <n v="-0.1"/>
    <n v="43.699999999999996"/>
    <n v="75.899999999999991"/>
    <s v="REORDER"/>
    <s v="Ok"/>
    <n v="586"/>
  </r>
  <r>
    <x v="89"/>
    <x v="2"/>
    <s v="Skimia"/>
    <s v="96 American Center"/>
    <x v="1"/>
    <s v="18-278-2383"/>
    <s v="73-210-4267"/>
    <x v="106"/>
    <d v="2024-09-15T00:00:00"/>
    <d v="2026-07-02T00:00:00"/>
    <n v="97"/>
    <n v="77"/>
    <n v="13"/>
    <n v="7"/>
    <n v="43"/>
    <n v="40"/>
    <n v="-0.15"/>
    <n v="679"/>
    <n v="301"/>
    <s v="OK"/>
    <s v="Ok"/>
    <n v="624"/>
  </r>
  <r>
    <x v="82"/>
    <x v="2"/>
    <s v="Wordpedia"/>
    <s v="53 Lawn Circle"/>
    <x v="2"/>
    <s v="03-597-9488"/>
    <s v="03-983-0515"/>
    <x v="106"/>
    <d v="2024-07-11T00:00:00"/>
    <d v="2026-03-28T00:00:00"/>
    <n v="70"/>
    <n v="66"/>
    <n v="74"/>
    <n v="2.5"/>
    <n v="47"/>
    <n v="77"/>
    <n v="7.0000000000000007E-2"/>
    <n v="175"/>
    <n v="117.5"/>
    <s v="OK"/>
    <s v="Expired"/>
    <n v="690"/>
  </r>
  <r>
    <x v="71"/>
    <x v="6"/>
    <s v="Voolith"/>
    <s v="95261 Morningstar Way"/>
    <x v="1"/>
    <s v="14-681-7035"/>
    <s v="01-308-0960"/>
    <x v="107"/>
    <d v="2024-08-07T00:00:00"/>
    <d v="2026-05-18T00:00:00"/>
    <n v="36"/>
    <n v="90"/>
    <n v="57"/>
    <n v="25"/>
    <n v="35"/>
    <n v="68"/>
    <n v="-0.64"/>
    <n v="900"/>
    <n v="875"/>
    <s v="REORDER"/>
    <s v="Expired"/>
    <n v="663"/>
  </r>
  <r>
    <x v="60"/>
    <x v="1"/>
    <s v="Skidoo"/>
    <s v="8 Spaight Circle"/>
    <x v="0"/>
    <s v="01-439-6231"/>
    <s v="08-490-1714"/>
    <x v="107"/>
    <d v="2024-10-28T00:00:00"/>
    <d v="2026-12-09T00:00:00"/>
    <n v="88"/>
    <n v="100"/>
    <n v="17"/>
    <n v="2.5"/>
    <n v="25"/>
    <n v="28"/>
    <n v="-0.94"/>
    <n v="220"/>
    <n v="62.5"/>
    <s v="REORDER"/>
    <s v="Ok"/>
    <n v="581"/>
  </r>
  <r>
    <x v="12"/>
    <x v="0"/>
    <s v="Oba"/>
    <s v="72090 Northfield Place"/>
    <x v="1"/>
    <s v="25-911-7736"/>
    <s v="40-180-0752"/>
    <x v="107"/>
    <d v="2024-08-17T00:00:00"/>
    <d v="2026-08-29T00:00:00"/>
    <n v="75"/>
    <n v="48"/>
    <n v="25"/>
    <n v="3"/>
    <n v="96"/>
    <n v="65"/>
    <n v="-0.12"/>
    <n v="225"/>
    <n v="288"/>
    <s v="OK"/>
    <s v="Ok"/>
    <n v="653"/>
  </r>
  <r>
    <x v="26"/>
    <x v="6"/>
    <s v="Kwinu"/>
    <s v="90865 Sherman Court"/>
    <x v="2"/>
    <s v="36-918-2937"/>
    <s v="53-844-0478"/>
    <x v="108"/>
    <d v="2025-02-12T00:00:00"/>
    <d v="2026-11-28T00:00:00"/>
    <n v="62"/>
    <n v="89"/>
    <n v="18"/>
    <n v="12"/>
    <n v="35"/>
    <n v="36"/>
    <n v="0.32"/>
    <n v="744"/>
    <n v="420"/>
    <s v="REORDER"/>
    <s v="Ok"/>
    <n v="474"/>
  </r>
  <r>
    <x v="14"/>
    <x v="0"/>
    <s v="Meevee"/>
    <s v="85276 Lakewood Gardens Alley"/>
    <x v="1"/>
    <s v="37-666-3902"/>
    <s v="58-536-6583"/>
    <x v="108"/>
    <d v="2024-08-11T00:00:00"/>
    <d v="2026-06-12T00:00:00"/>
    <n v="19"/>
    <n v="73"/>
    <n v="60"/>
    <n v="2.4500000000000002"/>
    <n v="70"/>
    <n v="48"/>
    <n v="-0.03"/>
    <n v="46.550000000000004"/>
    <n v="171.5"/>
    <s v="REORDER"/>
    <s v="Expiring Soon"/>
    <n v="659"/>
  </r>
  <r>
    <x v="75"/>
    <x v="2"/>
    <s v="Abatz"/>
    <s v="27535 Morrow Avenue"/>
    <x v="0"/>
    <s v="27-757-4489"/>
    <s v="04-456-0715"/>
    <x v="109"/>
    <d v="2025-01-19T00:00:00"/>
    <d v="2026-07-04T00:00:00"/>
    <n v="35"/>
    <n v="78"/>
    <n v="68"/>
    <n v="2.5"/>
    <n v="95"/>
    <n v="91"/>
    <n v="0.31"/>
    <n v="87.5"/>
    <n v="237.5"/>
    <s v="REORDER"/>
    <s v="Ok"/>
    <n v="498"/>
  </r>
  <r>
    <x v="106"/>
    <x v="2"/>
    <s v="Gevee"/>
    <s v="42 Clemons Terrace"/>
    <x v="1"/>
    <s v="97-040-3822"/>
    <s v="78-459-1417"/>
    <x v="110"/>
    <d v="2024-08-23T00:00:00"/>
    <d v="2026-05-17T00:00:00"/>
    <n v="50"/>
    <n v="99"/>
    <n v="73"/>
    <n v="8"/>
    <n v="42"/>
    <n v="1"/>
    <n v="0.04"/>
    <n v="400"/>
    <n v="336"/>
    <s v="REORDER"/>
    <s v="Expired"/>
    <n v="647"/>
  </r>
  <r>
    <x v="85"/>
    <x v="4"/>
    <s v="Roombo"/>
    <s v="8531 Manley Court"/>
    <x v="0"/>
    <s v="98-445-7372"/>
    <s v="71-676-6562"/>
    <x v="110"/>
    <d v="2024-10-03T00:00:00"/>
    <d v="2026-05-30T00:00:00"/>
    <n v="65"/>
    <n v="79"/>
    <n v="52"/>
    <n v="8"/>
    <n v="56"/>
    <n v="94"/>
    <n v="0.98"/>
    <n v="520"/>
    <n v="448"/>
    <s v="REORDER"/>
    <s v="Expired"/>
    <n v="606"/>
  </r>
  <r>
    <x v="70"/>
    <x v="6"/>
    <s v="Jaloo"/>
    <s v="0920 Monica Pass"/>
    <x v="2"/>
    <s v="92-152-5820"/>
    <s v="50-747-2259"/>
    <x v="110"/>
    <d v="2024-05-01T00:00:00"/>
    <d v="2026-06-24T00:00:00"/>
    <n v="18"/>
    <n v="36"/>
    <n v="53"/>
    <n v="5.3"/>
    <n v="65"/>
    <n v="100"/>
    <n v="-0.68"/>
    <n v="95.399999999999991"/>
    <n v="344.5"/>
    <s v="REORDER"/>
    <s v="Expiring Soon"/>
    <n v="761"/>
  </r>
  <r>
    <x v="113"/>
    <x v="5"/>
    <s v="Ozu"/>
    <s v="88 Lighthouse Bay Crossing"/>
    <x v="0"/>
    <s v="24-986-5091"/>
    <s v="51-076-1164"/>
    <x v="110"/>
    <d v="2024-06-25T00:00:00"/>
    <d v="2026-08-14T00:00:00"/>
    <n v="89"/>
    <n v="22"/>
    <n v="23"/>
    <n v="5.5"/>
    <n v="83"/>
    <n v="25"/>
    <n v="-0.54"/>
    <n v="489.5"/>
    <n v="456.5"/>
    <s v="OK"/>
    <s v="Ok"/>
    <n v="706"/>
  </r>
  <r>
    <x v="69"/>
    <x v="0"/>
    <s v="Izio"/>
    <s v="81533 John Wall Court"/>
    <x v="0"/>
    <s v="22-849-2551"/>
    <s v="14-231-9135"/>
    <x v="111"/>
    <d v="2024-12-20T00:00:00"/>
    <d v="2026-09-08T00:00:00"/>
    <n v="34"/>
    <n v="1"/>
    <n v="79"/>
    <n v="6.2"/>
    <n v="58"/>
    <n v="36"/>
    <n v="0.7"/>
    <n v="210.8"/>
    <n v="359.6"/>
    <s v="OK"/>
    <s v="Ok"/>
    <n v="528"/>
  </r>
  <r>
    <x v="29"/>
    <x v="3"/>
    <s v="Feedfire"/>
    <s v="26160 Independence Alley"/>
    <x v="2"/>
    <s v="15-169-8058"/>
    <s v="14-009-8505"/>
    <x v="111"/>
    <d v="2024-09-23T00:00:00"/>
    <d v="2026-04-18T00:00:00"/>
    <n v="87"/>
    <n v="97"/>
    <n v="28"/>
    <n v="1.5"/>
    <n v="58"/>
    <n v="21"/>
    <n v="0.38"/>
    <n v="130.5"/>
    <n v="87"/>
    <s v="REORDER"/>
    <s v="Expired"/>
    <n v="616"/>
  </r>
  <r>
    <x v="91"/>
    <x v="1"/>
    <s v="Tagopia"/>
    <s v="085 Reinke Pass"/>
    <x v="1"/>
    <s v="78-953-2073"/>
    <s v="28-465-9141"/>
    <x v="111"/>
    <d v="2024-10-01T00:00:00"/>
    <d v="2027-01-04T00:00:00"/>
    <n v="53"/>
    <n v="20"/>
    <n v="75"/>
    <n v="2.2999999999999998"/>
    <n v="83"/>
    <n v="77"/>
    <n v="0.64"/>
    <n v="121.89999999999999"/>
    <n v="190.89999999999998"/>
    <s v="OK"/>
    <s v="Ok"/>
    <n v="608"/>
  </r>
  <r>
    <x v="92"/>
    <x v="3"/>
    <s v="Trilia"/>
    <s v="1959 Marcy Center"/>
    <x v="2"/>
    <s v="10-255-8579"/>
    <s v="29-112-1577"/>
    <x v="112"/>
    <d v="2024-07-24T00:00:00"/>
    <d v="2027-01-28T00:00:00"/>
    <n v="56"/>
    <n v="53"/>
    <n v="77"/>
    <n v="4.5"/>
    <n v="69"/>
    <n v="69"/>
    <n v="7.0000000000000007E-2"/>
    <n v="252"/>
    <n v="310.5"/>
    <s v="OK"/>
    <s v="Ok"/>
    <n v="677"/>
  </r>
  <r>
    <x v="86"/>
    <x v="0"/>
    <s v="Topdrive"/>
    <s v="555 Butternut Hill"/>
    <x v="0"/>
    <s v="82-948-2298"/>
    <s v="53-749-6148"/>
    <x v="112"/>
    <d v="2025-02-17T00:00:00"/>
    <d v="2026-11-21T00:00:00"/>
    <n v="38"/>
    <n v="91"/>
    <n v="94"/>
    <n v="5.7"/>
    <n v="53"/>
    <n v="87"/>
    <n v="0"/>
    <n v="216.6"/>
    <n v="302.10000000000002"/>
    <s v="REORDER"/>
    <s v="Ok"/>
    <n v="469"/>
  </r>
  <r>
    <x v="114"/>
    <x v="0"/>
    <s v="Twitterwire"/>
    <s v="561 Pennsylvania Way"/>
    <x v="2"/>
    <s v="60-747-8704"/>
    <s v="93-793-4398"/>
    <x v="112"/>
    <d v="2024-09-29T00:00:00"/>
    <d v="2026-08-22T00:00:00"/>
    <n v="97"/>
    <n v="97"/>
    <n v="71"/>
    <n v="4.5"/>
    <n v="53"/>
    <n v="31"/>
    <n v="-0.64"/>
    <n v="436.5"/>
    <n v="238.5"/>
    <s v="REORDER"/>
    <s v="Ok"/>
    <n v="610"/>
  </r>
  <r>
    <x v="47"/>
    <x v="4"/>
    <s v="Browsezoom"/>
    <s v="0258 Shoshone Center"/>
    <x v="1"/>
    <s v="40-462-2952"/>
    <s v="57-323-8059"/>
    <x v="113"/>
    <d v="2024-10-14T00:00:00"/>
    <d v="2026-11-19T00:00:00"/>
    <n v="91"/>
    <n v="68"/>
    <n v="80"/>
    <n v="11.5"/>
    <n v="81"/>
    <n v="85"/>
    <n v="0.42"/>
    <n v="1046.5"/>
    <n v="931.5"/>
    <s v="OK"/>
    <s v="Ok"/>
    <n v="595"/>
  </r>
  <r>
    <x v="68"/>
    <x v="0"/>
    <s v="Devpoint"/>
    <s v="5 Transport Pass"/>
    <x v="2"/>
    <s v="98-235-2711"/>
    <s v="23-052-4744"/>
    <x v="114"/>
    <d v="2024-12-31T00:00:00"/>
    <d v="2027-01-26T00:00:00"/>
    <n v="22"/>
    <n v="40"/>
    <n v="7"/>
    <n v="5"/>
    <n v="98"/>
    <n v="60"/>
    <n v="-0.05"/>
    <n v="110"/>
    <n v="490"/>
    <s v="REORDER"/>
    <s v="Ok"/>
    <n v="517"/>
  </r>
  <r>
    <x v="111"/>
    <x v="5"/>
    <s v="Devpoint"/>
    <s v="3 Monument Street"/>
    <x v="1"/>
    <s v="83-108-1174"/>
    <s v="56-439-3559"/>
    <x v="114"/>
    <d v="2024-03-05T00:00:00"/>
    <d v="2026-12-25T00:00:00"/>
    <n v="78"/>
    <n v="68"/>
    <n v="68"/>
    <n v="2.5"/>
    <n v="89"/>
    <n v="24"/>
    <n v="0.39"/>
    <n v="195"/>
    <n v="222.5"/>
    <s v="OK"/>
    <s v="Ok"/>
    <n v="818"/>
  </r>
  <r>
    <x v="112"/>
    <x v="0"/>
    <s v="Digitube"/>
    <s v="848 Old Gate Parkway"/>
    <x v="1"/>
    <s v="28-505-8317"/>
    <s v="61-755-4469"/>
    <x v="115"/>
    <d v="2024-07-23T00:00:00"/>
    <d v="2027-01-28T00:00:00"/>
    <n v="23"/>
    <n v="85"/>
    <n v="94"/>
    <n v="3"/>
    <n v="92"/>
    <n v="72"/>
    <n v="0.73"/>
    <n v="69"/>
    <n v="276"/>
    <s v="REORDER"/>
    <s v="Ok"/>
    <n v="678"/>
  </r>
  <r>
    <x v="68"/>
    <x v="0"/>
    <s v="Voonder"/>
    <s v="64 1st Plaza"/>
    <x v="1"/>
    <s v="31-803-5001"/>
    <s v="14-414-1945"/>
    <x v="115"/>
    <d v="2024-12-04T00:00:00"/>
    <d v="2026-06-01T00:00:00"/>
    <n v="78"/>
    <n v="16"/>
    <n v="37"/>
    <n v="4.7"/>
    <n v="25"/>
    <n v="96"/>
    <n v="0.22"/>
    <n v="366.6"/>
    <n v="117.5"/>
    <s v="OK"/>
    <s v="Expiring Soon"/>
    <n v="544"/>
  </r>
  <r>
    <x v="21"/>
    <x v="0"/>
    <s v="Einti"/>
    <s v="803 5th Alley"/>
    <x v="1"/>
    <s v="17-236-0566"/>
    <s v="32-402-9679"/>
    <x v="115"/>
    <d v="2024-03-02T00:00:00"/>
    <d v="2026-08-04T00:00:00"/>
    <n v="95"/>
    <n v="87"/>
    <n v="13"/>
    <n v="2"/>
    <n v="61"/>
    <n v="4"/>
    <n v="-2.84"/>
    <n v="190"/>
    <n v="122"/>
    <s v="OK"/>
    <s v="Ok"/>
    <n v="821"/>
  </r>
  <r>
    <x v="17"/>
    <x v="2"/>
    <s v="Shufflester"/>
    <s v="15 Loomis Avenue"/>
    <x v="2"/>
    <s v="76-090-4411"/>
    <s v="82-552-6786"/>
    <x v="116"/>
    <d v="2024-08-10T00:00:00"/>
    <d v="2026-04-16T00:00:00"/>
    <n v="49"/>
    <n v="94"/>
    <n v="18"/>
    <n v="6"/>
    <n v="38"/>
    <n v="11"/>
    <n v="0.93"/>
    <n v="294"/>
    <n v="228"/>
    <s v="REORDER"/>
    <s v="Expired"/>
    <n v="660"/>
  </r>
  <r>
    <x v="51"/>
    <x v="0"/>
    <s v="Feedspan"/>
    <s v="46758 Hallows Center"/>
    <x v="2"/>
    <s v="43-910-2342"/>
    <s v="06-569-4690"/>
    <x v="116"/>
    <d v="2024-06-08T00:00:00"/>
    <d v="2026-07-19T00:00:00"/>
    <n v="26"/>
    <n v="69"/>
    <n v="90"/>
    <n v="4"/>
    <n v="47"/>
    <n v="35"/>
    <n v="0.71"/>
    <n v="104"/>
    <n v="188"/>
    <s v="REORDER"/>
    <s v="Ok"/>
    <n v="723"/>
  </r>
  <r>
    <x v="48"/>
    <x v="0"/>
    <s v="Gabspot"/>
    <s v="49884 Brickson Park Plaza"/>
    <x v="0"/>
    <s v="05-425-0746"/>
    <s v="23-450-0301"/>
    <x v="116"/>
    <d v="2024-05-09T00:00:00"/>
    <d v="2026-06-05T00:00:00"/>
    <n v="50"/>
    <n v="68"/>
    <n v="90"/>
    <n v="2"/>
    <n v="40"/>
    <n v="13"/>
    <n v="0.26"/>
    <n v="100"/>
    <n v="80"/>
    <s v="REORDER"/>
    <s v="Expiring Soon"/>
    <n v="753"/>
  </r>
  <r>
    <x v="39"/>
    <x v="1"/>
    <s v="Jaxworks"/>
    <s v="8868 Armistice Place"/>
    <x v="1"/>
    <s v="93-815-0565"/>
    <s v="56-422-1480"/>
    <x v="116"/>
    <d v="2024-08-12T00:00:00"/>
    <d v="2026-07-01T00:00:00"/>
    <n v="50"/>
    <n v="36"/>
    <n v="96"/>
    <n v="6.5"/>
    <n v="53"/>
    <n v="73"/>
    <n v="0.68"/>
    <n v="325"/>
    <n v="344.5"/>
    <s v="OK"/>
    <s v="Ok"/>
    <n v="658"/>
  </r>
  <r>
    <x v="24"/>
    <x v="3"/>
    <s v="Yadel"/>
    <s v="7242 Claremont Avenue"/>
    <x v="0"/>
    <s v="67-270-7464"/>
    <s v="83-960-5274"/>
    <x v="117"/>
    <d v="2024-08-24T00:00:00"/>
    <d v="2026-12-07T00:00:00"/>
    <n v="91"/>
    <n v="73"/>
    <n v="77"/>
    <n v="4.75"/>
    <n v="51"/>
    <n v="49"/>
    <n v="-0.38"/>
    <n v="432.25"/>
    <n v="242.25"/>
    <s v="OK"/>
    <s v="Ok"/>
    <n v="646"/>
  </r>
  <r>
    <x v="85"/>
    <x v="4"/>
    <s v="Devbug"/>
    <s v="29992 Warrior Center"/>
    <x v="1"/>
    <s v="61-827-4098"/>
    <s v="34-850-0377"/>
    <x v="117"/>
    <d v="2024-07-15T00:00:00"/>
    <d v="2026-03-24T00:00:00"/>
    <n v="23"/>
    <n v="42"/>
    <n v="87"/>
    <n v="8"/>
    <n v="63"/>
    <n v="5"/>
    <n v="0.04"/>
    <n v="184"/>
    <n v="504"/>
    <s v="REORDER"/>
    <s v="Expired"/>
    <n v="686"/>
  </r>
  <r>
    <x v="8"/>
    <x v="2"/>
    <s v="Jaxspan"/>
    <s v="9307 Kingsford Road"/>
    <x v="0"/>
    <s v="92-291-7089"/>
    <s v="08-523-5066"/>
    <x v="117"/>
    <d v="2024-07-26T00:00:00"/>
    <d v="2026-05-06T00:00:00"/>
    <n v="76"/>
    <n v="15"/>
    <n v="99"/>
    <n v="9.5"/>
    <n v="60"/>
    <n v="49"/>
    <n v="0.92"/>
    <n v="722"/>
    <n v="570"/>
    <s v="OK"/>
    <s v="Expired"/>
    <n v="675"/>
  </r>
  <r>
    <x v="83"/>
    <x v="2"/>
    <s v="Realcube"/>
    <s v="87578 Stoughton Parkway"/>
    <x v="0"/>
    <s v="76-070-1411"/>
    <s v="63-528-0643"/>
    <x v="117"/>
    <d v="2025-02-12T00:00:00"/>
    <d v="2027-02-14T00:00:00"/>
    <n v="15"/>
    <n v="75"/>
    <n v="78"/>
    <n v="1.9"/>
    <n v="71"/>
    <n v="21"/>
    <n v="0.18"/>
    <n v="28.5"/>
    <n v="134.9"/>
    <s v="REORDER"/>
    <s v="Ok"/>
    <n v="474"/>
  </r>
  <r>
    <x v="101"/>
    <x v="4"/>
    <s v="Mycat"/>
    <s v="21 Golden Leaf Hill"/>
    <x v="2"/>
    <s v="36-330-5036"/>
    <s v="52-359-1255"/>
    <x v="117"/>
    <d v="2024-09-20T00:00:00"/>
    <d v="2026-05-17T00:00:00"/>
    <n v="79"/>
    <n v="28"/>
    <n v="4"/>
    <n v="15"/>
    <n v="42"/>
    <n v="46"/>
    <n v="0.7"/>
    <n v="1185"/>
    <n v="630"/>
    <s v="OK"/>
    <s v="Expired"/>
    <n v="619"/>
  </r>
  <r>
    <x v="34"/>
    <x v="2"/>
    <s v="Yodel"/>
    <s v="96 Brown Drive"/>
    <x v="1"/>
    <s v="02-034-6209"/>
    <s v="34-724-1913"/>
    <x v="117"/>
    <d v="2024-07-26T00:00:00"/>
    <d v="2026-10-08T00:00:00"/>
    <n v="22"/>
    <n v="43"/>
    <n v="3"/>
    <n v="4.0999999999999996"/>
    <n v="45"/>
    <n v="87"/>
    <n v="-0.1"/>
    <n v="90.199999999999989"/>
    <n v="184.49999999999997"/>
    <s v="REORDER"/>
    <s v="Ok"/>
    <n v="675"/>
  </r>
  <r>
    <x v="97"/>
    <x v="2"/>
    <s v="Midel"/>
    <s v="46 Hoffman Trail"/>
    <x v="2"/>
    <s v="49-891-4927"/>
    <s v="89-155-3471"/>
    <x v="118"/>
    <d v="2024-02-26T00:00:00"/>
    <d v="2026-11-28T00:00:00"/>
    <n v="37"/>
    <n v="5"/>
    <n v="1"/>
    <n v="5"/>
    <n v="68"/>
    <n v="99"/>
    <n v="-0.93"/>
    <n v="185"/>
    <n v="340"/>
    <s v="OK"/>
    <s v="Ok"/>
    <n v="826"/>
  </r>
  <r>
    <x v="62"/>
    <x v="4"/>
    <s v="Thoughtstorm"/>
    <s v="381 Rutledge Place"/>
    <x v="2"/>
    <s v="94-020-6982"/>
    <s v="72-649-3163"/>
    <x v="118"/>
    <d v="2024-10-05T00:00:00"/>
    <d v="2026-05-04T00:00:00"/>
    <n v="25"/>
    <n v="75"/>
    <n v="27"/>
    <n v="18"/>
    <n v="31"/>
    <n v="36"/>
    <n v="-0.46"/>
    <n v="450"/>
    <n v="558"/>
    <s v="REORDER"/>
    <s v="Expired"/>
    <n v="604"/>
  </r>
  <r>
    <x v="87"/>
    <x v="4"/>
    <s v="Eire"/>
    <s v="2 Russell Alley"/>
    <x v="2"/>
    <s v="88-807-8431"/>
    <s v="66-563-9462"/>
    <x v="118"/>
    <d v="2024-06-06T00:00:00"/>
    <d v="2027-02-09T00:00:00"/>
    <n v="11"/>
    <n v="87"/>
    <n v="43"/>
    <n v="9"/>
    <n v="86"/>
    <n v="91"/>
    <n v="-0.16"/>
    <n v="99"/>
    <n v="774"/>
    <s v="REORDER"/>
    <s v="Ok"/>
    <n v="725"/>
  </r>
  <r>
    <x v="115"/>
    <x v="2"/>
    <s v="Meembee"/>
    <s v="285 East Plaza"/>
    <x v="0"/>
    <s v="19-672-8982"/>
    <s v="50-214-3802"/>
    <x v="119"/>
    <d v="2025-01-23T00:00:00"/>
    <d v="2026-03-31T00:00:00"/>
    <n v="21"/>
    <n v="87"/>
    <n v="67"/>
    <n v="3.1"/>
    <n v="64"/>
    <n v="69"/>
    <n v="-0.06"/>
    <n v="65.100000000000009"/>
    <n v="198.4"/>
    <s v="REORDER"/>
    <s v="Expired"/>
    <n v="494"/>
  </r>
  <r>
    <x v="79"/>
    <x v="2"/>
    <s v="Skimia"/>
    <s v="59 Veith Center"/>
    <x v="1"/>
    <s v="07-389-5740"/>
    <s v="72-784-3292"/>
    <x v="119"/>
    <d v="2024-03-12T00:00:00"/>
    <d v="2026-07-17T00:00:00"/>
    <n v="34"/>
    <n v="94"/>
    <n v="69"/>
    <n v="0.8"/>
    <n v="96"/>
    <n v="30"/>
    <n v="-0.08"/>
    <n v="27.200000000000003"/>
    <n v="76.800000000000011"/>
    <s v="REORDER"/>
    <s v="Ok"/>
    <n v="811"/>
  </r>
  <r>
    <x v="75"/>
    <x v="2"/>
    <s v="Muxo"/>
    <s v="267 International Plaza"/>
    <x v="0"/>
    <s v="39-629-5554"/>
    <s v="67-679-4930"/>
    <x v="120"/>
    <d v="2024-04-09T00:00:00"/>
    <d v="2027-02-05T00:00:00"/>
    <n v="44"/>
    <n v="90"/>
    <n v="17"/>
    <n v="2.5"/>
    <n v="21"/>
    <n v="91"/>
    <n v="0.69"/>
    <n v="110"/>
    <n v="52.5"/>
    <s v="REORDER"/>
    <s v="Ok"/>
    <n v="783"/>
  </r>
  <r>
    <x v="12"/>
    <x v="0"/>
    <s v="Twitterwire"/>
    <s v="812 Shelley Circle"/>
    <x v="0"/>
    <s v="27-635-8394"/>
    <s v="87-893-6089"/>
    <x v="120"/>
    <d v="2024-11-13T00:00:00"/>
    <d v="2026-03-19T00:00:00"/>
    <n v="88"/>
    <n v="37"/>
    <n v="61"/>
    <n v="2.9"/>
    <n v="63"/>
    <n v="35"/>
    <n v="-3.33"/>
    <n v="255.2"/>
    <n v="182.7"/>
    <s v="OK"/>
    <s v="Expired"/>
    <n v="565"/>
  </r>
  <r>
    <x v="77"/>
    <x v="6"/>
    <s v="Flipbug"/>
    <s v="40643 Sullivan Lane"/>
    <x v="0"/>
    <s v="14-844-4138"/>
    <s v="90-534-2165"/>
    <x v="120"/>
    <d v="2024-10-25T00:00:00"/>
    <d v="2026-03-03T00:00:00"/>
    <n v="61"/>
    <n v="43"/>
    <n v="29"/>
    <n v="15"/>
    <n v="67"/>
    <n v="6"/>
    <n v="0.44"/>
    <n v="915"/>
    <n v="1005"/>
    <s v="OK"/>
    <s v="Expired"/>
    <n v="584"/>
  </r>
  <r>
    <x v="116"/>
    <x v="2"/>
    <s v="Ntags"/>
    <s v="00 Luster Alley"/>
    <x v="0"/>
    <s v="65-464-5070"/>
    <s v="01-517-7793"/>
    <x v="120"/>
    <d v="2024-03-16T00:00:00"/>
    <d v="2026-09-01T00:00:00"/>
    <n v="12"/>
    <n v="60"/>
    <n v="73"/>
    <n v="4"/>
    <n v="20"/>
    <n v="35"/>
    <n v="0.91"/>
    <n v="48"/>
    <n v="80"/>
    <s v="REORDER"/>
    <s v="Ok"/>
    <n v="807"/>
  </r>
  <r>
    <x v="48"/>
    <x v="0"/>
    <s v="Voolia"/>
    <s v="9171 Norway Maple Trail"/>
    <x v="2"/>
    <s v="46-911-1159"/>
    <s v="30-820-2883"/>
    <x v="120"/>
    <d v="2024-10-30T00:00:00"/>
    <d v="2026-12-19T00:00:00"/>
    <n v="98"/>
    <n v="40"/>
    <n v="100"/>
    <n v="2"/>
    <n v="46"/>
    <n v="9"/>
    <n v="-0.75"/>
    <n v="196"/>
    <n v="92"/>
    <s v="OK"/>
    <s v="Ok"/>
    <n v="579"/>
  </r>
  <r>
    <x v="20"/>
    <x v="6"/>
    <s v="Youspan"/>
    <s v="292 Charing Cross Terrace"/>
    <x v="1"/>
    <s v="35-617-3857"/>
    <s v="90-718-2724"/>
    <x v="121"/>
    <d v="2024-03-21T00:00:00"/>
    <d v="2026-03-06T00:00:00"/>
    <n v="46"/>
    <n v="31"/>
    <n v="89"/>
    <n v="20"/>
    <n v="59"/>
    <n v="65"/>
    <n v="0.8"/>
    <n v="920"/>
    <n v="1180"/>
    <s v="OK"/>
    <s v="Expired"/>
    <n v="802"/>
  </r>
  <r>
    <x v="8"/>
    <x v="2"/>
    <s v="Omba"/>
    <s v="29817 Coleman Drive"/>
    <x v="0"/>
    <s v="41-237-5498"/>
    <s v="38-643-1626"/>
    <x v="121"/>
    <d v="2024-12-24T00:00:00"/>
    <d v="2027-02-06T00:00:00"/>
    <n v="88"/>
    <n v="53"/>
    <n v="44"/>
    <n v="9"/>
    <n v="56"/>
    <n v="14"/>
    <n v="-0.1"/>
    <n v="792"/>
    <n v="504"/>
    <s v="OK"/>
    <s v="Ok"/>
    <n v="524"/>
  </r>
  <r>
    <x v="75"/>
    <x v="2"/>
    <s v="Einti"/>
    <s v="18 Troy Avenue"/>
    <x v="0"/>
    <s v="86-672-4191"/>
    <s v="79-219-8469"/>
    <x v="121"/>
    <d v="2024-09-29T00:00:00"/>
    <d v="2027-02-08T00:00:00"/>
    <n v="88"/>
    <n v="22"/>
    <n v="61"/>
    <n v="2.5"/>
    <n v="54"/>
    <n v="100"/>
    <n v="0.75"/>
    <n v="220"/>
    <n v="135"/>
    <s v="OK"/>
    <s v="Ok"/>
    <n v="610"/>
  </r>
  <r>
    <x v="25"/>
    <x v="5"/>
    <s v="Gigashots"/>
    <s v="8425 New Castle Parkway"/>
    <x v="1"/>
    <s v="10-555-5971"/>
    <s v="30-410-3509"/>
    <x v="121"/>
    <d v="2024-12-02T00:00:00"/>
    <d v="2026-09-27T00:00:00"/>
    <n v="94"/>
    <n v="56"/>
    <n v="80"/>
    <n v="4"/>
    <n v="47"/>
    <n v="96"/>
    <n v="-0.85"/>
    <n v="376"/>
    <n v="188"/>
    <s v="OK"/>
    <s v="Ok"/>
    <n v="546"/>
  </r>
  <r>
    <x v="53"/>
    <x v="3"/>
    <s v="Voonder"/>
    <s v="7 Ridge Oak Pass"/>
    <x v="2"/>
    <s v="45-050-4720"/>
    <s v="98-791-5014"/>
    <x v="121"/>
    <d v="2024-07-05T00:00:00"/>
    <d v="2026-03-13T00:00:00"/>
    <n v="18"/>
    <n v="78"/>
    <n v="43"/>
    <n v="6"/>
    <n v="85"/>
    <n v="97"/>
    <n v="-1.04"/>
    <n v="108"/>
    <n v="510"/>
    <s v="REORDER"/>
    <s v="Expired"/>
    <n v="696"/>
  </r>
  <r>
    <x v="0"/>
    <x v="0"/>
    <s v="Livetube"/>
    <s v="1666 Dayton Terrace"/>
    <x v="0"/>
    <s v="73-997-6251"/>
    <s v="17-167-4304"/>
    <x v="121"/>
    <d v="2024-10-15T00:00:00"/>
    <d v="2026-09-17T00:00:00"/>
    <n v="94"/>
    <n v="18"/>
    <n v="84"/>
    <n v="4.5"/>
    <n v="44"/>
    <n v="49"/>
    <n v="-0.14000000000000001"/>
    <n v="423"/>
    <n v="198"/>
    <s v="OK"/>
    <s v="Ok"/>
    <n v="594"/>
  </r>
  <r>
    <x v="12"/>
    <x v="0"/>
    <s v="Skipfire"/>
    <s v="757 Grasskamp Drive"/>
    <x v="0"/>
    <s v="53-446-8243"/>
    <s v="51-666-7174"/>
    <x v="122"/>
    <d v="2024-07-26T00:00:00"/>
    <d v="2026-04-23T00:00:00"/>
    <n v="41"/>
    <n v="94"/>
    <n v="4"/>
    <n v="3"/>
    <n v="88"/>
    <n v="92"/>
    <n v="-0.11"/>
    <n v="123"/>
    <n v="264"/>
    <s v="REORDER"/>
    <s v="Expired"/>
    <n v="675"/>
  </r>
  <r>
    <x v="49"/>
    <x v="2"/>
    <s v="Thoughtblab"/>
    <s v="5 Forster Point"/>
    <x v="1"/>
    <s v="12-798-9401"/>
    <s v="96-609-6152"/>
    <x v="123"/>
    <d v="2024-05-12T00:00:00"/>
    <d v="2026-05-25T00:00:00"/>
    <n v="18"/>
    <n v="14"/>
    <n v="77"/>
    <n v="2.5"/>
    <n v="78"/>
    <n v="4"/>
    <n v="-0.05"/>
    <n v="45"/>
    <n v="195"/>
    <s v="OK"/>
    <s v="Expired"/>
    <n v="750"/>
  </r>
  <r>
    <x v="94"/>
    <x v="0"/>
    <s v="BlogXS"/>
    <s v="6 Bay Road"/>
    <x v="2"/>
    <s v="93-014-4256"/>
    <s v="37-599-8579"/>
    <x v="123"/>
    <d v="2025-01-11T00:00:00"/>
    <d v="2026-10-13T00:00:00"/>
    <n v="19"/>
    <n v="92"/>
    <n v="41"/>
    <n v="2"/>
    <n v="51"/>
    <n v="79"/>
    <n v="0.95"/>
    <n v="38"/>
    <n v="102"/>
    <s v="REORDER"/>
    <s v="Ok"/>
    <n v="506"/>
  </r>
  <r>
    <x v="53"/>
    <x v="3"/>
    <s v="Blognation"/>
    <s v="75054 Ramsey Parkway"/>
    <x v="1"/>
    <s v="60-911-3745"/>
    <s v="87-570-0273"/>
    <x v="123"/>
    <d v="2024-08-31T00:00:00"/>
    <d v="2027-01-18T00:00:00"/>
    <n v="98"/>
    <n v="41"/>
    <n v="98"/>
    <n v="6.35"/>
    <n v="70"/>
    <n v="75"/>
    <n v="-0.55000000000000004"/>
    <n v="622.29999999999995"/>
    <n v="444.5"/>
    <s v="OK"/>
    <s v="Ok"/>
    <n v="639"/>
  </r>
  <r>
    <x v="84"/>
    <x v="3"/>
    <s v="Skidoo"/>
    <s v="42 Mandrake Alley"/>
    <x v="2"/>
    <s v="53-146-9979"/>
    <s v="44-388-2451"/>
    <x v="124"/>
    <d v="2024-10-11T00:00:00"/>
    <d v="2026-08-08T00:00:00"/>
    <n v="21"/>
    <n v="15"/>
    <n v="27"/>
    <n v="2.5"/>
    <n v="37"/>
    <n v="41"/>
    <n v="-7.0000000000000007E-2"/>
    <n v="52.5"/>
    <n v="92.5"/>
    <s v="OK"/>
    <s v="Ok"/>
    <n v="598"/>
  </r>
  <r>
    <x v="109"/>
    <x v="5"/>
    <s v="InnoZ"/>
    <s v="65 Forster Way"/>
    <x v="2"/>
    <s v="65-780-5622"/>
    <s v="69-460-9770"/>
    <x v="124"/>
    <d v="2024-05-02T00:00:00"/>
    <d v="2026-05-27T00:00:00"/>
    <n v="74"/>
    <n v="81"/>
    <n v="41"/>
    <n v="6"/>
    <n v="51"/>
    <n v="67"/>
    <n v="-0.11"/>
    <n v="444"/>
    <n v="306"/>
    <s v="REORDER"/>
    <s v="Expired"/>
    <n v="760"/>
  </r>
  <r>
    <x v="72"/>
    <x v="3"/>
    <s v="Centidel"/>
    <s v="80930 Briar Crest Point"/>
    <x v="1"/>
    <s v="29-896-7926"/>
    <s v="86-400-4155"/>
    <x v="125"/>
    <d v="2024-06-01T00:00:00"/>
    <d v="2026-05-06T00:00:00"/>
    <n v="20"/>
    <n v="20"/>
    <n v="56"/>
    <n v="1.8"/>
    <n v="62"/>
    <n v="69"/>
    <n v="-0.31"/>
    <n v="36"/>
    <n v="111.60000000000001"/>
    <s v="REORDER"/>
    <s v="Expired"/>
    <n v="730"/>
  </r>
  <r>
    <x v="69"/>
    <x v="0"/>
    <s v="Twitterbeat"/>
    <s v="615 Mayer Drive"/>
    <x v="1"/>
    <s v="67-027-7269"/>
    <s v="50-050-5707"/>
    <x v="125"/>
    <d v="2024-11-30T00:00:00"/>
    <d v="2026-11-09T00:00:00"/>
    <n v="35"/>
    <n v="19"/>
    <n v="30"/>
    <n v="6.5"/>
    <n v="88"/>
    <n v="6"/>
    <n v="-0.11"/>
    <n v="227.5"/>
    <n v="572"/>
    <s v="OK"/>
    <s v="Ok"/>
    <n v="548"/>
  </r>
  <r>
    <x v="114"/>
    <x v="0"/>
    <s v="Brightbean"/>
    <s v="59449 Sherman Parkway"/>
    <x v="1"/>
    <s v="25-353-2067"/>
    <s v="01-210-3485"/>
    <x v="125"/>
    <d v="2024-08-04T00:00:00"/>
    <d v="2026-07-25T00:00:00"/>
    <n v="81"/>
    <n v="16"/>
    <n v="69"/>
    <n v="4.3"/>
    <n v="23"/>
    <n v="96"/>
    <n v="0.93"/>
    <n v="348.3"/>
    <n v="98.899999999999991"/>
    <s v="OK"/>
    <s v="Ok"/>
    <n v="666"/>
  </r>
  <r>
    <x v="116"/>
    <x v="2"/>
    <s v="Yodo"/>
    <s v="8682 Golf Course Junction"/>
    <x v="0"/>
    <s v="72-341-1154"/>
    <s v="84-090-6472"/>
    <x v="125"/>
    <d v="2024-10-31T00:00:00"/>
    <d v="2026-09-09T00:00:00"/>
    <n v="85"/>
    <n v="66"/>
    <n v="85"/>
    <n v="4.2"/>
    <n v="65"/>
    <n v="58"/>
    <n v="-3.17"/>
    <n v="357"/>
    <n v="273"/>
    <s v="OK"/>
    <s v="Ok"/>
    <n v="578"/>
  </r>
  <r>
    <x v="70"/>
    <x v="6"/>
    <s v="Zoombeat"/>
    <s v="22555 Macpherson Plaza"/>
    <x v="2"/>
    <s v="16-187-5729"/>
    <s v="79-366-7207"/>
    <x v="125"/>
    <d v="2024-03-21T00:00:00"/>
    <d v="2026-03-30T00:00:00"/>
    <n v="45"/>
    <n v="58"/>
    <n v="84"/>
    <n v="5"/>
    <n v="90"/>
    <n v="67"/>
    <n v="0.11"/>
    <n v="225"/>
    <n v="450"/>
    <s v="REORDER"/>
    <s v="Expired"/>
    <n v="802"/>
  </r>
  <r>
    <x v="86"/>
    <x v="0"/>
    <s v="Talane"/>
    <s v="71 Bultman Drive"/>
    <x v="0"/>
    <s v="49-311-3063"/>
    <s v="15-947-9718"/>
    <x v="126"/>
    <d v="2024-10-03T00:00:00"/>
    <d v="2026-07-03T00:00:00"/>
    <n v="47"/>
    <n v="75"/>
    <n v="53"/>
    <n v="6"/>
    <n v="70"/>
    <n v="20"/>
    <n v="0.26"/>
    <n v="282"/>
    <n v="420"/>
    <s v="REORDER"/>
    <s v="Ok"/>
    <n v="606"/>
  </r>
  <r>
    <x v="109"/>
    <x v="5"/>
    <s v="Ooba"/>
    <s v="32 6th Lane"/>
    <x v="0"/>
    <s v="98-652-9569"/>
    <s v="65-160-1426"/>
    <x v="126"/>
    <d v="2025-02-17T00:00:00"/>
    <d v="2026-06-23T00:00:00"/>
    <n v="12"/>
    <n v="7"/>
    <n v="23"/>
    <n v="6"/>
    <n v="72"/>
    <n v="16"/>
    <n v="0.71"/>
    <n v="72"/>
    <n v="432"/>
    <s v="OK"/>
    <s v="Expiring Soon"/>
    <n v="469"/>
  </r>
  <r>
    <x v="71"/>
    <x v="6"/>
    <s v="Chatterbridge"/>
    <s v="04 Mesta Parkway"/>
    <x v="2"/>
    <s v="78-689-8958"/>
    <s v="52-744-6162"/>
    <x v="127"/>
    <d v="2024-02-27T00:00:00"/>
    <d v="2026-03-29T00:00:00"/>
    <n v="20"/>
    <n v="43"/>
    <n v="43"/>
    <n v="25"/>
    <n v="73"/>
    <n v="6"/>
    <n v="0.78"/>
    <n v="500"/>
    <n v="1825"/>
    <s v="REORDER"/>
    <s v="Expired"/>
    <n v="825"/>
  </r>
  <r>
    <x v="117"/>
    <x v="0"/>
    <s v="Flipbug"/>
    <s v="88678 Bayside Park"/>
    <x v="1"/>
    <s v="66-378-7532"/>
    <s v="15-365-5585"/>
    <x v="127"/>
    <d v="2024-06-05T00:00:00"/>
    <d v="2026-05-06T00:00:00"/>
    <n v="87"/>
    <n v="51"/>
    <n v="67"/>
    <n v="10"/>
    <n v="55"/>
    <n v="100"/>
    <n v="0.92"/>
    <n v="870"/>
    <n v="550"/>
    <s v="OK"/>
    <s v="Expired"/>
    <n v="726"/>
  </r>
  <r>
    <x v="37"/>
    <x v="5"/>
    <s v="Yakitri"/>
    <s v="40 Cody Pass"/>
    <x v="1"/>
    <s v="14-115-8371"/>
    <s v="80-833-3051"/>
    <x v="127"/>
    <d v="2024-09-19T00:00:00"/>
    <d v="2026-09-01T00:00:00"/>
    <n v="23"/>
    <n v="76"/>
    <n v="70"/>
    <n v="5"/>
    <n v="97"/>
    <n v="38"/>
    <n v="-0.82"/>
    <n v="115"/>
    <n v="485"/>
    <s v="REORDER"/>
    <s v="Ok"/>
    <n v="620"/>
  </r>
  <r>
    <x v="12"/>
    <x v="0"/>
    <s v="Demimbu"/>
    <s v="77 Prairie Rose Park"/>
    <x v="1"/>
    <s v="76-540-6407"/>
    <s v="78-644-5877"/>
    <x v="128"/>
    <d v="2025-01-17T00:00:00"/>
    <d v="2026-12-13T00:00:00"/>
    <n v="92"/>
    <n v="54"/>
    <n v="73"/>
    <n v="3.1"/>
    <n v="79"/>
    <n v="1"/>
    <n v="0.61"/>
    <n v="285.2"/>
    <n v="244.9"/>
    <s v="OK"/>
    <s v="Ok"/>
    <n v="500"/>
  </r>
  <r>
    <x v="110"/>
    <x v="2"/>
    <s v="Topiclounge"/>
    <s v="20 Marcy Circle"/>
    <x v="2"/>
    <s v="81-573-0943"/>
    <s v="07-754-2313"/>
    <x v="128"/>
    <d v="2024-06-28T00:00:00"/>
    <d v="2026-11-14T00:00:00"/>
    <n v="22"/>
    <n v="58"/>
    <n v="2"/>
    <n v="0.2"/>
    <n v="33"/>
    <n v="68"/>
    <n v="0.99"/>
    <n v="4.4000000000000004"/>
    <n v="6.6000000000000005"/>
    <s v="REORDER"/>
    <s v="Ok"/>
    <n v="703"/>
  </r>
  <r>
    <x v="24"/>
    <x v="3"/>
    <s v="Eimbee"/>
    <s v="56 Bonner Point"/>
    <x v="1"/>
    <s v="68-732-5919"/>
    <s v="07-500-2023"/>
    <x v="128"/>
    <d v="2024-10-29T00:00:00"/>
    <d v="2026-05-17T00:00:00"/>
    <n v="26"/>
    <n v="83"/>
    <n v="24"/>
    <n v="4.75"/>
    <n v="75"/>
    <n v="12"/>
    <n v="-1.06"/>
    <n v="123.5"/>
    <n v="356.25"/>
    <s v="REORDER"/>
    <s v="Expired"/>
    <n v="580"/>
  </r>
  <r>
    <x v="66"/>
    <x v="0"/>
    <s v="Meeveo"/>
    <s v="3 Hagan Drive"/>
    <x v="0"/>
    <s v="68-734-1585"/>
    <s v="54-537-5633"/>
    <x v="129"/>
    <d v="2024-04-16T00:00:00"/>
    <d v="2026-07-13T00:00:00"/>
    <n v="62"/>
    <n v="44"/>
    <n v="11"/>
    <n v="51.17"/>
    <n v="92"/>
    <n v="37"/>
    <n v="0.84"/>
    <n v="3172.54"/>
    <n v="4707.6400000000003"/>
    <s v="OK"/>
    <s v="Ok"/>
    <n v="776"/>
  </r>
  <r>
    <x v="29"/>
    <x v="3"/>
    <s v="Realblab"/>
    <s v="39102 Division Trail"/>
    <x v="1"/>
    <s v="93-342-8794"/>
    <s v="93-688-1260"/>
    <x v="129"/>
    <d v="2024-12-07T00:00:00"/>
    <d v="2026-11-22T00:00:00"/>
    <n v="84"/>
    <n v="91"/>
    <n v="86"/>
    <n v="1.5"/>
    <n v="83"/>
    <n v="95"/>
    <n v="0.6"/>
    <n v="126"/>
    <n v="124.5"/>
    <s v="REORDER"/>
    <s v="Ok"/>
    <n v="541"/>
  </r>
  <r>
    <x v="55"/>
    <x v="0"/>
    <s v="Browsetype"/>
    <s v="72778 Loftsgordon Center"/>
    <x v="1"/>
    <s v="42-175-1648"/>
    <s v="67-272-8844"/>
    <x v="129"/>
    <d v="2025-01-25T00:00:00"/>
    <d v="2026-09-09T00:00:00"/>
    <n v="81"/>
    <n v="87"/>
    <n v="15"/>
    <n v="6"/>
    <n v="94"/>
    <n v="10"/>
    <n v="-0.14000000000000001"/>
    <n v="486"/>
    <n v="564"/>
    <s v="REORDER"/>
    <s v="Ok"/>
    <n v="492"/>
  </r>
  <r>
    <x v="87"/>
    <x v="4"/>
    <s v="Devshare"/>
    <s v="21530 Prentice Place"/>
    <x v="2"/>
    <s v="46-083-7058"/>
    <s v="26-730-0925"/>
    <x v="129"/>
    <d v="2024-08-27T00:00:00"/>
    <d v="2026-06-09T00:00:00"/>
    <n v="61"/>
    <n v="91"/>
    <n v="40"/>
    <n v="9"/>
    <n v="34"/>
    <n v="76"/>
    <n v="0.89"/>
    <n v="549"/>
    <n v="306"/>
    <s v="REORDER"/>
    <s v="Expiring Soon"/>
    <n v="643"/>
  </r>
  <r>
    <x v="10"/>
    <x v="2"/>
    <s v="LiveZ"/>
    <s v="54 Weeping Birch Lane"/>
    <x v="1"/>
    <s v="66-716-8221"/>
    <s v="67-024-9832"/>
    <x v="130"/>
    <d v="2024-06-24T00:00:00"/>
    <d v="2027-01-17T00:00:00"/>
    <n v="70"/>
    <n v="96"/>
    <n v="35"/>
    <n v="9"/>
    <n v="63"/>
    <n v="84"/>
    <n v="-1.24"/>
    <n v="630"/>
    <n v="567"/>
    <s v="REORDER"/>
    <s v="Ok"/>
    <n v="707"/>
  </r>
  <r>
    <x v="17"/>
    <x v="2"/>
    <s v="Janyx"/>
    <s v="2003 Delladonna Pass"/>
    <x v="0"/>
    <s v="12-714-5135"/>
    <s v="97-055-2756"/>
    <x v="131"/>
    <d v="2025-01-14T00:00:00"/>
    <d v="2026-04-25T00:00:00"/>
    <n v="49"/>
    <n v="28"/>
    <n v="74"/>
    <n v="6"/>
    <n v="70"/>
    <n v="38"/>
    <n v="-0.33"/>
    <n v="294"/>
    <n v="420"/>
    <s v="OK"/>
    <s v="Expired"/>
    <n v="503"/>
  </r>
  <r>
    <x v="26"/>
    <x v="6"/>
    <s v="Linklinks"/>
    <s v="581 Oneill Crossing"/>
    <x v="2"/>
    <s v="35-031-1497"/>
    <s v="84-835-1656"/>
    <x v="131"/>
    <d v="2024-07-04T00:00:00"/>
    <d v="2026-11-02T00:00:00"/>
    <n v="20"/>
    <n v="68"/>
    <n v="20"/>
    <n v="12"/>
    <n v="38"/>
    <n v="51"/>
    <n v="0.46"/>
    <n v="240"/>
    <n v="456"/>
    <s v="REORDER"/>
    <s v="Ok"/>
    <n v="697"/>
  </r>
  <r>
    <x v="24"/>
    <x v="3"/>
    <s v="Linktype"/>
    <s v="8182 Hazelcrest Place"/>
    <x v="2"/>
    <s v="54-708-7327"/>
    <s v="46-316-6919"/>
    <x v="131"/>
    <d v="2024-03-28T00:00:00"/>
    <d v="2026-04-15T00:00:00"/>
    <n v="50"/>
    <n v="14"/>
    <n v="99"/>
    <n v="4.75"/>
    <n v="52"/>
    <n v="75"/>
    <n v="-0.34"/>
    <n v="237.5"/>
    <n v="247"/>
    <s v="OK"/>
    <s v="Expired"/>
    <n v="795"/>
  </r>
  <r>
    <x v="108"/>
    <x v="0"/>
    <s v="Skibox"/>
    <s v="7944 Elgar Alley"/>
    <x v="1"/>
    <s v="63-897-8088"/>
    <s v="82-313-4469"/>
    <x v="131"/>
    <d v="2024-06-07T00:00:00"/>
    <d v="2026-10-16T00:00:00"/>
    <n v="63"/>
    <n v="56"/>
    <n v="33"/>
    <n v="2.5"/>
    <n v="35"/>
    <n v="16"/>
    <n v="-0.44"/>
    <n v="157.5"/>
    <n v="87.5"/>
    <s v="OK"/>
    <s v="Ok"/>
    <n v="724"/>
  </r>
  <r>
    <x v="94"/>
    <x v="0"/>
    <s v="Kanoodle"/>
    <s v="1615 Bellgrove Crossing"/>
    <x v="2"/>
    <s v="79-494-2472"/>
    <s v="04-391-8892"/>
    <x v="131"/>
    <d v="2024-04-19T00:00:00"/>
    <d v="2026-04-23T00:00:00"/>
    <n v="42"/>
    <n v="48"/>
    <n v="18"/>
    <n v="2"/>
    <n v="39"/>
    <n v="57"/>
    <n v="0.54"/>
    <n v="84"/>
    <n v="78"/>
    <s v="REORDER"/>
    <s v="Expired"/>
    <n v="773"/>
  </r>
  <r>
    <x v="59"/>
    <x v="0"/>
    <s v="Jabbersphere"/>
    <s v="95 Garrison Plaza"/>
    <x v="1"/>
    <s v="15-679-3935"/>
    <s v="35-906-1010"/>
    <x v="132"/>
    <d v="2024-06-15T00:00:00"/>
    <d v="2027-02-20T00:00:00"/>
    <n v="22"/>
    <n v="69"/>
    <n v="87"/>
    <n v="5.5"/>
    <n v="34"/>
    <n v="26"/>
    <n v="-0.46"/>
    <n v="121"/>
    <n v="187"/>
    <s v="REORDER"/>
    <s v="Ok"/>
    <n v="716"/>
  </r>
  <r>
    <x v="114"/>
    <x v="0"/>
    <s v="Ntag"/>
    <s v="227 Tennyson Plaza"/>
    <x v="0"/>
    <s v="31-608-1445"/>
    <s v="75-286-4153"/>
    <x v="132"/>
    <d v="2025-02-15T00:00:00"/>
    <d v="2026-12-14T00:00:00"/>
    <n v="84"/>
    <n v="28"/>
    <n v="29"/>
    <n v="4.4000000000000004"/>
    <n v="54"/>
    <n v="32"/>
    <n v="0.24"/>
    <n v="369.6"/>
    <n v="237.60000000000002"/>
    <s v="OK"/>
    <s v="Ok"/>
    <n v="471"/>
  </r>
  <r>
    <x v="79"/>
    <x v="2"/>
    <s v="Meejo"/>
    <s v="75 High Crossing Junction"/>
    <x v="0"/>
    <s v="70-206-4860"/>
    <s v="82-527-9395"/>
    <x v="132"/>
    <d v="2024-03-11T00:00:00"/>
    <d v="2026-09-17T00:00:00"/>
    <n v="93"/>
    <n v="68"/>
    <n v="71"/>
    <n v="0.8"/>
    <n v="30"/>
    <n v="37"/>
    <n v="0.41"/>
    <n v="74.400000000000006"/>
    <n v="24"/>
    <s v="OK"/>
    <s v="Ok"/>
    <n v="812"/>
  </r>
  <r>
    <x v="98"/>
    <x v="5"/>
    <s v="Topicshots"/>
    <s v="894 Kingsford Road"/>
    <x v="1"/>
    <s v="30-832-5429"/>
    <s v="41-800-2842"/>
    <x v="133"/>
    <d v="2024-10-05T00:00:00"/>
    <d v="2026-09-17T00:00:00"/>
    <n v="46"/>
    <n v="43"/>
    <n v="46"/>
    <n v="3.5"/>
    <n v="68"/>
    <n v="59"/>
    <n v="-0.23"/>
    <n v="161"/>
    <n v="238"/>
    <s v="OK"/>
    <s v="Ok"/>
    <n v="604"/>
  </r>
  <r>
    <x v="117"/>
    <x v="0"/>
    <s v="DabZ"/>
    <s v="8 Dakota Avenue"/>
    <x v="2"/>
    <s v="01-173-0029"/>
    <s v="18-880-7910"/>
    <x v="133"/>
    <d v="2024-07-05T00:00:00"/>
    <d v="2026-04-12T00:00:00"/>
    <n v="42"/>
    <n v="4"/>
    <n v="53"/>
    <n v="10"/>
    <n v="37"/>
    <n v="53"/>
    <n v="0.13"/>
    <n v="420"/>
    <n v="370"/>
    <s v="OK"/>
    <s v="Expired"/>
    <n v="696"/>
  </r>
  <r>
    <x v="35"/>
    <x v="5"/>
    <s v="Quire"/>
    <s v="31208 Westerfield Way"/>
    <x v="2"/>
    <s v="65-235-7676"/>
    <s v="22-083-3504"/>
    <x v="133"/>
    <d v="2024-08-01T00:00:00"/>
    <d v="2026-06-03T00:00:00"/>
    <n v="91"/>
    <n v="71"/>
    <n v="17"/>
    <n v="3.5"/>
    <n v="74"/>
    <n v="57"/>
    <n v="-0.43"/>
    <n v="318.5"/>
    <n v="259"/>
    <s v="OK"/>
    <s v="Expiring Soon"/>
    <n v="669"/>
  </r>
  <r>
    <x v="118"/>
    <x v="2"/>
    <s v="Devpoint"/>
    <s v="4 Warbler Center"/>
    <x v="0"/>
    <s v="79-400-6216"/>
    <s v="83-361-7509"/>
    <x v="134"/>
    <d v="2024-03-10T00:00:00"/>
    <d v="2026-10-02T00:00:00"/>
    <n v="16"/>
    <n v="56"/>
    <n v="13"/>
    <n v="7.2"/>
    <n v="56"/>
    <n v="28"/>
    <n v="0.23"/>
    <n v="115.2"/>
    <n v="403.2"/>
    <s v="REORDER"/>
    <s v="Ok"/>
    <n v="813"/>
  </r>
  <r>
    <x v="17"/>
    <x v="2"/>
    <s v="Thoughtblab"/>
    <s v="05 Canary Circle"/>
    <x v="1"/>
    <s v="35-836-6718"/>
    <s v="27-838-4345"/>
    <x v="134"/>
    <d v="2025-01-25T00:00:00"/>
    <d v="2027-01-22T00:00:00"/>
    <n v="91"/>
    <n v="14"/>
    <n v="99"/>
    <n v="6"/>
    <n v="50"/>
    <n v="5"/>
    <n v="0.5"/>
    <n v="546"/>
    <n v="300"/>
    <s v="OK"/>
    <s v="Ok"/>
    <n v="492"/>
  </r>
  <r>
    <x v="55"/>
    <x v="0"/>
    <s v="Meevee"/>
    <s v="03 Little Fleur Pass"/>
    <x v="1"/>
    <s v="08-573-9997"/>
    <s v="95-734-4024"/>
    <x v="134"/>
    <d v="2024-04-05T00:00:00"/>
    <d v="2026-12-02T00:00:00"/>
    <n v="26"/>
    <n v="1"/>
    <n v="9"/>
    <n v="6"/>
    <n v="82"/>
    <n v="8"/>
    <n v="0.9"/>
    <n v="156"/>
    <n v="492"/>
    <s v="OK"/>
    <s v="Ok"/>
    <n v="787"/>
  </r>
  <r>
    <x v="86"/>
    <x v="0"/>
    <s v="Vitz"/>
    <s v="50880 Nobel Road"/>
    <x v="0"/>
    <s v="66-854-5736"/>
    <s v="98-591-1051"/>
    <x v="135"/>
    <d v="2024-12-23T00:00:00"/>
    <d v="2026-05-10T00:00:00"/>
    <n v="63"/>
    <n v="57"/>
    <n v="11"/>
    <n v="5.8"/>
    <n v="20"/>
    <n v="100"/>
    <n v="0.9"/>
    <n v="365.4"/>
    <n v="116"/>
    <s v="OK"/>
    <s v="Expired"/>
    <n v="525"/>
  </r>
  <r>
    <x v="75"/>
    <x v="2"/>
    <s v="Gigashots"/>
    <s v="288 Fair Oaks Place"/>
    <x v="1"/>
    <s v="85-835-3445"/>
    <s v="13-433-4930"/>
    <x v="135"/>
    <d v="2024-03-02T00:00:00"/>
    <d v="2026-05-12T00:00:00"/>
    <n v="50"/>
    <n v="93"/>
    <n v="37"/>
    <n v="2.4500000000000002"/>
    <n v="78"/>
    <n v="79"/>
    <n v="-4"/>
    <n v="122.50000000000001"/>
    <n v="191.10000000000002"/>
    <s v="REORDER"/>
    <s v="Expired"/>
    <n v="821"/>
  </r>
  <r>
    <x v="98"/>
    <x v="5"/>
    <s v="Katz"/>
    <s v="4 Orin Lane"/>
    <x v="1"/>
    <s v="10-768-2443"/>
    <s v="44-451-2764"/>
    <x v="136"/>
    <d v="2024-03-05T00:00:00"/>
    <d v="2026-12-19T00:00:00"/>
    <n v="93"/>
    <n v="55"/>
    <n v="95"/>
    <n v="3.25"/>
    <n v="56"/>
    <n v="72"/>
    <n v="-0.01"/>
    <n v="302.25"/>
    <n v="182"/>
    <s v="OK"/>
    <s v="Ok"/>
    <n v="818"/>
  </r>
  <r>
    <x v="40"/>
    <x v="0"/>
    <s v="Quamba"/>
    <s v="7698 Logan Drive"/>
    <x v="2"/>
    <s v="19-112-1616"/>
    <s v="55-251-3001"/>
    <x v="137"/>
    <d v="2024-04-12T00:00:00"/>
    <d v="2026-06-28T00:00:00"/>
    <n v="88"/>
    <n v="56"/>
    <n v="72"/>
    <n v="2"/>
    <n v="25"/>
    <n v="36"/>
    <n v="-0.28999999999999998"/>
    <n v="176"/>
    <n v="50"/>
    <s v="OK"/>
    <s v="Expiring Soon"/>
    <n v="780"/>
  </r>
  <r>
    <x v="59"/>
    <x v="0"/>
    <s v="Centizu"/>
    <s v="4346 Columbus Way"/>
    <x v="1"/>
    <s v="89-388-3239"/>
    <s v="28-521-7083"/>
    <x v="138"/>
    <d v="2024-05-24T00:00:00"/>
    <d v="2026-04-19T00:00:00"/>
    <n v="54"/>
    <n v="88"/>
    <n v="43"/>
    <n v="5.5"/>
    <n v="81"/>
    <n v="77"/>
    <n v="-0.44"/>
    <n v="297"/>
    <n v="445.5"/>
    <s v="REORDER"/>
    <s v="Expired"/>
    <n v="738"/>
  </r>
  <r>
    <x v="9"/>
    <x v="2"/>
    <s v="Bubblemix"/>
    <s v="09264 Forest Dale Drive"/>
    <x v="0"/>
    <s v="22-760-4605"/>
    <s v="01-495-9336"/>
    <x v="138"/>
    <d v="2024-07-07T00:00:00"/>
    <d v="2026-08-03T00:00:00"/>
    <n v="86"/>
    <n v="20"/>
    <n v="67"/>
    <n v="1.75"/>
    <n v="83"/>
    <n v="82"/>
    <n v="0.05"/>
    <n v="150.5"/>
    <n v="145.25"/>
    <s v="OK"/>
    <s v="Ok"/>
    <n v="694"/>
  </r>
  <r>
    <x v="14"/>
    <x v="0"/>
    <s v="Realpoint"/>
    <s v="843 Pepper Wood Hill"/>
    <x v="0"/>
    <s v="38-664-2155"/>
    <s v="10-540-5841"/>
    <x v="139"/>
    <d v="2024-04-12T00:00:00"/>
    <d v="2026-05-30T00:00:00"/>
    <n v="48"/>
    <n v="27"/>
    <n v="73"/>
    <n v="2.5499999999999998"/>
    <n v="52"/>
    <n v="97"/>
    <n v="0.01"/>
    <n v="122.39999999999999"/>
    <n v="132.6"/>
    <s v="OK"/>
    <s v="Expired"/>
    <n v="780"/>
  </r>
  <r>
    <x v="39"/>
    <x v="1"/>
    <s v="Tazz"/>
    <s v="60 Dottie Hill"/>
    <x v="2"/>
    <s v="89-713-6071"/>
    <s v="84-123-7159"/>
    <x v="139"/>
    <d v="2024-11-19T00:00:00"/>
    <d v="2026-11-25T00:00:00"/>
    <n v="89"/>
    <n v="66"/>
    <n v="28"/>
    <n v="6.5"/>
    <n v="39"/>
    <n v="25"/>
    <n v="-0.87"/>
    <n v="578.5"/>
    <n v="253.5"/>
    <s v="OK"/>
    <s v="Ok"/>
    <n v="559"/>
  </r>
  <r>
    <x v="29"/>
    <x v="3"/>
    <s v="Bubblebox"/>
    <s v="844 Schurz Point"/>
    <x v="0"/>
    <s v="56-191-6497"/>
    <s v="65-395-5947"/>
    <x v="140"/>
    <d v="2024-10-04T00:00:00"/>
    <d v="2027-01-07T00:00:00"/>
    <n v="97"/>
    <n v="41"/>
    <n v="68"/>
    <n v="1.5"/>
    <n v="35"/>
    <n v="16"/>
    <n v="0.36"/>
    <n v="145.5"/>
    <n v="52.5"/>
    <s v="OK"/>
    <s v="Ok"/>
    <n v="605"/>
  </r>
  <r>
    <x v="87"/>
    <x v="4"/>
    <s v="Feedfish"/>
    <s v="234 Eagle Crest Avenue"/>
    <x v="2"/>
    <s v="27-389-3529"/>
    <s v="73-201-2803"/>
    <x v="140"/>
    <d v="2024-04-23T00:00:00"/>
    <d v="2026-03-09T00:00:00"/>
    <n v="84"/>
    <n v="8"/>
    <n v="54"/>
    <n v="9"/>
    <n v="60"/>
    <n v="38"/>
    <n v="0.54"/>
    <n v="756"/>
    <n v="540"/>
    <s v="OK"/>
    <s v="Expired"/>
    <n v="769"/>
  </r>
  <r>
    <x v="91"/>
    <x v="1"/>
    <s v="Kimia"/>
    <s v="17640 Cottonwood Place"/>
    <x v="1"/>
    <s v="11-604-6002"/>
    <s v="50-862-4552"/>
    <x v="140"/>
    <d v="2024-06-18T00:00:00"/>
    <d v="2026-05-29T00:00:00"/>
    <n v="69"/>
    <n v="17"/>
    <n v="27"/>
    <n v="2.2999999999999998"/>
    <n v="79"/>
    <n v="75"/>
    <n v="0.37"/>
    <n v="158.69999999999999"/>
    <n v="181.7"/>
    <s v="OK"/>
    <s v="Expired"/>
    <n v="713"/>
  </r>
  <r>
    <x v="68"/>
    <x v="0"/>
    <s v="Buzzbean"/>
    <s v="49770 Hoffman Court"/>
    <x v="0"/>
    <s v="20-448-2972"/>
    <s v="26-920-6626"/>
    <x v="140"/>
    <d v="2025-01-20T00:00:00"/>
    <d v="2026-09-16T00:00:00"/>
    <n v="80"/>
    <n v="6"/>
    <n v="92"/>
    <n v="5"/>
    <n v="26"/>
    <n v="71"/>
    <n v="0.05"/>
    <n v="400"/>
    <n v="130"/>
    <s v="OK"/>
    <s v="Ok"/>
    <n v="497"/>
  </r>
  <r>
    <x v="40"/>
    <x v="0"/>
    <s v="Gigabox"/>
    <s v="03 Ryan Circle"/>
    <x v="1"/>
    <s v="77-959-1018"/>
    <s v="00-912-3545"/>
    <x v="141"/>
    <d v="2024-04-30T00:00:00"/>
    <d v="2026-06-12T00:00:00"/>
    <n v="22"/>
    <n v="22"/>
    <n v="65"/>
    <n v="2"/>
    <n v="62"/>
    <n v="78"/>
    <n v="-1.73"/>
    <n v="44"/>
    <n v="124"/>
    <s v="REORDER"/>
    <s v="Expiring Soon"/>
    <n v="762"/>
  </r>
  <r>
    <x v="30"/>
    <x v="0"/>
    <s v="Yabox"/>
    <s v="98 Melody Street"/>
    <x v="0"/>
    <s v="69-895-3397"/>
    <s v="02-575-2074"/>
    <x v="142"/>
    <d v="2025-01-16T00:00:00"/>
    <d v="2026-03-04T00:00:00"/>
    <n v="28"/>
    <n v="5"/>
    <n v="9"/>
    <n v="1.8"/>
    <n v="33"/>
    <n v="9"/>
    <n v="-0.26"/>
    <n v="50.4"/>
    <n v="59.4"/>
    <s v="OK"/>
    <s v="Expired"/>
    <n v="501"/>
  </r>
  <r>
    <x v="117"/>
    <x v="0"/>
    <s v="Linklinks"/>
    <s v="57150 Del Sol Alley"/>
    <x v="2"/>
    <s v="32-933-0329"/>
    <s v="86-760-5412"/>
    <x v="143"/>
    <d v="2024-07-14T00:00:00"/>
    <d v="2026-04-15T00:00:00"/>
    <n v="23"/>
    <n v="38"/>
    <n v="54"/>
    <n v="10"/>
    <n v="40"/>
    <n v="15"/>
    <n v="0.73"/>
    <n v="230"/>
    <n v="400"/>
    <s v="REORDER"/>
    <s v="Expired"/>
    <n v="687"/>
  </r>
  <r>
    <x v="0"/>
    <x v="0"/>
    <s v="Tagpad"/>
    <s v="4 6th Plaza"/>
    <x v="1"/>
    <s v="33-440-2588"/>
    <s v="68-596-5506"/>
    <x v="143"/>
    <d v="2024-09-16T00:00:00"/>
    <d v="2027-02-24T00:00:00"/>
    <n v="26"/>
    <n v="12"/>
    <n v="43"/>
    <n v="4.4000000000000004"/>
    <n v="73"/>
    <n v="20"/>
    <n v="0.63"/>
    <n v="114.4"/>
    <n v="321.20000000000005"/>
    <s v="OK"/>
    <s v="Ok"/>
    <n v="623"/>
  </r>
  <r>
    <x v="10"/>
    <x v="2"/>
    <s v="Oyonder"/>
    <s v="2835 Schlimgen Parkway"/>
    <x v="1"/>
    <s v="02-085-7218"/>
    <s v="41-978-3326"/>
    <x v="143"/>
    <d v="2024-06-25T00:00:00"/>
    <d v="2027-01-28T00:00:00"/>
    <n v="85"/>
    <n v="28"/>
    <n v="32"/>
    <n v="8.9"/>
    <n v="57"/>
    <n v="41"/>
    <n v="0.73"/>
    <n v="756.5"/>
    <n v="507.3"/>
    <s v="OK"/>
    <s v="Ok"/>
    <n v="706"/>
  </r>
  <r>
    <x v="118"/>
    <x v="2"/>
    <s v="Roodel"/>
    <s v="61 Transport Parkway"/>
    <x v="0"/>
    <s v="43-193-9915"/>
    <s v="23-931-2988"/>
    <x v="143"/>
    <d v="2024-07-12T00:00:00"/>
    <d v="2026-09-23T00:00:00"/>
    <n v="55"/>
    <n v="58"/>
    <n v="6"/>
    <n v="7.2"/>
    <n v="48"/>
    <n v="17"/>
    <n v="0.28000000000000003"/>
    <n v="396"/>
    <n v="345.6"/>
    <s v="REORDER"/>
    <s v="Ok"/>
    <n v="689"/>
  </r>
  <r>
    <x v="83"/>
    <x v="2"/>
    <s v="Photobug"/>
    <s v="9171 Redwing Street"/>
    <x v="1"/>
    <s v="62-998-7250"/>
    <s v="72-002-3904"/>
    <x v="144"/>
    <d v="2024-07-31T00:00:00"/>
    <d v="2026-10-05T00:00:00"/>
    <n v="72"/>
    <n v="3"/>
    <n v="10"/>
    <n v="2"/>
    <n v="52"/>
    <n v="14"/>
    <n v="0.65"/>
    <n v="144"/>
    <n v="104"/>
    <s v="OK"/>
    <s v="Ok"/>
    <n v="670"/>
  </r>
  <r>
    <x v="106"/>
    <x v="2"/>
    <s v="Cogilith"/>
    <s v="5 Waxwing Junction"/>
    <x v="2"/>
    <s v="70-871-4536"/>
    <s v="72-514-7323"/>
    <x v="145"/>
    <d v="2024-11-13T00:00:00"/>
    <d v="2026-06-17T00:00:00"/>
    <n v="29"/>
    <n v="4"/>
    <n v="17"/>
    <n v="8"/>
    <n v="59"/>
    <n v="52"/>
    <n v="0.73"/>
    <n v="232"/>
    <n v="472"/>
    <s v="OK"/>
    <s v="Expiring Soon"/>
    <n v="565"/>
  </r>
  <r>
    <x v="30"/>
    <x v="0"/>
    <s v="Innojam"/>
    <s v="6 Stang Hill"/>
    <x v="1"/>
    <s v="38-822-8005"/>
    <s v="45-886-1540"/>
    <x v="145"/>
    <d v="2025-01-12T00:00:00"/>
    <d v="2026-03-31T00:00:00"/>
    <n v="47"/>
    <n v="20"/>
    <n v="65"/>
    <n v="1.75"/>
    <n v="49"/>
    <n v="19"/>
    <n v="0.12"/>
    <n v="82.25"/>
    <n v="85.75"/>
    <s v="OK"/>
    <s v="Expired"/>
    <n v="505"/>
  </r>
  <r>
    <x v="99"/>
    <x v="0"/>
    <s v="Rhyzio"/>
    <s v="3 Del Mar Point"/>
    <x v="2"/>
    <s v="38-390-2115"/>
    <s v="12-433-6490"/>
    <x v="145"/>
    <d v="2024-03-06T00:00:00"/>
    <d v="2026-03-01T00:00:00"/>
    <n v="42"/>
    <n v="69"/>
    <n v="54"/>
    <n v="1.2"/>
    <n v="43"/>
    <n v="96"/>
    <n v="0.61"/>
    <n v="50.4"/>
    <n v="51.6"/>
    <s v="REORDER"/>
    <s v="Expired"/>
    <n v="817"/>
  </r>
  <r>
    <x v="18"/>
    <x v="0"/>
    <s v="Blogtag"/>
    <s v="5 Loftsgordon Trail"/>
    <x v="1"/>
    <s v="28-968-4195"/>
    <s v="17-562-1176"/>
    <x v="145"/>
    <d v="2024-07-17T00:00:00"/>
    <d v="2026-10-13T00:00:00"/>
    <n v="97"/>
    <n v="52"/>
    <n v="80"/>
    <n v="3"/>
    <n v="22"/>
    <n v="90"/>
    <n v="-1.23"/>
    <n v="291"/>
    <n v="66"/>
    <s v="OK"/>
    <s v="Ok"/>
    <n v="684"/>
  </r>
  <r>
    <x v="66"/>
    <x v="2"/>
    <s v="Skyndu"/>
    <s v="75 Bunting Junction"/>
    <x v="0"/>
    <s v="09-286-8107"/>
    <s v="90-727-4816"/>
    <x v="146"/>
    <d v="2024-09-07T00:00:00"/>
    <d v="2026-12-15T00:00:00"/>
    <n v="90"/>
    <n v="62"/>
    <n v="54"/>
    <n v="3"/>
    <n v="70"/>
    <n v="83"/>
    <n v="-3.09"/>
    <n v="270"/>
    <n v="210"/>
    <s v="OK"/>
    <s v="Ok"/>
    <n v="632"/>
  </r>
  <r>
    <x v="95"/>
    <x v="0"/>
    <s v="Zava"/>
    <s v="42 Mallory Court"/>
    <x v="0"/>
    <s v="00-405-7428"/>
    <s v="42-746-2717"/>
    <x v="146"/>
    <d v="2025-01-27T00:00:00"/>
    <d v="2027-01-12T00:00:00"/>
    <n v="81"/>
    <n v="74"/>
    <n v="45"/>
    <n v="3.5"/>
    <n v="42"/>
    <n v="23"/>
    <n v="-0.19"/>
    <n v="283.5"/>
    <n v="147"/>
    <s v="OK"/>
    <s v="Ok"/>
    <n v="490"/>
  </r>
  <r>
    <x v="61"/>
    <x v="3"/>
    <s v="Snaptags"/>
    <s v="6 Orin Place"/>
    <x v="0"/>
    <s v="43-893-5408"/>
    <s v="25-414-2945"/>
    <x v="147"/>
    <d v="2024-03-20T00:00:00"/>
    <d v="2026-08-24T00:00:00"/>
    <n v="60"/>
    <n v="90"/>
    <n v="85"/>
    <n v="3"/>
    <n v="47"/>
    <n v="9"/>
    <n v="0.45"/>
    <n v="180"/>
    <n v="141"/>
    <s v="REORDER"/>
    <s v="Ok"/>
    <n v="803"/>
  </r>
  <r>
    <x v="86"/>
    <x v="0"/>
    <s v="Fiveclub"/>
    <s v="80 Old Shore Plaza"/>
    <x v="1"/>
    <s v="52-481-5224"/>
    <s v="46-382-2024"/>
    <x v="147"/>
    <d v="2025-02-07T00:00:00"/>
    <d v="2027-02-15T00:00:00"/>
    <n v="45"/>
    <n v="24"/>
    <n v="61"/>
    <n v="6"/>
    <n v="44"/>
    <n v="34"/>
    <n v="0.81"/>
    <n v="270"/>
    <n v="264"/>
    <s v="OK"/>
    <s v="Ok"/>
    <n v="479"/>
  </r>
  <r>
    <x v="9"/>
    <x v="2"/>
    <s v="Eimbee"/>
    <s v="44249 Sutteridge Crossing"/>
    <x v="0"/>
    <s v="34-131-8805"/>
    <s v="84-472-8001"/>
    <x v="147"/>
    <d v="2024-09-10T00:00:00"/>
    <d v="2026-12-22T00:00:00"/>
    <n v="92"/>
    <n v="92"/>
    <n v="28"/>
    <n v="1.75"/>
    <n v="50"/>
    <n v="67"/>
    <n v="0.23"/>
    <n v="161"/>
    <n v="87.5"/>
    <s v="REORDER"/>
    <s v="Ok"/>
    <n v="629"/>
  </r>
  <r>
    <x v="119"/>
    <x v="4"/>
    <s v="Dabfeed"/>
    <s v="08545 Lillian Street"/>
    <x v="0"/>
    <s v="36-840-2728"/>
    <s v="26-454-7297"/>
    <x v="147"/>
    <d v="2024-08-10T00:00:00"/>
    <d v="2026-03-14T00:00:00"/>
    <n v="76"/>
    <n v="21"/>
    <n v="3"/>
    <n v="7.5"/>
    <n v="31"/>
    <n v="47"/>
    <n v="-0.34"/>
    <n v="570"/>
    <n v="232.5"/>
    <s v="OK"/>
    <s v="Expired"/>
    <n v="660"/>
  </r>
  <r>
    <x v="60"/>
    <x v="1"/>
    <s v="Ooba"/>
    <s v="1 Green Hill"/>
    <x v="2"/>
    <s v="64-418-8356"/>
    <s v="91-451-2016"/>
    <x v="147"/>
    <d v="2024-11-13T00:00:00"/>
    <d v="2026-04-28T00:00:00"/>
    <n v="80"/>
    <n v="24"/>
    <n v="60"/>
    <n v="2.5"/>
    <n v="98"/>
    <n v="38"/>
    <n v="-0.52"/>
    <n v="200"/>
    <n v="245"/>
    <s v="OK"/>
    <s v="Expired"/>
    <n v="565"/>
  </r>
  <r>
    <x v="32"/>
    <x v="0"/>
    <s v="Vinder"/>
    <s v="453 Dryden Park"/>
    <x v="1"/>
    <s v="51-462-0747"/>
    <s v="40-417-9838"/>
    <x v="148"/>
    <d v="2025-02-07T00:00:00"/>
    <d v="2026-03-10T00:00:00"/>
    <n v="21"/>
    <n v="30"/>
    <n v="32"/>
    <n v="2"/>
    <n v="43"/>
    <n v="54"/>
    <n v="0.61"/>
    <n v="42"/>
    <n v="86"/>
    <s v="REORDER"/>
    <s v="Expired"/>
    <n v="479"/>
  </r>
  <r>
    <x v="52"/>
    <x v="3"/>
    <s v="Meembee"/>
    <s v="44296 Kropf Avenue"/>
    <x v="1"/>
    <s v="74-711-7160"/>
    <s v="40-662-8853"/>
    <x v="148"/>
    <d v="2024-12-28T00:00:00"/>
    <d v="2026-06-01T00:00:00"/>
    <n v="84"/>
    <n v="69"/>
    <n v="77"/>
    <n v="4.5"/>
    <n v="39"/>
    <n v="69"/>
    <n v="-0.26"/>
    <n v="378"/>
    <n v="175.5"/>
    <s v="OK"/>
    <s v="Expiring Soon"/>
    <n v="520"/>
  </r>
  <r>
    <x v="112"/>
    <x v="0"/>
    <s v="Jaxspan"/>
    <s v="00064 Mosinee Circle"/>
    <x v="2"/>
    <s v="44-637-5512"/>
    <s v="27-541-2645"/>
    <x v="148"/>
    <d v="2025-01-12T00:00:00"/>
    <d v="2026-05-26T00:00:00"/>
    <n v="58"/>
    <n v="12"/>
    <n v="99"/>
    <n v="3"/>
    <n v="71"/>
    <n v="30"/>
    <n v="-0.77"/>
    <n v="174"/>
    <n v="213"/>
    <s v="OK"/>
    <s v="Expired"/>
    <n v="505"/>
  </r>
  <r>
    <x v="105"/>
    <x v="6"/>
    <s v="Skalith"/>
    <s v="1223 Monument Drive"/>
    <x v="1"/>
    <s v="27-881-1177"/>
    <s v="64-807-5250"/>
    <x v="149"/>
    <d v="2024-07-03T00:00:00"/>
    <d v="2026-11-23T00:00:00"/>
    <n v="34"/>
    <n v="47"/>
    <n v="99"/>
    <n v="8"/>
    <n v="97"/>
    <n v="47"/>
    <n v="0.57999999999999996"/>
    <n v="272"/>
    <n v="776"/>
    <s v="REORDER"/>
    <s v="Ok"/>
    <n v="698"/>
  </r>
  <r>
    <x v="65"/>
    <x v="3"/>
    <s v="Pixonyx"/>
    <s v="879 Amoth Terrace"/>
    <x v="2"/>
    <s v="72-404-5581"/>
    <s v="18-065-8014"/>
    <x v="149"/>
    <d v="2024-08-07T00:00:00"/>
    <d v="2027-02-08T00:00:00"/>
    <n v="54"/>
    <n v="17"/>
    <n v="90"/>
    <n v="9.5"/>
    <n v="60"/>
    <n v="20"/>
    <n v="0.52"/>
    <n v="513"/>
    <n v="570"/>
    <s v="OK"/>
    <s v="Ok"/>
    <n v="663"/>
  </r>
  <r>
    <x v="103"/>
    <x v="1"/>
    <s v="Youbridge"/>
    <s v="931 Browning Center"/>
    <x v="1"/>
    <s v="12-046-2988"/>
    <s v="37-630-2250"/>
    <x v="150"/>
    <d v="2025-01-24T00:00:00"/>
    <d v="2026-11-21T00:00:00"/>
    <n v="17"/>
    <n v="63"/>
    <n v="66"/>
    <n v="2.5"/>
    <n v="23"/>
    <n v="46"/>
    <n v="0.67"/>
    <n v="42.5"/>
    <n v="57.5"/>
    <s v="REORDER"/>
    <s v="Ok"/>
    <n v="493"/>
  </r>
  <r>
    <x v="77"/>
    <x v="6"/>
    <s v="Realpoint"/>
    <s v="564 Hazelcrest Crossing"/>
    <x v="1"/>
    <s v="21-816-1004"/>
    <s v="68-482-4786"/>
    <x v="151"/>
    <d v="2024-12-04T00:00:00"/>
    <d v="2026-07-22T00:00:00"/>
    <n v="84"/>
    <n v="13"/>
    <n v="88"/>
    <n v="15"/>
    <n v="25"/>
    <n v="34"/>
    <n v="-1"/>
    <n v="1260"/>
    <n v="375"/>
    <s v="OK"/>
    <s v="Ok"/>
    <n v="544"/>
  </r>
  <r>
    <x v="50"/>
    <x v="4"/>
    <s v="Shufflester"/>
    <s v="65721 Caliangt Crossing"/>
    <x v="0"/>
    <s v="81-605-6246"/>
    <s v="62-086-0407"/>
    <x v="151"/>
    <d v="2024-03-02T00:00:00"/>
    <d v="2026-03-06T00:00:00"/>
    <n v="73"/>
    <n v="31"/>
    <n v="49"/>
    <n v="6"/>
    <n v="22"/>
    <n v="47"/>
    <n v="-0.36"/>
    <n v="438"/>
    <n v="132"/>
    <s v="OK"/>
    <s v="Expired"/>
    <n v="821"/>
  </r>
  <r>
    <x v="2"/>
    <x v="2"/>
    <s v="Rhyloo"/>
    <s v="89 Springs Alley"/>
    <x v="2"/>
    <s v="11-815-7923"/>
    <s v="98-304-8407"/>
    <x v="151"/>
    <d v="2024-06-16T00:00:00"/>
    <d v="2026-08-06T00:00:00"/>
    <n v="96"/>
    <n v="9"/>
    <n v="57"/>
    <n v="11.8"/>
    <n v="78"/>
    <n v="67"/>
    <n v="-1.1399999999999999"/>
    <n v="1132.8000000000002"/>
    <n v="920.40000000000009"/>
    <s v="OK"/>
    <s v="Ok"/>
    <n v="715"/>
  </r>
  <r>
    <x v="27"/>
    <x v="4"/>
    <s v="Geba"/>
    <s v="1792 Crownhardt Street"/>
    <x v="2"/>
    <s v="26-456-1992"/>
    <s v="60-159-3514"/>
    <x v="151"/>
    <d v="2024-12-23T00:00:00"/>
    <d v="2026-07-29T00:00:00"/>
    <n v="56"/>
    <n v="59"/>
    <n v="87"/>
    <n v="7"/>
    <n v="65"/>
    <n v="45"/>
    <n v="0.14000000000000001"/>
    <n v="392"/>
    <n v="455"/>
    <s v="REORDER"/>
    <s v="Ok"/>
    <n v="525"/>
  </r>
  <r>
    <x v="30"/>
    <x v="0"/>
    <s v="Bubblemix"/>
    <s v="0847 Artisan Hill"/>
    <x v="2"/>
    <s v="63-168-6018"/>
    <s v="01-853-2191"/>
    <x v="151"/>
    <d v="2024-10-03T00:00:00"/>
    <d v="2026-05-01T00:00:00"/>
    <n v="60"/>
    <n v="63"/>
    <n v="81"/>
    <n v="1.8"/>
    <n v="74"/>
    <n v="31"/>
    <n v="0.31"/>
    <n v="108"/>
    <n v="133.20000000000002"/>
    <s v="REORDER"/>
    <s v="Expired"/>
    <n v="606"/>
  </r>
  <r>
    <x v="25"/>
    <x v="5"/>
    <s v="Flashspan"/>
    <s v="24045 Bluestem Point"/>
    <x v="2"/>
    <s v="70-854-6891"/>
    <s v="79-575-9351"/>
    <x v="152"/>
    <d v="2024-11-28T00:00:00"/>
    <d v="2026-11-12T00:00:00"/>
    <n v="41"/>
    <n v="84"/>
    <n v="90"/>
    <n v="4"/>
    <n v="42"/>
    <n v="65"/>
    <n v="0.57999999999999996"/>
    <n v="164"/>
    <n v="168"/>
    <s v="REORDER"/>
    <s v="Ok"/>
    <n v="550"/>
  </r>
  <r>
    <x v="118"/>
    <x v="2"/>
    <s v="Dazzlesphere"/>
    <s v="9305 Warrior Way"/>
    <x v="0"/>
    <s v="87-762-1317"/>
    <s v="58-474-3510"/>
    <x v="152"/>
    <d v="2024-11-20T00:00:00"/>
    <d v="2027-02-09T00:00:00"/>
    <n v="45"/>
    <n v="63"/>
    <n v="75"/>
    <n v="7"/>
    <n v="83"/>
    <n v="5"/>
    <n v="-0.55000000000000004"/>
    <n v="315"/>
    <n v="581"/>
    <s v="REORDER"/>
    <s v="Ok"/>
    <n v="558"/>
  </r>
  <r>
    <x v="80"/>
    <x v="6"/>
    <s v="Browsecat"/>
    <s v="13 Bluejay Way"/>
    <x v="1"/>
    <s v="80-374-5711"/>
    <s v="77-566-9826"/>
    <x v="152"/>
    <d v="2024-10-05T00:00:00"/>
    <d v="2026-12-07T00:00:00"/>
    <n v="48"/>
    <n v="77"/>
    <n v="81"/>
    <n v="31"/>
    <n v="70"/>
    <n v="74"/>
    <n v="0.94"/>
    <n v="1488"/>
    <n v="2170"/>
    <s v="REORDER"/>
    <s v="Ok"/>
    <n v="604"/>
  </r>
  <r>
    <x v="10"/>
    <x v="2"/>
    <s v="Oyoba"/>
    <s v="710 Service Park"/>
    <x v="1"/>
    <s v="60-456-8169"/>
    <s v="54-529-4459"/>
    <x v="152"/>
    <d v="2024-02-28T00:00:00"/>
    <d v="2026-02-25T00:00:00"/>
    <n v="21"/>
    <n v="28"/>
    <n v="72"/>
    <n v="9"/>
    <n v="69"/>
    <n v="51"/>
    <n v="-0.06"/>
    <n v="189"/>
    <n v="621"/>
    <s v="REORDER"/>
    <s v="Expired"/>
    <n v="824"/>
  </r>
  <r>
    <x v="5"/>
    <x v="0"/>
    <s v="Livetube"/>
    <s v="71796 Waubesa Terrace"/>
    <x v="1"/>
    <s v="99-543-5039"/>
    <s v="63-683-7396"/>
    <x v="152"/>
    <d v="2024-11-20T00:00:00"/>
    <d v="2026-07-29T00:00:00"/>
    <n v="65"/>
    <n v="88"/>
    <n v="20"/>
    <n v="2.5"/>
    <n v="89"/>
    <n v="37"/>
    <n v="0.26"/>
    <n v="162.5"/>
    <n v="222.5"/>
    <s v="REORDER"/>
    <s v="Ok"/>
    <n v="558"/>
  </r>
  <r>
    <x v="39"/>
    <x v="1"/>
    <s v="Yotz"/>
    <s v="545 Farwell Lane"/>
    <x v="2"/>
    <s v="72-810-9753"/>
    <s v="17-359-2527"/>
    <x v="152"/>
    <d v="2025-02-07T00:00:00"/>
    <d v="2026-12-12T00:00:00"/>
    <n v="14"/>
    <n v="84"/>
    <n v="15"/>
    <n v="6.5"/>
    <n v="51"/>
    <n v="73"/>
    <n v="0.57999999999999996"/>
    <n v="91"/>
    <n v="331.5"/>
    <s v="REORDER"/>
    <s v="Ok"/>
    <n v="479"/>
  </r>
  <r>
    <x v="52"/>
    <x v="3"/>
    <s v="Photobug"/>
    <s v="9 Burrows Junction"/>
    <x v="0"/>
    <s v="78-956-4737"/>
    <s v="76-712-0418"/>
    <x v="153"/>
    <d v="2024-05-19T00:00:00"/>
    <d v="2026-04-18T00:00:00"/>
    <n v="47"/>
    <n v="1"/>
    <n v="60"/>
    <n v="4.2"/>
    <n v="32"/>
    <n v="87"/>
    <n v="-0.43"/>
    <n v="197.4"/>
    <n v="134.4"/>
    <s v="OK"/>
    <s v="Expired"/>
    <n v="743"/>
  </r>
  <r>
    <x v="95"/>
    <x v="0"/>
    <s v="Omba"/>
    <s v="5 Eggendart Parkway"/>
    <x v="1"/>
    <s v="46-415-8633"/>
    <s v="32-497-0478"/>
    <x v="153"/>
    <d v="2024-11-17T00:00:00"/>
    <d v="2027-01-02T00:00:00"/>
    <n v="71"/>
    <n v="36"/>
    <n v="45"/>
    <n v="3.5"/>
    <n v="87"/>
    <n v="2"/>
    <n v="-1.72"/>
    <n v="248.5"/>
    <n v="304.5"/>
    <s v="OK"/>
    <s v="Ok"/>
    <n v="561"/>
  </r>
  <r>
    <x v="43"/>
    <x v="1"/>
    <s v="Bluezoom"/>
    <s v="16 Autumn Leaf Way"/>
    <x v="1"/>
    <s v="06-611-5454"/>
    <s v="43-786-9229"/>
    <x v="154"/>
    <d v="2024-10-11T00:00:00"/>
    <d v="2026-11-16T00:00:00"/>
    <n v="64"/>
    <n v="21"/>
    <n v="13"/>
    <n v="4"/>
    <n v="51"/>
    <n v="26"/>
    <n v="0.98"/>
    <n v="256"/>
    <n v="204"/>
    <s v="OK"/>
    <s v="Ok"/>
    <n v="598"/>
  </r>
  <r>
    <x v="41"/>
    <x v="2"/>
    <s v="Thoughtstorm"/>
    <s v="6 Tony Junction"/>
    <x v="0"/>
    <s v="27-783-5470"/>
    <s v="45-997-6429"/>
    <x v="154"/>
    <d v="2024-07-27T00:00:00"/>
    <d v="2026-03-16T00:00:00"/>
    <n v="74"/>
    <n v="65"/>
    <n v="5"/>
    <n v="7"/>
    <n v="21"/>
    <n v="42"/>
    <n v="0.49"/>
    <n v="518"/>
    <n v="147"/>
    <s v="OK"/>
    <s v="Expired"/>
    <n v="674"/>
  </r>
  <r>
    <x v="17"/>
    <x v="2"/>
    <s v="Shufflebeat"/>
    <s v="19112 Little Fleur Road"/>
    <x v="0"/>
    <s v="55-697-5242"/>
    <s v="74-726-0855"/>
    <x v="155"/>
    <d v="2024-06-30T00:00:00"/>
    <d v="2026-09-24T00:00:00"/>
    <n v="51"/>
    <n v="53"/>
    <n v="88"/>
    <n v="6"/>
    <n v="54"/>
    <n v="59"/>
    <n v="-1"/>
    <n v="306"/>
    <n v="324"/>
    <s v="REORDER"/>
    <s v="Ok"/>
    <n v="701"/>
  </r>
  <r>
    <x v="42"/>
    <x v="0"/>
    <s v="LiveZ"/>
    <s v="38 Dawn Street"/>
    <x v="0"/>
    <s v="15-082-9124"/>
    <s v="02-997-1489"/>
    <x v="155"/>
    <d v="2024-10-08T00:00:00"/>
    <d v="2026-05-07T00:00:00"/>
    <n v="89"/>
    <n v="35"/>
    <n v="19"/>
    <n v="5"/>
    <n v="49"/>
    <n v="55"/>
    <n v="-0.09"/>
    <n v="445"/>
    <n v="245"/>
    <s v="OK"/>
    <s v="Expired"/>
    <n v="601"/>
  </r>
  <r>
    <x v="83"/>
    <x v="2"/>
    <s v="Buzzshare"/>
    <s v="579 Schlimgen Alley"/>
    <x v="0"/>
    <s v="06-996-3221"/>
    <s v="97-821-7402"/>
    <x v="156"/>
    <d v="2024-12-04T00:00:00"/>
    <d v="2026-06-10T00:00:00"/>
    <n v="11"/>
    <n v="9"/>
    <n v="65"/>
    <n v="2"/>
    <n v="48"/>
    <n v="96"/>
    <n v="-0.12"/>
    <n v="22"/>
    <n v="96"/>
    <s v="OK"/>
    <s v="Expiring Soon"/>
    <n v="544"/>
  </r>
  <r>
    <x v="87"/>
    <x v="4"/>
    <s v="Rhybox"/>
    <s v="9 Anhalt Trail"/>
    <x v="2"/>
    <s v="45-634-0679"/>
    <s v="29-542-9338"/>
    <x v="156"/>
    <d v="2024-02-28T00:00:00"/>
    <d v="2026-08-27T00:00:00"/>
    <n v="98"/>
    <n v="100"/>
    <n v="34"/>
    <n v="9"/>
    <n v="53"/>
    <n v="20"/>
    <n v="-1"/>
    <n v="882"/>
    <n v="477"/>
    <s v="REORDER"/>
    <s v="Ok"/>
    <n v="824"/>
  </r>
  <r>
    <x v="74"/>
    <x v="5"/>
    <s v="Kwilith"/>
    <s v="85 Lunder Court"/>
    <x v="2"/>
    <s v="15-796-3130"/>
    <s v="45-912-2948"/>
    <x v="157"/>
    <d v="2024-04-17T00:00:00"/>
    <d v="2026-05-29T00:00:00"/>
    <n v="50"/>
    <n v="58"/>
    <n v="78"/>
    <n v="3"/>
    <n v="83"/>
    <n v="49"/>
    <n v="0.62"/>
    <n v="150"/>
    <n v="249"/>
    <s v="REORDER"/>
    <s v="Expired"/>
    <n v="775"/>
  </r>
  <r>
    <x v="105"/>
    <x v="6"/>
    <s v="Vidoo"/>
    <s v="51369 Dawn Hill"/>
    <x v="2"/>
    <s v="51-000-8113"/>
    <s v="56-825-0880"/>
    <x v="157"/>
    <d v="2025-01-31T00:00:00"/>
    <d v="2026-11-20T00:00:00"/>
    <n v="24"/>
    <n v="27"/>
    <n v="35"/>
    <n v="8"/>
    <n v="49"/>
    <n v="58"/>
    <n v="0.41"/>
    <n v="192"/>
    <n v="392"/>
    <s v="REORDER"/>
    <s v="Ok"/>
    <n v="486"/>
  </r>
  <r>
    <x v="84"/>
    <x v="3"/>
    <s v="Aivee"/>
    <s v="9050 Dorton Pass"/>
    <x v="2"/>
    <s v="20-387-7746"/>
    <s v="08-218-9429"/>
    <x v="157"/>
    <d v="2024-06-05T00:00:00"/>
    <d v="2026-10-27T00:00:00"/>
    <n v="64"/>
    <n v="10"/>
    <n v="100"/>
    <n v="2.5"/>
    <n v="97"/>
    <n v="52"/>
    <n v="-0.18"/>
    <n v="160"/>
    <n v="242.5"/>
    <s v="OK"/>
    <s v="Ok"/>
    <n v="726"/>
  </r>
  <r>
    <x v="68"/>
    <x v="0"/>
    <s v="Vitz"/>
    <s v="856 School Plaza"/>
    <x v="0"/>
    <s v="82-931-7126"/>
    <s v="67-596-1997"/>
    <x v="157"/>
    <d v="2024-10-17T00:00:00"/>
    <d v="2026-05-12T00:00:00"/>
    <n v="34"/>
    <n v="95"/>
    <n v="18"/>
    <n v="5"/>
    <n v="41"/>
    <n v="26"/>
    <n v="0.46"/>
    <n v="170"/>
    <n v="205"/>
    <s v="REORDER"/>
    <s v="Expired"/>
    <n v="592"/>
  </r>
  <r>
    <x v="66"/>
    <x v="2"/>
    <s v="Avamba"/>
    <s v="82 Drewry Junction"/>
    <x v="2"/>
    <s v="55-631-7937"/>
    <s v="79-508-5241"/>
    <x v="158"/>
    <d v="2024-06-19T00:00:00"/>
    <d v="2027-01-21T00:00:00"/>
    <n v="26"/>
    <n v="54"/>
    <n v="90"/>
    <n v="3"/>
    <n v="25"/>
    <n v="81"/>
    <n v="0.37"/>
    <n v="78"/>
    <n v="75"/>
    <s v="REORDER"/>
    <s v="Ok"/>
    <n v="712"/>
  </r>
  <r>
    <x v="99"/>
    <x v="0"/>
    <s v="Centimia"/>
    <s v="9067 Valley Edge Park"/>
    <x v="1"/>
    <s v="11-338-4598"/>
    <s v="72-360-6358"/>
    <x v="159"/>
    <d v="2025-02-03T00:00:00"/>
    <d v="2027-02-23T00:00:00"/>
    <n v="72"/>
    <n v="58"/>
    <n v="69"/>
    <n v="1.2"/>
    <n v="96"/>
    <n v="23"/>
    <n v="-2.2400000000000002"/>
    <n v="86.399999999999991"/>
    <n v="115.19999999999999"/>
    <s v="OK"/>
    <s v="Ok"/>
    <n v="483"/>
  </r>
  <r>
    <x v="102"/>
    <x v="0"/>
    <s v="Plajo"/>
    <s v="185 Stone Corner Parkway"/>
    <x v="2"/>
    <s v="52-402-9245"/>
    <s v="37-519-7762"/>
    <x v="159"/>
    <d v="2025-02-12T00:00:00"/>
    <d v="2026-09-19T00:00:00"/>
    <n v="89"/>
    <n v="40"/>
    <n v="64"/>
    <n v="4"/>
    <n v="93"/>
    <n v="48"/>
    <n v="0.76"/>
    <n v="356"/>
    <n v="372"/>
    <s v="OK"/>
    <s v="Ok"/>
    <n v="474"/>
  </r>
  <r>
    <x v="44"/>
    <x v="1"/>
    <s v="Fliptune"/>
    <s v="205 Straubel Court"/>
    <x v="2"/>
    <s v="09-536-2626"/>
    <s v="14-483-5712"/>
    <x v="160"/>
    <d v="2024-08-26T00:00:00"/>
    <d v="2026-03-21T00:00:00"/>
    <n v="83"/>
    <n v="52"/>
    <n v="32"/>
    <n v="6"/>
    <n v="47"/>
    <n v="7"/>
    <n v="0.48"/>
    <n v="498"/>
    <n v="282"/>
    <s v="OK"/>
    <s v="Expired"/>
    <n v="644"/>
  </r>
  <r>
    <x v="20"/>
    <x v="6"/>
    <s v="Jetpulse"/>
    <s v="2 7th Center"/>
    <x v="1"/>
    <s v="48-427-0551"/>
    <s v="01-900-4509"/>
    <x v="160"/>
    <d v="2024-12-16T00:00:00"/>
    <d v="2026-11-03T00:00:00"/>
    <n v="13"/>
    <n v="55"/>
    <n v="77"/>
    <n v="20"/>
    <n v="67"/>
    <n v="68"/>
    <n v="0.85"/>
    <n v="260"/>
    <n v="1340"/>
    <s v="REORDER"/>
    <s v="Ok"/>
    <n v="532"/>
  </r>
  <r>
    <x v="105"/>
    <x v="6"/>
    <s v="Tanoodle"/>
    <s v="443 Browning Terrace"/>
    <x v="1"/>
    <s v="06-706-6490"/>
    <s v="85-670-6379"/>
    <x v="161"/>
    <d v="2024-07-03T00:00:00"/>
    <d v="2026-03-15T00:00:00"/>
    <n v="15"/>
    <n v="66"/>
    <n v="85"/>
    <n v="8"/>
    <n v="60"/>
    <n v="40"/>
    <n v="-0.01"/>
    <n v="120"/>
    <n v="480"/>
    <s v="REORDER"/>
    <s v="Expired"/>
    <n v="698"/>
  </r>
  <r>
    <x v="24"/>
    <x v="3"/>
    <s v="Babblestorm"/>
    <s v="97 Utah Lane"/>
    <x v="1"/>
    <s v="29-135-0791"/>
    <s v="05-050-4384"/>
    <x v="161"/>
    <d v="2024-12-21T00:00:00"/>
    <d v="2027-01-11T00:00:00"/>
    <n v="56"/>
    <n v="48"/>
    <n v="82"/>
    <n v="4.75"/>
    <n v="71"/>
    <n v="65"/>
    <n v="0.33"/>
    <n v="266"/>
    <n v="337.25"/>
    <s v="OK"/>
    <s v="Ok"/>
    <n v="527"/>
  </r>
  <r>
    <x v="68"/>
    <x v="0"/>
    <s v="Jaxspan"/>
    <s v="25 Drewry Alley"/>
    <x v="1"/>
    <s v="89-624-7462"/>
    <s v="39-506-2186"/>
    <x v="161"/>
    <d v="2025-02-16T00:00:00"/>
    <d v="2026-11-24T00:00:00"/>
    <n v="18"/>
    <n v="3"/>
    <n v="39"/>
    <n v="5"/>
    <n v="58"/>
    <n v="61"/>
    <n v="0.08"/>
    <n v="90"/>
    <n v="290"/>
    <s v="OK"/>
    <s v="Ok"/>
    <n v="470"/>
  </r>
  <r>
    <x v="54"/>
    <x v="3"/>
    <s v="Kayveo"/>
    <s v="77 Monument Court"/>
    <x v="0"/>
    <s v="82-231-4245"/>
    <s v="96-177-4040"/>
    <x v="161"/>
    <d v="2024-08-28T00:00:00"/>
    <d v="2027-01-16T00:00:00"/>
    <n v="32"/>
    <n v="91"/>
    <n v="80"/>
    <n v="10"/>
    <n v="69"/>
    <n v="80"/>
    <n v="-0.05"/>
    <n v="320"/>
    <n v="690"/>
    <s v="REORDER"/>
    <s v="Ok"/>
    <n v="642"/>
  </r>
  <r>
    <x v="78"/>
    <x v="3"/>
    <s v="Zooxo"/>
    <s v="61932 Cascade Crossing"/>
    <x v="1"/>
    <s v="42-220-9305"/>
    <s v="56-092-7992"/>
    <x v="162"/>
    <d v="2024-12-11T00:00:00"/>
    <d v="2026-10-14T00:00:00"/>
    <n v="91"/>
    <n v="98"/>
    <n v="6"/>
    <n v="2"/>
    <n v="100"/>
    <n v="20"/>
    <n v="-0.16"/>
    <n v="182"/>
    <n v="200"/>
    <s v="REORDER"/>
    <s v="Ok"/>
    <n v="537"/>
  </r>
  <r>
    <x v="111"/>
    <x v="5"/>
    <s v="Skyble"/>
    <s v="4 Judy Hill"/>
    <x v="1"/>
    <s v="02-920-4829"/>
    <s v="41-587-4864"/>
    <x v="162"/>
    <d v="2024-06-14T00:00:00"/>
    <d v="2026-05-22T00:00:00"/>
    <n v="92"/>
    <n v="87"/>
    <n v="84"/>
    <n v="2.5"/>
    <n v="61"/>
    <n v="31"/>
    <n v="0.8"/>
    <n v="230"/>
    <n v="152.5"/>
    <s v="OK"/>
    <s v="Expired"/>
    <n v="717"/>
  </r>
  <r>
    <x v="36"/>
    <x v="6"/>
    <s v="Demivee"/>
    <s v="58 La Follette Park"/>
    <x v="0"/>
    <s v="61-801-8665"/>
    <s v="78-283-9751"/>
    <x v="162"/>
    <d v="2024-12-06T00:00:00"/>
    <d v="2026-06-24T00:00:00"/>
    <n v="42"/>
    <n v="88"/>
    <n v="17"/>
    <n v="10.5"/>
    <n v="34"/>
    <n v="51"/>
    <n v="0.49"/>
    <n v="441"/>
    <n v="357"/>
    <s v="REORDER"/>
    <s v="Expiring Soon"/>
    <n v="542"/>
  </r>
  <r>
    <x v="47"/>
    <x v="4"/>
    <s v="Zazio"/>
    <s v="52105 Mandrake Place"/>
    <x v="2"/>
    <s v="01-144-5960"/>
    <s v="80-848-7493"/>
    <x v="163"/>
    <d v="2024-05-29T00:00:00"/>
    <d v="2026-07-13T00:00:00"/>
    <n v="75"/>
    <n v="25"/>
    <n v="99"/>
    <n v="12"/>
    <n v="89"/>
    <n v="42"/>
    <n v="-0.5"/>
    <n v="900"/>
    <n v="1068"/>
    <s v="OK"/>
    <s v="Ok"/>
    <n v="733"/>
  </r>
  <r>
    <x v="30"/>
    <x v="0"/>
    <s v="Flashset"/>
    <s v="83 Pleasure Street"/>
    <x v="2"/>
    <s v="98-575-4736"/>
    <s v="44-429-6199"/>
    <x v="163"/>
    <d v="2024-05-25T00:00:00"/>
    <d v="2026-09-17T00:00:00"/>
    <n v="76"/>
    <n v="11"/>
    <n v="15"/>
    <n v="1.8"/>
    <n v="22"/>
    <n v="91"/>
    <n v="0.53"/>
    <n v="136.80000000000001"/>
    <n v="39.6"/>
    <s v="OK"/>
    <s v="Ok"/>
    <n v="737"/>
  </r>
  <r>
    <x v="94"/>
    <x v="0"/>
    <s v="Izio"/>
    <s v="77 Monterey Avenue"/>
    <x v="2"/>
    <s v="30-996-2526"/>
    <s v="30-942-0054"/>
    <x v="163"/>
    <d v="2024-02-28T00:00:00"/>
    <d v="2026-09-07T00:00:00"/>
    <n v="86"/>
    <n v="90"/>
    <n v="39"/>
    <n v="2.1"/>
    <n v="98"/>
    <n v="85"/>
    <n v="-3.14"/>
    <n v="180.6"/>
    <n v="205.8"/>
    <s v="REORDER"/>
    <s v="Ok"/>
    <n v="824"/>
  </r>
  <r>
    <x v="56"/>
    <x v="0"/>
    <s v="Zoombox"/>
    <s v="0 Thackeray Point"/>
    <x v="0"/>
    <s v="45-380-4627"/>
    <s v="20-201-5639"/>
    <x v="163"/>
    <d v="2025-01-11T00:00:00"/>
    <d v="2027-02-16T00:00:00"/>
    <n v="90"/>
    <n v="1"/>
    <n v="40"/>
    <n v="0.9"/>
    <n v="52"/>
    <n v="19"/>
    <n v="0.13"/>
    <n v="81"/>
    <n v="46.800000000000004"/>
    <s v="OK"/>
    <s v="Ok"/>
    <n v="506"/>
  </r>
  <r>
    <x v="48"/>
    <x v="0"/>
    <s v="Devpulse"/>
    <s v="06 Shopko Pass"/>
    <x v="0"/>
    <s v="47-548-6500"/>
    <s v="27-061-4764"/>
    <x v="163"/>
    <d v="2024-03-07T00:00:00"/>
    <d v="2026-12-25T00:00:00"/>
    <n v="20"/>
    <n v="93"/>
    <n v="37"/>
    <n v="2"/>
    <n v="23"/>
    <n v="2"/>
    <n v="0.63"/>
    <n v="40"/>
    <n v="46"/>
    <s v="REORDER"/>
    <s v="Ok"/>
    <n v="816"/>
  </r>
  <r>
    <x v="76"/>
    <x v="3"/>
    <s v="Oyondu"/>
    <s v="7020 Porter Trail"/>
    <x v="1"/>
    <s v="30-591-7275"/>
    <s v="12-431-9207"/>
    <x v="164"/>
    <d v="2025-02-19T00:00:00"/>
    <d v="2027-01-18T00:00:00"/>
    <n v="17"/>
    <n v="88"/>
    <n v="41"/>
    <n v="2.5"/>
    <n v="45"/>
    <n v="29"/>
    <n v="0.91"/>
    <n v="42.5"/>
    <n v="112.5"/>
    <s v="REORDER"/>
    <s v="Ok"/>
    <n v="467"/>
  </r>
  <r>
    <x v="96"/>
    <x v="0"/>
    <s v="Skipfire"/>
    <s v="160 Kings Street"/>
    <x v="0"/>
    <s v="38-296-6634"/>
    <s v="41-083-3955"/>
    <x v="165"/>
    <d v="2024-03-31T00:00:00"/>
    <d v="2026-12-10T00:00:00"/>
    <n v="49"/>
    <n v="46"/>
    <n v="8"/>
    <n v="3"/>
    <n v="82"/>
    <n v="21"/>
    <n v="0.36"/>
    <n v="147"/>
    <n v="246"/>
    <s v="OK"/>
    <s v="Ok"/>
    <n v="792"/>
  </r>
  <r>
    <x v="106"/>
    <x v="2"/>
    <s v="Janyx"/>
    <s v="80729 Homewood Plaza"/>
    <x v="2"/>
    <s v="98-858-6323"/>
    <s v="79-086-1717"/>
    <x v="165"/>
    <d v="2025-01-07T00:00:00"/>
    <d v="2026-11-16T00:00:00"/>
    <n v="20"/>
    <n v="17"/>
    <n v="71"/>
    <n v="8"/>
    <n v="50"/>
    <n v="65"/>
    <n v="0.74"/>
    <n v="160"/>
    <n v="400"/>
    <s v="OK"/>
    <s v="Ok"/>
    <n v="510"/>
  </r>
  <r>
    <x v="29"/>
    <x v="3"/>
    <s v="Twitterwire"/>
    <s v="583 Loftsgordon Road"/>
    <x v="0"/>
    <s v="69-743-0161"/>
    <s v="29-774-6779"/>
    <x v="165"/>
    <d v="2024-08-14T00:00:00"/>
    <d v="2026-11-21T00:00:00"/>
    <n v="99"/>
    <n v="54"/>
    <n v="71"/>
    <n v="1.5"/>
    <n v="80"/>
    <n v="10"/>
    <n v="-0.3"/>
    <n v="148.5"/>
    <n v="120"/>
    <s v="OK"/>
    <s v="Ok"/>
    <n v="656"/>
  </r>
  <r>
    <x v="7"/>
    <x v="4"/>
    <s v="Twitterbridge"/>
    <s v="5521 Wayridge Center"/>
    <x v="1"/>
    <s v="71-067-3278"/>
    <s v="76-797-9430"/>
    <x v="165"/>
    <d v="2024-05-08T00:00:00"/>
    <d v="2026-08-16T00:00:00"/>
    <n v="51"/>
    <n v="35"/>
    <n v="95"/>
    <n v="10"/>
    <n v="80"/>
    <n v="89"/>
    <n v="0.88"/>
    <n v="510"/>
    <n v="800"/>
    <s v="OK"/>
    <s v="Ok"/>
    <n v="754"/>
  </r>
  <r>
    <x v="91"/>
    <x v="1"/>
    <s v="Katz"/>
    <s v="685 Independence Junction"/>
    <x v="0"/>
    <s v="24-143-4957"/>
    <s v="29-968-4976"/>
    <x v="165"/>
    <d v="2024-06-22T00:00:00"/>
    <d v="2026-08-15T00:00:00"/>
    <n v="25"/>
    <n v="97"/>
    <n v="63"/>
    <n v="2.2999999999999998"/>
    <n v="72"/>
    <n v="23"/>
    <n v="-0.11"/>
    <n v="57.499999999999993"/>
    <n v="165.6"/>
    <s v="REORDER"/>
    <s v="Ok"/>
    <n v="709"/>
  </r>
  <r>
    <x v="2"/>
    <x v="2"/>
    <s v="Buzzbean"/>
    <s v="854 Kipling Point"/>
    <x v="2"/>
    <s v="31-387-5020"/>
    <s v="02-811-7933"/>
    <x v="165"/>
    <d v="2024-12-17T00:00:00"/>
    <d v="2026-08-14T00:00:00"/>
    <n v="63"/>
    <n v="41"/>
    <n v="98"/>
    <n v="11.9"/>
    <n v="37"/>
    <n v="7"/>
    <n v="0.68"/>
    <n v="749.7"/>
    <n v="440.3"/>
    <s v="OK"/>
    <s v="Ok"/>
    <n v="531"/>
  </r>
  <r>
    <x v="75"/>
    <x v="2"/>
    <s v="Tagchat"/>
    <s v="23560 Talmadge Center"/>
    <x v="2"/>
    <s v="33-378-1365"/>
    <s v="31-483-9201"/>
    <x v="165"/>
    <d v="2024-12-07T00:00:00"/>
    <d v="2027-02-04T00:00:00"/>
    <n v="50"/>
    <n v="66"/>
    <n v="1"/>
    <n v="2.5"/>
    <n v="76"/>
    <n v="73"/>
    <n v="0.81"/>
    <n v="125"/>
    <n v="190"/>
    <s v="REORDER"/>
    <s v="Ok"/>
    <n v="541"/>
  </r>
  <r>
    <x v="50"/>
    <x v="4"/>
    <s v="Ntag"/>
    <s v="7193 Crownhardt Drive"/>
    <x v="2"/>
    <s v="41-729-5410"/>
    <s v="71-727-8611"/>
    <x v="166"/>
    <d v="2024-04-05T00:00:00"/>
    <d v="2026-06-26T00:00:00"/>
    <n v="91"/>
    <n v="59"/>
    <n v="49"/>
    <n v="6"/>
    <n v="30"/>
    <n v="63"/>
    <n v="0.04"/>
    <n v="546"/>
    <n v="180"/>
    <s v="OK"/>
    <s v="Expiring Soon"/>
    <n v="787"/>
  </r>
  <r>
    <x v="44"/>
    <x v="1"/>
    <s v="Blogspan"/>
    <s v="76928 Tennyson Parkway"/>
    <x v="2"/>
    <s v="33-335-9140"/>
    <s v="08-209-1598"/>
    <x v="167"/>
    <d v="2024-08-20T00:00:00"/>
    <d v="2026-08-27T00:00:00"/>
    <n v="28"/>
    <n v="17"/>
    <n v="28"/>
    <n v="6"/>
    <n v="38"/>
    <n v="25"/>
    <n v="-1.1000000000000001"/>
    <n v="168"/>
    <n v="228"/>
    <s v="OK"/>
    <s v="Ok"/>
    <n v="650"/>
  </r>
  <r>
    <x v="108"/>
    <x v="0"/>
    <s v="Katz"/>
    <s v="265 Columbus Way"/>
    <x v="2"/>
    <s v="40-021-2400"/>
    <s v="62-648-2577"/>
    <x v="167"/>
    <d v="2024-11-16T00:00:00"/>
    <d v="2026-05-11T00:00:00"/>
    <n v="29"/>
    <n v="18"/>
    <n v="86"/>
    <n v="2.5"/>
    <n v="53"/>
    <n v="69"/>
    <n v="0.34"/>
    <n v="72.5"/>
    <n v="132.5"/>
    <s v="OK"/>
    <s v="Expired"/>
    <n v="562"/>
  </r>
  <r>
    <x v="119"/>
    <x v="4"/>
    <s v="Kazio"/>
    <s v="85953 Clyde Gallagher Drive"/>
    <x v="2"/>
    <s v="81-268-5905"/>
    <s v="36-138-9045"/>
    <x v="167"/>
    <d v="2024-07-30T00:00:00"/>
    <d v="2026-06-14T00:00:00"/>
    <n v="89"/>
    <n v="26"/>
    <n v="36"/>
    <n v="7.5"/>
    <n v="48"/>
    <n v="94"/>
    <n v="-0.3"/>
    <n v="667.5"/>
    <n v="360"/>
    <s v="OK"/>
    <s v="Expiring Soon"/>
    <n v="671"/>
  </r>
  <r>
    <x v="69"/>
    <x v="0"/>
    <s v="Bluezoom"/>
    <s v="33145 Butterfield Avenue"/>
    <x v="2"/>
    <s v="38-617-7226"/>
    <s v="91-215-9838"/>
    <x v="167"/>
    <d v="2024-06-19T00:00:00"/>
    <d v="2026-07-13T00:00:00"/>
    <n v="65"/>
    <n v="42"/>
    <n v="62"/>
    <n v="6.3"/>
    <n v="54"/>
    <n v="2"/>
    <n v="-0.96"/>
    <n v="409.5"/>
    <n v="340.2"/>
    <s v="OK"/>
    <s v="Ok"/>
    <n v="712"/>
  </r>
  <r>
    <x v="14"/>
    <x v="3"/>
    <s v="Shufflester"/>
    <s v="64389 Arkansas Alley"/>
    <x v="1"/>
    <s v="54-822-9009"/>
    <s v="23-197-9965"/>
    <x v="168"/>
    <d v="2024-06-08T00:00:00"/>
    <d v="2027-01-03T00:00:00"/>
    <n v="40"/>
    <n v="38"/>
    <n v="32"/>
    <n v="3.2"/>
    <n v="21"/>
    <n v="45"/>
    <n v="0.96"/>
    <n v="128"/>
    <n v="67.2"/>
    <s v="OK"/>
    <s v="Ok"/>
    <n v="723"/>
  </r>
  <r>
    <x v="33"/>
    <x v="3"/>
    <s v="Jabberstorm"/>
    <s v="6738 Tennyson Road"/>
    <x v="0"/>
    <s v="02-655-3240"/>
    <s v="95-200-1972"/>
    <x v="168"/>
    <d v="2024-05-21T00:00:00"/>
    <d v="2026-06-20T00:00:00"/>
    <n v="99"/>
    <n v="44"/>
    <n v="52"/>
    <n v="2"/>
    <n v="36"/>
    <n v="2"/>
    <n v="-1.1399999999999999"/>
    <n v="198"/>
    <n v="72"/>
    <s v="OK"/>
    <s v="Expiring Soon"/>
    <n v="741"/>
  </r>
  <r>
    <x v="61"/>
    <x v="3"/>
    <s v="Tanoodle"/>
    <s v="8 Hazelcrest Street"/>
    <x v="2"/>
    <s v="01-839-6534"/>
    <s v="51-519-4588"/>
    <x v="168"/>
    <d v="2025-02-04T00:00:00"/>
    <d v="2026-09-02T00:00:00"/>
    <n v="56"/>
    <n v="28"/>
    <n v="76"/>
    <n v="3"/>
    <n v="93"/>
    <n v="69"/>
    <n v="0.94"/>
    <n v="168"/>
    <n v="279"/>
    <s v="OK"/>
    <s v="Ok"/>
    <n v="482"/>
  </r>
  <r>
    <x v="2"/>
    <x v="2"/>
    <s v="Skidoo"/>
    <s v="27 School Court"/>
    <x v="0"/>
    <s v="98-499-2220"/>
    <s v="69-666-2257"/>
    <x v="168"/>
    <d v="2024-04-22T00:00:00"/>
    <d v="2026-11-21T00:00:00"/>
    <n v="37"/>
    <n v="3"/>
    <n v="45"/>
    <n v="12"/>
    <n v="39"/>
    <n v="28"/>
    <n v="0.26"/>
    <n v="444"/>
    <n v="468"/>
    <s v="OK"/>
    <s v="Ok"/>
    <n v="770"/>
  </r>
  <r>
    <x v="76"/>
    <x v="3"/>
    <s v="Livetube"/>
    <s v="9951 Petterle Alley"/>
    <x v="2"/>
    <s v="69-171-1305"/>
    <s v="33-733-7313"/>
    <x v="169"/>
    <d v="2024-06-18T00:00:00"/>
    <d v="2026-10-11T00:00:00"/>
    <n v="31"/>
    <n v="29"/>
    <n v="57"/>
    <n v="2.5"/>
    <n v="25"/>
    <n v="22"/>
    <n v="0.28000000000000003"/>
    <n v="77.5"/>
    <n v="62.5"/>
    <s v="OK"/>
    <s v="Ok"/>
    <n v="713"/>
  </r>
  <r>
    <x v="71"/>
    <x v="6"/>
    <s v="Agivu"/>
    <s v="38 Banding Lane"/>
    <x v="1"/>
    <s v="57-394-4703"/>
    <s v="52-130-3457"/>
    <x v="169"/>
    <d v="2025-01-07T00:00:00"/>
    <d v="2026-10-16T00:00:00"/>
    <n v="81"/>
    <n v="83"/>
    <n v="36"/>
    <n v="25"/>
    <n v="74"/>
    <n v="86"/>
    <n v="0.12"/>
    <n v="2025"/>
    <n v="1850"/>
    <s v="REORDER"/>
    <s v="Ok"/>
    <n v="510"/>
  </r>
  <r>
    <x v="29"/>
    <x v="3"/>
    <s v="Avaveo"/>
    <s v="06 Lake View Trail"/>
    <x v="1"/>
    <s v="58-946-5152"/>
    <s v="42-201-4328"/>
    <x v="169"/>
    <d v="2024-11-05T00:00:00"/>
    <d v="2026-07-10T00:00:00"/>
    <n v="11"/>
    <n v="77"/>
    <n v="7"/>
    <n v="1.5"/>
    <n v="77"/>
    <n v="46"/>
    <n v="-0.16"/>
    <n v="16.5"/>
    <n v="115.5"/>
    <s v="REORDER"/>
    <s v="Ok"/>
    <n v="573"/>
  </r>
  <r>
    <x v="15"/>
    <x v="0"/>
    <s v="Gigaclub"/>
    <s v="84642 Clarendon Point"/>
    <x v="2"/>
    <s v="74-587-2065"/>
    <s v="33-141-1402"/>
    <x v="170"/>
    <d v="2025-02-20T00:00:00"/>
    <d v="2026-03-02T00:00:00"/>
    <n v="29"/>
    <n v="20"/>
    <n v="85"/>
    <n v="4.5"/>
    <n v="31"/>
    <n v="31"/>
    <n v="0.4"/>
    <n v="130.5"/>
    <n v="139.5"/>
    <s v="OK"/>
    <s v="Expired"/>
    <n v="466"/>
  </r>
  <r>
    <x v="108"/>
    <x v="0"/>
    <s v="Jaxspan"/>
    <s v="11 Golden Leaf Alley"/>
    <x v="2"/>
    <s v="69-287-9113"/>
    <s v="20-952-0731"/>
    <x v="170"/>
    <d v="2024-06-29T00:00:00"/>
    <d v="2026-12-16T00:00:00"/>
    <n v="59"/>
    <n v="91"/>
    <n v="24"/>
    <n v="2.5"/>
    <n v="54"/>
    <n v="87"/>
    <n v="0"/>
    <n v="147.5"/>
    <n v="135"/>
    <s v="REORDER"/>
    <s v="Ok"/>
    <n v="702"/>
  </r>
  <r>
    <x v="9"/>
    <x v="2"/>
    <s v="Wordpedia"/>
    <s v="6 Bobwhite Alley"/>
    <x v="1"/>
    <s v="03-441-4252"/>
    <s v="11-430-6041"/>
    <x v="170"/>
    <d v="2024-06-28T00:00:00"/>
    <d v="2026-07-24T00:00:00"/>
    <n v="12"/>
    <n v="83"/>
    <n v="93"/>
    <n v="1.75"/>
    <n v="22"/>
    <n v="9"/>
    <n v="-0.61"/>
    <n v="21"/>
    <n v="38.5"/>
    <s v="REORDER"/>
    <s v="Ok"/>
    <n v="703"/>
  </r>
  <r>
    <x v="32"/>
    <x v="0"/>
    <s v="Yata"/>
    <s v="7 Talmadge Street"/>
    <x v="0"/>
    <s v="29-344-3658"/>
    <s v="33-546-5056"/>
    <x v="170"/>
    <d v="2024-10-25T00:00:00"/>
    <d v="2026-09-19T00:00:00"/>
    <n v="75"/>
    <n v="56"/>
    <n v="57"/>
    <n v="1.9"/>
    <n v="63"/>
    <n v="64"/>
    <n v="0.59"/>
    <n v="142.5"/>
    <n v="119.69999999999999"/>
    <s v="OK"/>
    <s v="Ok"/>
    <n v="584"/>
  </r>
  <r>
    <x v="47"/>
    <x v="4"/>
    <s v="Topicblab"/>
    <s v="374 Blue Bill Park Point"/>
    <x v="2"/>
    <s v="12-342-4482"/>
    <s v="71-300-8176"/>
    <x v="170"/>
    <d v="2024-09-30T00:00:00"/>
    <d v="2026-08-29T00:00:00"/>
    <n v="67"/>
    <n v="83"/>
    <n v="90"/>
    <n v="11.6"/>
    <n v="66"/>
    <n v="77"/>
    <n v="-0.02"/>
    <n v="777.19999999999993"/>
    <n v="765.6"/>
    <s v="REORDER"/>
    <s v="Ok"/>
    <n v="609"/>
  </r>
  <r>
    <x v="78"/>
    <x v="3"/>
    <s v="Devpoint"/>
    <s v="185 Saint Paul Road"/>
    <x v="1"/>
    <s v="99-894-4351"/>
    <s v="45-602-6533"/>
    <x v="170"/>
    <d v="2025-02-24T00:00:00"/>
    <d v="2026-12-25T00:00:00"/>
    <n v="29"/>
    <n v="54"/>
    <n v="54"/>
    <n v="2"/>
    <n v="58"/>
    <n v="63"/>
    <n v="-0.17"/>
    <n v="58"/>
    <n v="116"/>
    <s v="REORDER"/>
    <s v="Ok"/>
    <n v="462"/>
  </r>
  <r>
    <x v="3"/>
    <x v="0"/>
    <s v="Gigaclub"/>
    <s v="1509 Hoard Circle"/>
    <x v="0"/>
    <s v="34-709-9237"/>
    <s v="66-680-8738"/>
    <x v="170"/>
    <d v="2024-03-13T00:00:00"/>
    <d v="2026-04-24T00:00:00"/>
    <n v="61"/>
    <n v="81"/>
    <n v="99"/>
    <n v="1.5"/>
    <n v="26"/>
    <n v="76"/>
    <n v="-0.09"/>
    <n v="91.5"/>
    <n v="39"/>
    <s v="REORDER"/>
    <s v="Expired"/>
    <n v="810"/>
  </r>
  <r>
    <x v="14"/>
    <x v="0"/>
    <s v="Abata"/>
    <s v="30408 5th Way"/>
    <x v="2"/>
    <s v="05-498-7751"/>
    <s v="17-963-6051"/>
    <x v="171"/>
    <d v="2024-07-10T00:00:00"/>
    <d v="2026-03-24T00:00:00"/>
    <n v="52"/>
    <n v="22"/>
    <n v="37"/>
    <n v="2.5"/>
    <n v="56"/>
    <n v="44"/>
    <n v="-1.92"/>
    <n v="130"/>
    <n v="140"/>
    <s v="OK"/>
    <s v="Expired"/>
    <n v="691"/>
  </r>
  <r>
    <x v="66"/>
    <x v="0"/>
    <s v="Quaxo"/>
    <s v="0500 Calypso Pass"/>
    <x v="1"/>
    <s v="32-270-1385"/>
    <s v="81-072-8266"/>
    <x v="171"/>
    <d v="2024-12-15T00:00:00"/>
    <d v="2026-08-08T00:00:00"/>
    <n v="28"/>
    <n v="38"/>
    <n v="23"/>
    <n v="42.58"/>
    <n v="48"/>
    <n v="56"/>
    <n v="0.21"/>
    <n v="1192.24"/>
    <n v="2043.84"/>
    <s v="REORDER"/>
    <s v="Ok"/>
    <n v="533"/>
  </r>
  <r>
    <x v="29"/>
    <x v="3"/>
    <s v="Skynoodle"/>
    <s v="978 Shasta Lane"/>
    <x v="2"/>
    <s v="67-710-5120"/>
    <s v="00-131-9278"/>
    <x v="172"/>
    <d v="2024-12-29T00:00:00"/>
    <d v="2026-02-25T00:00:00"/>
    <n v="84"/>
    <n v="92"/>
    <n v="18"/>
    <n v="1.5"/>
    <n v="92"/>
    <n v="69"/>
    <n v="-0.17"/>
    <n v="126"/>
    <n v="138"/>
    <s v="REORDER"/>
    <s v="Expired"/>
    <n v="519"/>
  </r>
  <r>
    <x v="69"/>
    <x v="0"/>
    <s v="Demivee"/>
    <s v="524 Saint Paul Park"/>
    <x v="1"/>
    <s v="37-709-3532"/>
    <s v="08-439-3820"/>
    <x v="172"/>
    <d v="2024-11-07T00:00:00"/>
    <d v="2026-05-11T00:00:00"/>
    <n v="79"/>
    <n v="45"/>
    <n v="39"/>
    <n v="6"/>
    <n v="55"/>
    <n v="20"/>
    <n v="0.25"/>
    <n v="474"/>
    <n v="330"/>
    <s v="OK"/>
    <s v="Expired"/>
    <n v="571"/>
  </r>
  <r>
    <x v="39"/>
    <x v="1"/>
    <s v="Shuffledrive"/>
    <s v="9 Meadow Vale Drive"/>
    <x v="1"/>
    <s v="60-311-5701"/>
    <s v="07-578-7055"/>
    <x v="172"/>
    <d v="2024-10-19T00:00:00"/>
    <d v="2026-07-17T00:00:00"/>
    <n v="39"/>
    <n v="78"/>
    <n v="97"/>
    <n v="6.5"/>
    <n v="54"/>
    <n v="89"/>
    <n v="0.64"/>
    <n v="253.5"/>
    <n v="351"/>
    <s v="REORDER"/>
    <s v="Ok"/>
    <n v="590"/>
  </r>
  <r>
    <x v="82"/>
    <x v="2"/>
    <s v="Twitterlist"/>
    <s v="467 Dexter Pass"/>
    <x v="0"/>
    <s v="97-093-4278"/>
    <s v="38-200-4863"/>
    <x v="172"/>
    <d v="2024-04-09T00:00:00"/>
    <d v="2026-06-01T00:00:00"/>
    <n v="69"/>
    <n v="98"/>
    <n v="89"/>
    <n v="2.5499999999999998"/>
    <n v="29"/>
    <n v="34"/>
    <n v="-0.65"/>
    <n v="175.95"/>
    <n v="73.949999999999989"/>
    <s v="REORDER"/>
    <s v="Expiring Soon"/>
    <n v="783"/>
  </r>
  <r>
    <x v="65"/>
    <x v="3"/>
    <s v="Camido"/>
    <s v="16 Fair Oaks Pass"/>
    <x v="1"/>
    <s v="41-131-3841"/>
    <s v="55-269-1746"/>
    <x v="172"/>
    <d v="2025-01-23T00:00:00"/>
    <d v="2026-03-20T00:00:00"/>
    <n v="77"/>
    <n v="19"/>
    <n v="31"/>
    <n v="9.5"/>
    <n v="27"/>
    <n v="25"/>
    <n v="-0.17"/>
    <n v="731.5"/>
    <n v="256.5"/>
    <s v="OK"/>
    <s v="Expired"/>
    <n v="494"/>
  </r>
  <r>
    <x v="107"/>
    <x v="0"/>
    <s v="Voomm"/>
    <s v="8119 Homewood Drive"/>
    <x v="0"/>
    <s v="40-630-1431"/>
    <s v="61-040-9004"/>
    <x v="172"/>
    <d v="2024-07-11T00:00:00"/>
    <d v="2026-11-07T00:00:00"/>
    <n v="29"/>
    <n v="66"/>
    <n v="21"/>
    <n v="8"/>
    <n v="74"/>
    <n v="93"/>
    <n v="7.0000000000000007E-2"/>
    <n v="232"/>
    <n v="592"/>
    <s v="REORDER"/>
    <s v="Ok"/>
    <n v="690"/>
  </r>
  <r>
    <x v="38"/>
    <x v="1"/>
    <s v="Dynabox"/>
    <s v="4571 Fremont Way"/>
    <x v="2"/>
    <s v="64-493-5270"/>
    <s v="36-964-9838"/>
    <x v="173"/>
    <d v="2024-05-23T00:00:00"/>
    <d v="2026-05-22T00:00:00"/>
    <n v="69"/>
    <n v="59"/>
    <n v="29"/>
    <n v="1.8"/>
    <n v="63"/>
    <n v="91"/>
    <n v="-0.26"/>
    <n v="124.2"/>
    <n v="113.4"/>
    <s v="OK"/>
    <s v="Expired"/>
    <n v="739"/>
  </r>
  <r>
    <x v="38"/>
    <x v="1"/>
    <s v="Skibox"/>
    <s v="357 High Crossing Parkway"/>
    <x v="2"/>
    <s v="07-219-8017"/>
    <s v="95-148-9287"/>
    <x v="174"/>
    <d v="2024-08-13T00:00:00"/>
    <d v="2026-11-08T00:00:00"/>
    <n v="40"/>
    <n v="2"/>
    <n v="58"/>
    <n v="1.8"/>
    <n v="71"/>
    <n v="10"/>
    <n v="-0.44"/>
    <n v="72"/>
    <n v="127.8"/>
    <s v="OK"/>
    <s v="Ok"/>
    <n v="657"/>
  </r>
  <r>
    <x v="48"/>
    <x v="0"/>
    <s v="Skyndu"/>
    <s v="03 Roth Court"/>
    <x v="0"/>
    <s v="73-751-4393"/>
    <s v="14-486-5626"/>
    <x v="174"/>
    <d v="2024-06-07T00:00:00"/>
    <d v="2026-03-23T00:00:00"/>
    <n v="68"/>
    <n v="10"/>
    <n v="29"/>
    <n v="2"/>
    <n v="37"/>
    <n v="11"/>
    <n v="0.86"/>
    <n v="136"/>
    <n v="74"/>
    <s v="OK"/>
    <s v="Expired"/>
    <n v="724"/>
  </r>
  <r>
    <x v="96"/>
    <x v="0"/>
    <s v="Meedoo"/>
    <s v="7182 Summit Court"/>
    <x v="1"/>
    <s v="50-942-2409"/>
    <s v="69-472-4067"/>
    <x v="174"/>
    <d v="2024-04-23T00:00:00"/>
    <d v="2026-12-10T00:00:00"/>
    <n v="75"/>
    <n v="91"/>
    <n v="68"/>
    <n v="3"/>
    <n v="96"/>
    <n v="73"/>
    <n v="0.7"/>
    <n v="225"/>
    <n v="288"/>
    <s v="REORDER"/>
    <s v="Ok"/>
    <n v="769"/>
  </r>
  <r>
    <x v="37"/>
    <x v="5"/>
    <s v="Chatterbridge"/>
    <s v="481 Mifflin Hill"/>
    <x v="1"/>
    <s v="01-018-6418"/>
    <s v="78-888-6073"/>
    <x v="175"/>
    <d v="2024-09-27T00:00:00"/>
    <d v="2026-07-16T00:00:00"/>
    <n v="68"/>
    <n v="29"/>
    <n v="100"/>
    <n v="5"/>
    <n v="70"/>
    <n v="26"/>
    <n v="0.24"/>
    <n v="340"/>
    <n v="350"/>
    <s v="OK"/>
    <s v="Ok"/>
    <n v="612"/>
  </r>
  <r>
    <x v="20"/>
    <x v="6"/>
    <s v="Zoozzy"/>
    <s v="697 Hoepker Center"/>
    <x v="2"/>
    <s v="59-725-4038"/>
    <s v="39-055-1703"/>
    <x v="175"/>
    <d v="2024-08-26T00:00:00"/>
    <d v="2026-08-23T00:00:00"/>
    <n v="78"/>
    <n v="34"/>
    <n v="39"/>
    <n v="20.5"/>
    <n v="62"/>
    <n v="2"/>
    <n v="0.63"/>
    <n v="1599"/>
    <n v="1271"/>
    <s v="OK"/>
    <s v="Ok"/>
    <n v="644"/>
  </r>
  <r>
    <x v="9"/>
    <x v="2"/>
    <s v="Browsecat"/>
    <s v="5551 Mallory Lane"/>
    <x v="1"/>
    <s v="40-997-2786"/>
    <s v="18-743-4684"/>
    <x v="176"/>
    <d v="2024-05-23T00:00:00"/>
    <d v="2026-10-14T00:00:00"/>
    <n v="76"/>
    <n v="98"/>
    <n v="41"/>
    <n v="1.75"/>
    <n v="62"/>
    <n v="48"/>
    <n v="0.97"/>
    <n v="133"/>
    <n v="108.5"/>
    <s v="REORDER"/>
    <s v="Ok"/>
    <n v="739"/>
  </r>
  <r>
    <x v="112"/>
    <x v="0"/>
    <s v="Jabbersphere"/>
    <s v="20 Nelson Way"/>
    <x v="0"/>
    <s v="11-766-8738"/>
    <s v="96-393-1428"/>
    <x v="176"/>
    <d v="2024-11-30T00:00:00"/>
    <d v="2026-03-22T00:00:00"/>
    <n v="27"/>
    <n v="64"/>
    <n v="43"/>
    <n v="3"/>
    <n v="70"/>
    <n v="58"/>
    <n v="0.23"/>
    <n v="81"/>
    <n v="210"/>
    <s v="REORDER"/>
    <s v="Expired"/>
    <n v="548"/>
  </r>
  <r>
    <x v="20"/>
    <x v="6"/>
    <s v="Yadel"/>
    <s v="988 Southridge Way"/>
    <x v="2"/>
    <s v="40-860-4532"/>
    <s v="73-625-5112"/>
    <x v="177"/>
    <d v="2024-02-27T00:00:00"/>
    <d v="2027-02-05T00:00:00"/>
    <n v="74"/>
    <n v="72"/>
    <n v="18"/>
    <n v="21"/>
    <n v="83"/>
    <n v="54"/>
    <n v="0.17"/>
    <n v="1554"/>
    <n v="1743"/>
    <s v="OK"/>
    <s v="Ok"/>
    <n v="825"/>
  </r>
  <r>
    <x v="29"/>
    <x v="3"/>
    <s v="Mynte"/>
    <s v="52691 8th Drive"/>
    <x v="2"/>
    <s v="55-936-2406"/>
    <s v="29-689-5014"/>
    <x v="178"/>
    <d v="2024-03-09T00:00:00"/>
    <d v="2026-04-05T00:00:00"/>
    <n v="27"/>
    <n v="93"/>
    <n v="88"/>
    <n v="1.5"/>
    <n v="66"/>
    <n v="13"/>
    <n v="0.35"/>
    <n v="40.5"/>
    <n v="99"/>
    <s v="REORDER"/>
    <s v="Expired"/>
    <n v="814"/>
  </r>
  <r>
    <x v="33"/>
    <x v="3"/>
    <s v="Photobug"/>
    <s v="04 Blaine Lane"/>
    <x v="1"/>
    <s v="62-816-8794"/>
    <s v="56-110-5754"/>
    <x v="178"/>
    <d v="2024-06-17T00:00:00"/>
    <d v="2027-02-06T00:00:00"/>
    <n v="15"/>
    <n v="76"/>
    <n v="81"/>
    <n v="2"/>
    <n v="90"/>
    <n v="26"/>
    <n v="0.8"/>
    <n v="30"/>
    <n v="180"/>
    <s v="REORDER"/>
    <s v="Ok"/>
    <n v="714"/>
  </r>
  <r>
    <x v="82"/>
    <x v="2"/>
    <s v="Trilia"/>
    <s v="55095 Northview Drive"/>
    <x v="2"/>
    <s v="04-104-6993"/>
    <s v="06-776-1072"/>
    <x v="178"/>
    <d v="2024-08-27T00:00:00"/>
    <d v="2026-10-15T00:00:00"/>
    <n v="60"/>
    <n v="1"/>
    <n v="42"/>
    <n v="2.4500000000000002"/>
    <n v="42"/>
    <n v="91"/>
    <n v="0.71"/>
    <n v="147"/>
    <n v="102.9"/>
    <s v="OK"/>
    <s v="Ok"/>
    <n v="643"/>
  </r>
  <r>
    <x v="27"/>
    <x v="4"/>
    <s v="Fiveclub"/>
    <s v="509 Carpenter Trail"/>
    <x v="1"/>
    <s v="35-835-5591"/>
    <s v="54-876-4296"/>
    <x v="179"/>
    <d v="2024-06-05T00:00:00"/>
    <d v="2026-03-08T00:00:00"/>
    <n v="95"/>
    <n v="63"/>
    <n v="73"/>
    <n v="7"/>
    <n v="61"/>
    <n v="38"/>
    <n v="-1.17"/>
    <n v="665"/>
    <n v="427"/>
    <s v="OK"/>
    <s v="Expired"/>
    <n v="726"/>
  </r>
  <r>
    <x v="20"/>
    <x v="6"/>
    <s v="Feedmix"/>
    <s v="298 Corry Plaza"/>
    <x v="0"/>
    <s v="83-704-6367"/>
    <s v="41-628-8713"/>
    <x v="179"/>
    <d v="2024-09-02T00:00:00"/>
    <d v="2026-09-07T00:00:00"/>
    <n v="21"/>
    <n v="87"/>
    <n v="12"/>
    <n v="21"/>
    <n v="20"/>
    <n v="38"/>
    <n v="0.38"/>
    <n v="441"/>
    <n v="420"/>
    <s v="REORDER"/>
    <s v="Ok"/>
    <n v="637"/>
  </r>
  <r>
    <x v="117"/>
    <x v="0"/>
    <s v="Kayveo"/>
    <s v="9 Karstens Center"/>
    <x v="0"/>
    <s v="60-771-0879"/>
    <s v="90-554-0576"/>
    <x v="179"/>
    <d v="2025-02-11T00:00:00"/>
    <d v="2026-05-03T00:00:00"/>
    <n v="89"/>
    <n v="15"/>
    <n v="22"/>
    <n v="10"/>
    <n v="79"/>
    <n v="42"/>
    <n v="-0.9"/>
    <n v="890"/>
    <n v="790"/>
    <s v="OK"/>
    <s v="Expired"/>
    <n v="475"/>
  </r>
  <r>
    <x v="46"/>
    <x v="0"/>
    <s v="Rhyloo"/>
    <s v="1661 Springview Terrace"/>
    <x v="2"/>
    <s v="27-269-5260"/>
    <s v="54-724-8610"/>
    <x v="179"/>
    <d v="2024-03-15T00:00:00"/>
    <d v="2026-10-22T00:00:00"/>
    <n v="14"/>
    <n v="81"/>
    <n v="65"/>
    <n v="3.5"/>
    <n v="74"/>
    <n v="84"/>
    <n v="0.47"/>
    <n v="49"/>
    <n v="259"/>
    <s v="REORDER"/>
    <s v="Ok"/>
    <n v="808"/>
  </r>
  <r>
    <x v="22"/>
    <x v="0"/>
    <s v="Oyoloo"/>
    <s v="8239 Laurel Way"/>
    <x v="0"/>
    <s v="20-031-0532"/>
    <s v="35-835-8848"/>
    <x v="179"/>
    <d v="2024-07-25T00:00:00"/>
    <d v="2026-11-09T00:00:00"/>
    <n v="32"/>
    <n v="63"/>
    <n v="92"/>
    <n v="4.9000000000000004"/>
    <n v="84"/>
    <n v="34"/>
    <n v="-0.14000000000000001"/>
    <n v="156.80000000000001"/>
    <n v="411.6"/>
    <s v="REORDER"/>
    <s v="Ok"/>
    <n v="676"/>
  </r>
  <r>
    <x v="100"/>
    <x v="4"/>
    <s v="Skidoo"/>
    <s v="5 Ohio Lane"/>
    <x v="1"/>
    <s v="19-323-0506"/>
    <s v="28-977-3789"/>
    <x v="179"/>
    <d v="2024-04-28T00:00:00"/>
    <d v="2026-10-15T00:00:00"/>
    <n v="68"/>
    <n v="43"/>
    <n v="96"/>
    <n v="20"/>
    <n v="75"/>
    <n v="35"/>
    <n v="0.6"/>
    <n v="1360"/>
    <n v="1500"/>
    <s v="OK"/>
    <s v="Ok"/>
    <n v="764"/>
  </r>
  <r>
    <x v="45"/>
    <x v="2"/>
    <s v="Wordify"/>
    <s v="55782 Welch Hill"/>
    <x v="2"/>
    <s v="46-452-9419"/>
    <s v="67-137-4215"/>
    <x v="180"/>
    <d v="2024-11-14T00:00:00"/>
    <d v="2026-07-08T00:00:00"/>
    <n v="43"/>
    <n v="10"/>
    <n v="15"/>
    <n v="1"/>
    <n v="27"/>
    <n v="69"/>
    <n v="0.53"/>
    <n v="43"/>
    <n v="27"/>
    <s v="OK"/>
    <s v="Ok"/>
    <n v="564"/>
  </r>
  <r>
    <x v="55"/>
    <x v="0"/>
    <s v="Shuffledrive"/>
    <s v="54 Pawling Crossing"/>
    <x v="0"/>
    <s v="90-492-0564"/>
    <s v="18-085-1667"/>
    <x v="180"/>
    <d v="2024-06-25T00:00:00"/>
    <d v="2026-07-20T00:00:00"/>
    <n v="92"/>
    <n v="96"/>
    <n v="56"/>
    <n v="6"/>
    <n v="32"/>
    <n v="22"/>
    <n v="-1.56"/>
    <n v="552"/>
    <n v="192"/>
    <s v="REORDER"/>
    <s v="Ok"/>
    <n v="706"/>
  </r>
  <r>
    <x v="51"/>
    <x v="0"/>
    <s v="Lajo"/>
    <s v="8 Oriole Terrace"/>
    <x v="1"/>
    <s v="17-395-1121"/>
    <s v="67-252-3923"/>
    <x v="180"/>
    <d v="2024-10-08T00:00:00"/>
    <d v="2026-12-03T00:00:00"/>
    <n v="85"/>
    <n v="16"/>
    <n v="74"/>
    <n v="3.85"/>
    <n v="58"/>
    <n v="36"/>
    <n v="0.31"/>
    <n v="327.25"/>
    <n v="223.3"/>
    <s v="OK"/>
    <s v="Ok"/>
    <n v="601"/>
  </r>
  <r>
    <x v="118"/>
    <x v="2"/>
    <s v="Eidel"/>
    <s v="40 Merchant Terrace"/>
    <x v="2"/>
    <s v="83-400-9746"/>
    <s v="02-510-0629"/>
    <x v="180"/>
    <d v="2024-07-12T00:00:00"/>
    <d v="2026-03-01T00:00:00"/>
    <n v="24"/>
    <n v="1"/>
    <n v="65"/>
    <n v="7"/>
    <n v="58"/>
    <n v="61"/>
    <n v="0.38"/>
    <n v="168"/>
    <n v="406"/>
    <s v="OK"/>
    <s v="Expired"/>
    <n v="689"/>
  </r>
  <r>
    <x v="112"/>
    <x v="0"/>
    <s v="Dabjam"/>
    <s v="4 Dakota Avenue"/>
    <x v="1"/>
    <s v="19-854-3663"/>
    <s v="72-509-7548"/>
    <x v="181"/>
    <d v="2024-05-05T00:00:00"/>
    <d v="2026-12-14T00:00:00"/>
    <n v="13"/>
    <n v="88"/>
    <n v="11"/>
    <n v="3"/>
    <n v="100"/>
    <n v="52"/>
    <n v="-0.05"/>
    <n v="39"/>
    <n v="300"/>
    <s v="REORDER"/>
    <s v="Ok"/>
    <n v="757"/>
  </r>
  <r>
    <x v="87"/>
    <x v="4"/>
    <s v="Rhybox"/>
    <s v="1005 Lyons Junction"/>
    <x v="0"/>
    <s v="57-167-0669"/>
    <s v="30-934-3251"/>
    <x v="182"/>
    <d v="2025-02-17T00:00:00"/>
    <d v="2026-12-30T00:00:00"/>
    <n v="19"/>
    <n v="99"/>
    <n v="78"/>
    <n v="9"/>
    <n v="29"/>
    <n v="54"/>
    <n v="0.48"/>
    <n v="171"/>
    <n v="261"/>
    <s v="REORDER"/>
    <s v="Ok"/>
    <n v="469"/>
  </r>
  <r>
    <x v="20"/>
    <x v="6"/>
    <s v="Mynte"/>
    <s v="43024 Elka Avenue"/>
    <x v="1"/>
    <s v="76-954-1442"/>
    <s v="68-200-8955"/>
    <x v="183"/>
    <d v="2024-04-24T00:00:00"/>
    <d v="2026-03-18T00:00:00"/>
    <n v="97"/>
    <n v="77"/>
    <n v="99"/>
    <n v="20"/>
    <n v="74"/>
    <n v="98"/>
    <n v="-0.86"/>
    <n v="1940"/>
    <n v="1480"/>
    <s v="OK"/>
    <s v="Expired"/>
    <n v="768"/>
  </r>
  <r>
    <x v="82"/>
    <x v="2"/>
    <s v="Jatri"/>
    <s v="5 Armistice Parkway"/>
    <x v="1"/>
    <s v="83-763-5038"/>
    <s v="26-438-8349"/>
    <x v="183"/>
    <d v="2024-09-09T00:00:00"/>
    <d v="2026-10-23T00:00:00"/>
    <n v="52"/>
    <n v="64"/>
    <n v="54"/>
    <n v="2.4"/>
    <n v="21"/>
    <n v="55"/>
    <n v="-0.32"/>
    <n v="124.8"/>
    <n v="50.4"/>
    <s v="REORDER"/>
    <s v="Ok"/>
    <n v="630"/>
  </r>
  <r>
    <x v="106"/>
    <x v="2"/>
    <s v="Centidel"/>
    <s v="3831 Goodland Road"/>
    <x v="0"/>
    <s v="80-375-9075"/>
    <s v="86-487-3354"/>
    <x v="184"/>
    <d v="2024-10-20T00:00:00"/>
    <d v="2026-06-19T00:00:00"/>
    <n v="96"/>
    <n v="34"/>
    <n v="57"/>
    <n v="8"/>
    <n v="71"/>
    <n v="17"/>
    <n v="-1.62"/>
    <n v="768"/>
    <n v="568"/>
    <s v="OK"/>
    <s v="Expiring Soon"/>
    <n v="589"/>
  </r>
  <r>
    <x v="103"/>
    <x v="1"/>
    <s v="Centizu"/>
    <s v="92486 Laurel Alley"/>
    <x v="0"/>
    <s v="87-391-9658"/>
    <s v="51-054-1226"/>
    <x v="184"/>
    <d v="2024-09-18T00:00:00"/>
    <d v="2027-01-07T00:00:00"/>
    <n v="26"/>
    <n v="100"/>
    <n v="13"/>
    <n v="2.5"/>
    <n v="45"/>
    <n v="45"/>
    <n v="0.76"/>
    <n v="65"/>
    <n v="112.5"/>
    <s v="REORDER"/>
    <s v="Ok"/>
    <n v="621"/>
  </r>
  <r>
    <x v="76"/>
    <x v="3"/>
    <s v="Quinu"/>
    <s v="9 Victoria Point"/>
    <x v="1"/>
    <s v="67-725-6830"/>
    <s v="05-727-0033"/>
    <x v="184"/>
    <d v="2024-08-11T00:00:00"/>
    <d v="2026-06-18T00:00:00"/>
    <n v="51"/>
    <n v="47"/>
    <n v="6"/>
    <n v="2.5"/>
    <n v="53"/>
    <n v="4"/>
    <n v="0"/>
    <n v="127.5"/>
    <n v="132.5"/>
    <s v="OK"/>
    <s v="Expiring Soon"/>
    <n v="659"/>
  </r>
  <r>
    <x v="28"/>
    <x v="3"/>
    <s v="Feednation"/>
    <s v="6748 Mitchell Road"/>
    <x v="2"/>
    <s v="12-093-9863"/>
    <s v="21-416-3796"/>
    <x v="184"/>
    <d v="2025-02-09T00:00:00"/>
    <d v="2026-06-26T00:00:00"/>
    <n v="51"/>
    <n v="19"/>
    <n v="96"/>
    <n v="4.5"/>
    <n v="73"/>
    <n v="42"/>
    <n v="0.92"/>
    <n v="229.5"/>
    <n v="328.5"/>
    <s v="OK"/>
    <s v="Expiring Soon"/>
    <n v="477"/>
  </r>
  <r>
    <x v="18"/>
    <x v="0"/>
    <s v="Eire"/>
    <s v="81 Oneill Circle"/>
    <x v="1"/>
    <s v="44-408-7594"/>
    <s v="08-828-3804"/>
    <x v="185"/>
    <d v="2024-05-01T00:00:00"/>
    <d v="2027-01-08T00:00:00"/>
    <n v="39"/>
    <n v="21"/>
    <n v="5"/>
    <n v="3"/>
    <n v="51"/>
    <n v="98"/>
    <n v="0.42"/>
    <n v="117"/>
    <n v="153"/>
    <s v="OK"/>
    <s v="Ok"/>
    <n v="761"/>
  </r>
  <r>
    <x v="42"/>
    <x v="0"/>
    <s v="Zoonder"/>
    <s v="537 Maple Alley"/>
    <x v="2"/>
    <s v="04-637-8815"/>
    <s v="60-959-6355"/>
    <x v="185"/>
    <d v="2024-11-27T00:00:00"/>
    <d v="2026-11-24T00:00:00"/>
    <n v="90"/>
    <n v="91"/>
    <n v="62"/>
    <n v="5"/>
    <n v="34"/>
    <n v="72"/>
    <n v="-0.92"/>
    <n v="450"/>
    <n v="170"/>
    <s v="REORDER"/>
    <s v="Ok"/>
    <n v="551"/>
  </r>
  <r>
    <x v="48"/>
    <x v="0"/>
    <s v="Skiba"/>
    <s v="82737 Ryan Place"/>
    <x v="2"/>
    <s v="88-746-9468"/>
    <s v="06-159-1957"/>
    <x v="186"/>
    <d v="2025-02-03T00:00:00"/>
    <d v="2026-11-14T00:00:00"/>
    <n v="35"/>
    <n v="92"/>
    <n v="74"/>
    <n v="2"/>
    <n v="76"/>
    <n v="32"/>
    <n v="-1.1200000000000001"/>
    <n v="70"/>
    <n v="152"/>
    <s v="REORDER"/>
    <s v="Ok"/>
    <n v="483"/>
  </r>
  <r>
    <x v="105"/>
    <x v="6"/>
    <s v="Zoovu"/>
    <s v="7 Hallows Alley"/>
    <x v="1"/>
    <s v="32-987-5559"/>
    <s v="01-665-0053"/>
    <x v="186"/>
    <d v="2025-01-30T00:00:00"/>
    <d v="2026-05-15T00:00:00"/>
    <n v="39"/>
    <n v="88"/>
    <n v="100"/>
    <n v="8"/>
    <n v="28"/>
    <n v="18"/>
    <n v="0.57999999999999996"/>
    <n v="312"/>
    <n v="224"/>
    <s v="REORDER"/>
    <s v="Expired"/>
    <n v="487"/>
  </r>
  <r>
    <x v="61"/>
    <x v="3"/>
    <s v="Quatz"/>
    <s v="60 Main Pass"/>
    <x v="2"/>
    <s v="02-484-0206"/>
    <s v="62-011-9357"/>
    <x v="186"/>
    <d v="2024-08-20T00:00:00"/>
    <d v="2026-08-02T00:00:00"/>
    <n v="64"/>
    <n v="97"/>
    <n v="91"/>
    <n v="3"/>
    <n v="48"/>
    <n v="100"/>
    <n v="0.36"/>
    <n v="192"/>
    <n v="144"/>
    <s v="REORDER"/>
    <s v="Ok"/>
    <n v="650"/>
  </r>
  <r>
    <x v="54"/>
    <x v="3"/>
    <s v="Yoveo"/>
    <s v="652 High Crossing Lane"/>
    <x v="2"/>
    <s v="80-441-7249"/>
    <s v="35-979-6839"/>
    <x v="186"/>
    <d v="2024-04-14T00:00:00"/>
    <d v="2026-08-10T00:00:00"/>
    <n v="98"/>
    <n v="30"/>
    <n v="39"/>
    <n v="10"/>
    <n v="31"/>
    <n v="26"/>
    <n v="-1.08"/>
    <n v="980"/>
    <n v="310"/>
    <s v="OK"/>
    <s v="Ok"/>
    <n v="778"/>
  </r>
  <r>
    <x v="28"/>
    <x v="3"/>
    <s v="Realcube"/>
    <s v="03416 Valley Edge Circle"/>
    <x v="2"/>
    <s v="41-316-8427"/>
    <s v="75-867-3635"/>
    <x v="187"/>
    <d v="2024-09-06T00:00:00"/>
    <d v="2026-09-21T00:00:00"/>
    <n v="95"/>
    <n v="93"/>
    <n v="16"/>
    <n v="4.5"/>
    <n v="60"/>
    <n v="19"/>
    <n v="0.16"/>
    <n v="427.5"/>
    <n v="270"/>
    <s v="OK"/>
    <s v="Ok"/>
    <n v="633"/>
  </r>
  <r>
    <x v="1"/>
    <x v="1"/>
    <s v="Vimbo"/>
    <s v="05686 Golden Leaf Point"/>
    <x v="0"/>
    <s v="56-668-5370"/>
    <s v="13-526-1392"/>
    <x v="187"/>
    <d v="2024-09-10T00:00:00"/>
    <d v="2026-08-03T00:00:00"/>
    <n v="70"/>
    <n v="96"/>
    <n v="21"/>
    <n v="2"/>
    <n v="100"/>
    <n v="15"/>
    <n v="0.68"/>
    <n v="140"/>
    <n v="200"/>
    <s v="REORDER"/>
    <s v="Ok"/>
    <n v="629"/>
  </r>
  <r>
    <x v="114"/>
    <x v="0"/>
    <s v="Brightbean"/>
    <s v="11 Kedzie Avenue"/>
    <x v="2"/>
    <s v="45-172-7012"/>
    <s v="95-721-9228"/>
    <x v="187"/>
    <d v="2024-12-13T00:00:00"/>
    <d v="2026-12-01T00:00:00"/>
    <n v="20"/>
    <n v="91"/>
    <n v="12"/>
    <n v="4.5"/>
    <n v="35"/>
    <n v="50"/>
    <n v="0.85"/>
    <n v="90"/>
    <n v="157.5"/>
    <s v="REORDER"/>
    <s v="Ok"/>
    <n v="535"/>
  </r>
  <r>
    <x v="46"/>
    <x v="0"/>
    <s v="Gigashots"/>
    <s v="1 Pleasure Hill"/>
    <x v="0"/>
    <s v="93-015-0811"/>
    <s v="07-055-5188"/>
    <x v="187"/>
    <d v="2024-08-05T00:00:00"/>
    <d v="2026-06-26T00:00:00"/>
    <n v="18"/>
    <n v="7"/>
    <n v="58"/>
    <n v="3.5"/>
    <n v="88"/>
    <n v="96"/>
    <n v="-0.43"/>
    <n v="63"/>
    <n v="308"/>
    <s v="OK"/>
    <s v="Expiring Soon"/>
    <n v="665"/>
  </r>
  <r>
    <x v="81"/>
    <x v="1"/>
    <s v="Brightdog"/>
    <s v="08896 Evergreen Avenue"/>
    <x v="0"/>
    <s v="52-029-2382"/>
    <s v="16-474-4516"/>
    <x v="187"/>
    <d v="2024-08-15T00:00:00"/>
    <d v="2026-04-08T00:00:00"/>
    <n v="54"/>
    <n v="86"/>
    <n v="69"/>
    <n v="5"/>
    <n v="29"/>
    <n v="8"/>
    <n v="-0.09"/>
    <n v="270"/>
    <n v="145"/>
    <s v="REORDER"/>
    <s v="Expired"/>
    <n v="655"/>
  </r>
  <r>
    <x v="114"/>
    <x v="0"/>
    <s v="Yakijo"/>
    <s v="309 Burning Wood Center"/>
    <x v="0"/>
    <s v="28-044-4102"/>
    <s v="93-358-1118"/>
    <x v="187"/>
    <d v="2024-03-01T00:00:00"/>
    <d v="2026-08-27T00:00:00"/>
    <n v="19"/>
    <n v="28"/>
    <n v="83"/>
    <n v="4.5"/>
    <n v="91"/>
    <n v="73"/>
    <n v="0.72"/>
    <n v="85.5"/>
    <n v="409.5"/>
    <s v="REORDER"/>
    <s v="Ok"/>
    <n v="822"/>
  </r>
  <r>
    <x v="17"/>
    <x v="2"/>
    <s v="Photobug"/>
    <s v="113 Donald Court"/>
    <x v="2"/>
    <s v="34-861-4446"/>
    <s v="40-696-4237"/>
    <x v="188"/>
    <d v="2025-01-18T00:00:00"/>
    <d v="2027-01-06T00:00:00"/>
    <n v="66"/>
    <n v="40"/>
    <n v="8"/>
    <n v="6"/>
    <n v="43"/>
    <n v="49"/>
    <n v="0.2"/>
    <n v="396"/>
    <n v="258"/>
    <s v="OK"/>
    <s v="Ok"/>
    <n v="499"/>
  </r>
  <r>
    <x v="59"/>
    <x v="0"/>
    <s v="Camimbo"/>
    <s v="611 Waubesa Circle"/>
    <x v="0"/>
    <s v="80-334-0215"/>
    <s v="19-156-3869"/>
    <x v="188"/>
    <d v="2024-04-30T00:00:00"/>
    <d v="2026-06-22T00:00:00"/>
    <n v="88"/>
    <n v="27"/>
    <n v="92"/>
    <n v="5.5"/>
    <n v="57"/>
    <n v="37"/>
    <n v="-0.14000000000000001"/>
    <n v="484"/>
    <n v="313.5"/>
    <s v="OK"/>
    <s v="Expiring Soon"/>
    <n v="762"/>
  </r>
  <r>
    <x v="25"/>
    <x v="5"/>
    <s v="Zoomlounge"/>
    <s v="44 Thompson Terrace"/>
    <x v="0"/>
    <s v="94-697-2396"/>
    <s v="34-161-7429"/>
    <x v="188"/>
    <d v="2024-02-26T00:00:00"/>
    <d v="2026-07-07T00:00:00"/>
    <n v="71"/>
    <n v="97"/>
    <n v="44"/>
    <n v="4"/>
    <n v="58"/>
    <n v="14"/>
    <n v="0.35"/>
    <n v="284"/>
    <n v="232"/>
    <s v="REORDER"/>
    <s v="Ok"/>
    <n v="826"/>
  </r>
  <r>
    <x v="48"/>
    <x v="0"/>
    <s v="Tavu"/>
    <s v="425 Shasta Terrace"/>
    <x v="2"/>
    <s v="76-027-4850"/>
    <s v="75-256-5638"/>
    <x v="188"/>
    <d v="2024-08-26T00:00:00"/>
    <d v="2026-06-24T00:00:00"/>
    <n v="39"/>
    <n v="37"/>
    <n v="48"/>
    <n v="2"/>
    <n v="25"/>
    <n v="19"/>
    <n v="0.76"/>
    <n v="78"/>
    <n v="50"/>
    <s v="OK"/>
    <s v="Expiring Soon"/>
    <n v="644"/>
  </r>
  <r>
    <x v="51"/>
    <x v="0"/>
    <s v="Brainsphere"/>
    <s v="21633 Sycamore Center"/>
    <x v="0"/>
    <s v="15-907-3681"/>
    <s v="72-931-9828"/>
    <x v="189"/>
    <d v="2025-01-27T00:00:00"/>
    <d v="2027-02-20T00:00:00"/>
    <n v="20"/>
    <n v="42"/>
    <n v="21"/>
    <n v="3.85"/>
    <n v="61"/>
    <n v="25"/>
    <n v="0.24"/>
    <n v="77"/>
    <n v="234.85"/>
    <s v="REORDER"/>
    <s v="Ok"/>
    <n v="490"/>
  </r>
  <r>
    <x v="77"/>
    <x v="6"/>
    <s v="Brainverse"/>
    <s v="797 Mcbride Lane"/>
    <x v="0"/>
    <s v="00-641-8691"/>
    <s v="34-824-0575"/>
    <x v="189"/>
    <d v="2024-09-24T00:00:00"/>
    <d v="2026-08-30T00:00:00"/>
    <n v="33"/>
    <n v="22"/>
    <n v="94"/>
    <n v="15"/>
    <n v="96"/>
    <n v="56"/>
    <n v="0.59"/>
    <n v="495"/>
    <n v="1440"/>
    <s v="OK"/>
    <s v="Ok"/>
    <n v="615"/>
  </r>
  <r>
    <x v="32"/>
    <x v="0"/>
    <s v="Tazz"/>
    <s v="083 Mccormick Park"/>
    <x v="1"/>
    <s v="15-762-1058"/>
    <s v="32-914-1424"/>
    <x v="190"/>
    <d v="2025-02-07T00:00:00"/>
    <d v="2027-01-04T00:00:00"/>
    <n v="29"/>
    <n v="83"/>
    <n v="91"/>
    <n v="2"/>
    <n v="81"/>
    <n v="53"/>
    <n v="0.42"/>
    <n v="58"/>
    <n v="162"/>
    <s v="REORDER"/>
    <s v="Ok"/>
    <n v="479"/>
  </r>
  <r>
    <x v="53"/>
    <x v="3"/>
    <s v="Zazio"/>
    <s v="38436 Anthes Way"/>
    <x v="1"/>
    <s v="57-779-4955"/>
    <s v="84-869-9980"/>
    <x v="190"/>
    <d v="2024-12-01T00:00:00"/>
    <d v="2027-01-20T00:00:00"/>
    <n v="92"/>
    <n v="48"/>
    <n v="22"/>
    <n v="6.25"/>
    <n v="38"/>
    <n v="61"/>
    <n v="0.35"/>
    <n v="575"/>
    <n v="237.5"/>
    <s v="OK"/>
    <s v="Ok"/>
    <n v="547"/>
  </r>
  <r>
    <x v="45"/>
    <x v="2"/>
    <s v="Aivee"/>
    <s v="1 Mockingbird Parkway"/>
    <x v="1"/>
    <s v="68-436-1268"/>
    <s v="10-694-6636"/>
    <x v="191"/>
    <d v="2024-08-17T00:00:00"/>
    <d v="2026-07-11T00:00:00"/>
    <n v="70"/>
    <n v="92"/>
    <n v="74"/>
    <n v="1"/>
    <n v="95"/>
    <n v="26"/>
    <n v="-0.61"/>
    <n v="70"/>
    <n v="95"/>
    <s v="REORDER"/>
    <s v="Ok"/>
    <n v="653"/>
  </r>
  <r>
    <x v="2"/>
    <x v="2"/>
    <s v="Quatz"/>
    <s v="3 Bayside Point"/>
    <x v="1"/>
    <s v="26-000-1012"/>
    <s v="60-284-1974"/>
    <x v="191"/>
    <d v="2024-11-29T00:00:00"/>
    <d v="2026-04-12T00:00:00"/>
    <n v="65"/>
    <n v="54"/>
    <n v="29"/>
    <n v="12"/>
    <n v="69"/>
    <n v="79"/>
    <n v="0.73"/>
    <n v="780"/>
    <n v="828"/>
    <s v="OK"/>
    <s v="Expired"/>
    <n v="549"/>
  </r>
  <r>
    <x v="74"/>
    <x v="5"/>
    <s v="Vitz"/>
    <s v="13 Forest Run Place"/>
    <x v="0"/>
    <s v="75-094-1179"/>
    <s v="57-615-0729"/>
    <x v="192"/>
    <d v="2025-02-09T00:00:00"/>
    <d v="2026-07-18T00:00:00"/>
    <n v="26"/>
    <n v="79"/>
    <n v="31"/>
    <n v="3"/>
    <n v="47"/>
    <n v="41"/>
    <n v="-0.14000000000000001"/>
    <n v="78"/>
    <n v="141"/>
    <s v="REORDER"/>
    <s v="Ok"/>
    <n v="477"/>
  </r>
  <r>
    <x v="96"/>
    <x v="0"/>
    <s v="Edgepulse"/>
    <s v="553 Mayfield Crossing"/>
    <x v="1"/>
    <s v="11-032-9778"/>
    <s v="42-380-8881"/>
    <x v="192"/>
    <d v="2025-01-27T00:00:00"/>
    <d v="2026-08-19T00:00:00"/>
    <n v="99"/>
    <n v="1"/>
    <n v="4"/>
    <n v="3"/>
    <n v="50"/>
    <n v="53"/>
    <n v="0.13"/>
    <n v="297"/>
    <n v="150"/>
    <s v="OK"/>
    <s v="Ok"/>
    <n v="490"/>
  </r>
  <r>
    <x v="98"/>
    <x v="5"/>
    <s v="Bubblebox"/>
    <s v="55276 Golf Hill"/>
    <x v="2"/>
    <s v="24-478-8277"/>
    <s v="64-070-7611"/>
    <x v="192"/>
    <d v="2025-01-12T00:00:00"/>
    <d v="2026-11-26T00:00:00"/>
    <n v="47"/>
    <n v="26"/>
    <n v="40"/>
    <n v="3.25"/>
    <n v="30"/>
    <n v="72"/>
    <n v="-0.06"/>
    <n v="152.75"/>
    <n v="97.5"/>
    <s v="OK"/>
    <s v="Ok"/>
    <n v="505"/>
  </r>
  <r>
    <x v="99"/>
    <x v="0"/>
    <s v="Tagtune"/>
    <s v="924 La Follette Alley"/>
    <x v="2"/>
    <s v="12-239-9399"/>
    <s v="53-584-1853"/>
    <x v="193"/>
    <d v="2024-07-29T00:00:00"/>
    <d v="2026-10-27T00:00:00"/>
    <n v="28"/>
    <n v="40"/>
    <n v="27"/>
    <n v="1.2"/>
    <n v="30"/>
    <n v="56"/>
    <n v="-1.4"/>
    <n v="33.6"/>
    <n v="36"/>
    <s v="REORDER"/>
    <s v="Ok"/>
    <n v="672"/>
  </r>
  <r>
    <x v="45"/>
    <x v="2"/>
    <s v="Yombu"/>
    <s v="35598 Fuller Terrace"/>
    <x v="0"/>
    <s v="83-321-7887"/>
    <s v="70-444-9176"/>
    <x v="193"/>
    <d v="2024-11-29T00:00:00"/>
    <d v="2026-08-02T00:00:00"/>
    <n v="44"/>
    <n v="75"/>
    <n v="72"/>
    <n v="1"/>
    <n v="96"/>
    <n v="38"/>
    <n v="-0.87"/>
    <n v="44"/>
    <n v="96"/>
    <s v="REORDER"/>
    <s v="Ok"/>
    <n v="549"/>
  </r>
  <r>
    <x v="97"/>
    <x v="2"/>
    <s v="Divape"/>
    <s v="163 Esch Pass"/>
    <x v="1"/>
    <s v="80-371-3695"/>
    <s v="42-254-7371"/>
    <x v="194"/>
    <d v="2024-11-30T00:00:00"/>
    <d v="2026-12-10T00:00:00"/>
    <n v="89"/>
    <n v="42"/>
    <n v="76"/>
    <n v="5"/>
    <n v="94"/>
    <n v="81"/>
    <n v="0.6"/>
    <n v="445"/>
    <n v="470"/>
    <s v="OK"/>
    <s v="Ok"/>
    <n v="548"/>
  </r>
  <r>
    <x v="88"/>
    <x v="0"/>
    <s v="Thoughtbeat"/>
    <s v="77 Brown Circle"/>
    <x v="0"/>
    <s v="49-199-6836"/>
    <s v="81-999-7392"/>
    <x v="194"/>
    <d v="2024-12-30T00:00:00"/>
    <d v="2026-08-24T00:00:00"/>
    <n v="100"/>
    <n v="64"/>
    <n v="62"/>
    <n v="2.5"/>
    <n v="84"/>
    <n v="44"/>
    <n v="0.14000000000000001"/>
    <n v="250"/>
    <n v="210"/>
    <s v="OK"/>
    <s v="Ok"/>
    <n v="518"/>
  </r>
  <r>
    <x v="111"/>
    <x v="5"/>
    <s v="Mybuzz"/>
    <s v="8 Merrick Lane"/>
    <x v="0"/>
    <s v="85-510-2915"/>
    <s v="55-134-2668"/>
    <x v="195"/>
    <d v="2024-05-29T00:00:00"/>
    <d v="2026-10-09T00:00:00"/>
    <n v="62"/>
    <n v="49"/>
    <n v="38"/>
    <n v="2.5"/>
    <n v="42"/>
    <n v="44"/>
    <n v="0.48"/>
    <n v="155"/>
    <n v="105"/>
    <s v="OK"/>
    <s v="Ok"/>
    <n v="733"/>
  </r>
  <r>
    <x v="40"/>
    <x v="0"/>
    <s v="Meemm"/>
    <s v="9 Cardinal Alley"/>
    <x v="1"/>
    <s v="08-637-9335"/>
    <s v="99-178-0951"/>
    <x v="195"/>
    <d v="2024-03-06T00:00:00"/>
    <d v="2026-07-25T00:00:00"/>
    <n v="100"/>
    <n v="7"/>
    <n v="14"/>
    <n v="2"/>
    <n v="26"/>
    <n v="33"/>
    <n v="-0.05"/>
    <n v="200"/>
    <n v="52"/>
    <s v="OK"/>
    <s v="Ok"/>
    <n v="817"/>
  </r>
  <r>
    <x v="16"/>
    <x v="2"/>
    <s v="Browsecat"/>
    <s v="93 Longview Junction"/>
    <x v="1"/>
    <s v="85-212-2729"/>
    <s v="58-226-6435"/>
    <x v="196"/>
    <d v="2024-12-21T00:00:00"/>
    <d v="2026-05-16T00:00:00"/>
    <n v="42"/>
    <n v="94"/>
    <n v="79"/>
    <n v="2.5"/>
    <n v="61"/>
    <n v="92"/>
    <n v="-0.27"/>
    <n v="105"/>
    <n v="152.5"/>
    <s v="REORDER"/>
    <s v="Expired"/>
    <n v="527"/>
  </r>
  <r>
    <x v="73"/>
    <x v="3"/>
    <s v="Fivebridge"/>
    <s v="04776 Saint Paul Park"/>
    <x v="0"/>
    <s v="51-469-4611"/>
    <s v="62-029-0827"/>
    <x v="197"/>
    <d v="2024-05-24T00:00:00"/>
    <d v="2027-01-07T00:00:00"/>
    <n v="62"/>
    <n v="81"/>
    <n v="91"/>
    <n v="1.6"/>
    <n v="100"/>
    <n v="42"/>
    <n v="-0.51"/>
    <n v="99.2"/>
    <n v="160"/>
    <s v="REORDER"/>
    <s v="Ok"/>
    <n v="738"/>
  </r>
  <r>
    <x v="64"/>
    <x v="0"/>
    <s v="Browseblab"/>
    <s v="7945 Mayer Center"/>
    <x v="0"/>
    <s v="34-928-2775"/>
    <s v="07-959-3210"/>
    <x v="197"/>
    <d v="2025-02-24T00:00:00"/>
    <d v="2027-01-28T00:00:00"/>
    <n v="19"/>
    <n v="47"/>
    <n v="25"/>
    <n v="5"/>
    <n v="96"/>
    <n v="37"/>
    <n v="0.57999999999999996"/>
    <n v="95"/>
    <n v="480"/>
    <s v="REORDER"/>
    <s v="Ok"/>
    <n v="462"/>
  </r>
  <r>
    <x v="101"/>
    <x v="4"/>
    <s v="Buzzshare"/>
    <s v="9433 Jenna Lane"/>
    <x v="1"/>
    <s v="32-676-1026"/>
    <s v="98-155-9583"/>
    <x v="197"/>
    <d v="2024-06-04T00:00:00"/>
    <d v="2026-04-16T00:00:00"/>
    <n v="52"/>
    <n v="46"/>
    <n v="12"/>
    <n v="15"/>
    <n v="43"/>
    <n v="34"/>
    <n v="0.61"/>
    <n v="780"/>
    <n v="645"/>
    <s v="OK"/>
    <s v="Expired"/>
    <n v="727"/>
  </r>
  <r>
    <x v="25"/>
    <x v="5"/>
    <s v="Thoughtstorm"/>
    <s v="2 Grayhawk Junction"/>
    <x v="0"/>
    <s v="53-080-8252"/>
    <s v="73-744-7022"/>
    <x v="198"/>
    <d v="2024-09-24T00:00:00"/>
    <d v="2026-11-20T00:00:00"/>
    <n v="30"/>
    <n v="85"/>
    <n v="21"/>
    <n v="4.5"/>
    <n v="32"/>
    <n v="83"/>
    <n v="0.21"/>
    <n v="135"/>
    <n v="144"/>
    <s v="REORDER"/>
    <s v="Ok"/>
    <n v="615"/>
  </r>
  <r>
    <x v="23"/>
    <x v="0"/>
    <s v="Yodoo"/>
    <s v="6744 Helena Pass"/>
    <x v="2"/>
    <s v="49-526-7806"/>
    <s v="66-973-4855"/>
    <x v="198"/>
    <d v="2024-11-19T00:00:00"/>
    <d v="2026-05-01T00:00:00"/>
    <n v="77"/>
    <n v="52"/>
    <n v="28"/>
    <n v="4"/>
    <n v="48"/>
    <n v="43"/>
    <n v="-1.59"/>
    <n v="308"/>
    <n v="192"/>
    <s v="OK"/>
    <s v="Expired"/>
    <n v="559"/>
  </r>
  <r>
    <x v="17"/>
    <x v="2"/>
    <s v="Kwideo"/>
    <s v="803 Cottonwood Crossing"/>
    <x v="0"/>
    <s v="31-157-1822"/>
    <s v="53-998-1422"/>
    <x v="198"/>
    <d v="2024-07-30T00:00:00"/>
    <d v="2027-01-28T00:00:00"/>
    <n v="96"/>
    <n v="80"/>
    <n v="20"/>
    <n v="6.1"/>
    <n v="94"/>
    <n v="49"/>
    <n v="0.1"/>
    <n v="585.59999999999991"/>
    <n v="573.4"/>
    <s v="OK"/>
    <s v="Ok"/>
    <n v="671"/>
  </r>
  <r>
    <x v="87"/>
    <x v="4"/>
    <s v="Geba"/>
    <s v="269 Dakota Trail"/>
    <x v="1"/>
    <s v="91-426-3204"/>
    <s v="86-184-4829"/>
    <x v="198"/>
    <d v="2024-04-14T00:00:00"/>
    <d v="2026-07-08T00:00:00"/>
    <n v="67"/>
    <n v="71"/>
    <n v="4"/>
    <n v="9"/>
    <n v="76"/>
    <n v="34"/>
    <n v="0.48"/>
    <n v="603"/>
    <n v="684"/>
    <s v="REORDER"/>
    <s v="Ok"/>
    <n v="778"/>
  </r>
  <r>
    <x v="7"/>
    <x v="4"/>
    <s v="Voolia"/>
    <s v="7 Harper Drive"/>
    <x v="1"/>
    <s v="64-109-7362"/>
    <s v="38-603-6412"/>
    <x v="198"/>
    <d v="2024-07-09T00:00:00"/>
    <d v="2026-09-29T00:00:00"/>
    <n v="86"/>
    <n v="55"/>
    <n v="96"/>
    <n v="10"/>
    <n v="37"/>
    <n v="53"/>
    <n v="0.55000000000000004"/>
    <n v="860"/>
    <n v="370"/>
    <s v="OK"/>
    <s v="Ok"/>
    <n v="692"/>
  </r>
  <r>
    <x v="2"/>
    <x v="2"/>
    <s v="Feedspan"/>
    <s v="49869 Bunker Hill Terrace"/>
    <x v="2"/>
    <s v="68-418-6724"/>
    <s v="75-465-6257"/>
    <x v="199"/>
    <d v="2025-01-13T00:00:00"/>
    <d v="2026-09-30T00:00:00"/>
    <n v="63"/>
    <n v="4"/>
    <n v="85"/>
    <n v="12"/>
    <n v="59"/>
    <n v="71"/>
    <n v="-0.43"/>
    <n v="756"/>
    <n v="708"/>
    <s v="OK"/>
    <s v="Ok"/>
    <n v="504"/>
  </r>
  <r>
    <x v="13"/>
    <x v="5"/>
    <s v="Dynabox"/>
    <s v="7407 Farragut Pass"/>
    <x v="2"/>
    <s v="93-813-2419"/>
    <s v="12-264-4503"/>
    <x v="199"/>
    <d v="2024-04-09T00:00:00"/>
    <d v="2026-06-22T00:00:00"/>
    <n v="39"/>
    <n v="16"/>
    <n v="57"/>
    <n v="4"/>
    <n v="98"/>
    <n v="12"/>
    <n v="-0.2"/>
    <n v="156"/>
    <n v="392"/>
    <s v="OK"/>
    <s v="Expiring Soon"/>
    <n v="783"/>
  </r>
  <r>
    <x v="55"/>
    <x v="0"/>
    <s v="Browsebug"/>
    <s v="7 Schiller Court"/>
    <x v="1"/>
    <s v="52-123-8039"/>
    <s v="24-087-5935"/>
    <x v="199"/>
    <d v="2024-09-03T00:00:00"/>
    <d v="2027-01-16T00:00:00"/>
    <n v="43"/>
    <n v="65"/>
    <n v="66"/>
    <n v="6"/>
    <n v="78"/>
    <n v="73"/>
    <n v="0.88"/>
    <n v="258"/>
    <n v="468"/>
    <s v="REORDER"/>
    <s v="Ok"/>
    <n v="636"/>
  </r>
  <r>
    <x v="62"/>
    <x v="4"/>
    <s v="Youspan"/>
    <s v="11263 Kipling Hill"/>
    <x v="1"/>
    <s v="74-666-5671"/>
    <s v="58-657-7257"/>
    <x v="199"/>
    <d v="2024-05-10T00:00:00"/>
    <d v="2026-05-04T00:00:00"/>
    <n v="37"/>
    <n v="33"/>
    <n v="80"/>
    <n v="18"/>
    <n v="27"/>
    <n v="73"/>
    <n v="0.06"/>
    <n v="666"/>
    <n v="486"/>
    <s v="OK"/>
    <s v="Expired"/>
    <n v="752"/>
  </r>
  <r>
    <x v="108"/>
    <x v="0"/>
    <s v="Kare"/>
    <s v="70001 Vahlen Lane"/>
    <x v="0"/>
    <s v="26-161-6692"/>
    <s v="61-796-7912"/>
    <x v="200"/>
    <d v="2024-09-07T00:00:00"/>
    <d v="2026-09-19T00:00:00"/>
    <n v="61"/>
    <n v="90"/>
    <n v="26"/>
    <n v="2.5"/>
    <n v="79"/>
    <n v="84"/>
    <n v="-1.7"/>
    <n v="152.5"/>
    <n v="197.5"/>
    <s v="REORDER"/>
    <s v="Ok"/>
    <n v="632"/>
  </r>
  <r>
    <x v="103"/>
    <x v="1"/>
    <s v="Devbug"/>
    <s v="82 Hintze Court"/>
    <x v="0"/>
    <s v="44-368-7112"/>
    <s v="85-978-7855"/>
    <x v="200"/>
    <d v="2024-05-02T00:00:00"/>
    <d v="2026-12-06T00:00:00"/>
    <n v="28"/>
    <n v="32"/>
    <n v="71"/>
    <n v="2.5"/>
    <n v="32"/>
    <n v="49"/>
    <n v="-0.06"/>
    <n v="70"/>
    <n v="80"/>
    <s v="REORDER"/>
    <s v="Ok"/>
    <n v="760"/>
  </r>
  <r>
    <x v="45"/>
    <x v="2"/>
    <s v="Skipfire"/>
    <s v="6982 Crownhardt Circle"/>
    <x v="2"/>
    <s v="01-820-5784"/>
    <s v="80-567-5598"/>
    <x v="201"/>
    <d v="2025-02-12T00:00:00"/>
    <d v="2026-04-26T00:00:00"/>
    <n v="63"/>
    <n v="38"/>
    <n v="77"/>
    <n v="1"/>
    <n v="23"/>
    <n v="18"/>
    <n v="-0.53"/>
    <n v="63"/>
    <n v="23"/>
    <s v="OK"/>
    <s v="Expired"/>
    <n v="474"/>
  </r>
  <r>
    <x v="56"/>
    <x v="0"/>
    <s v="Rooxo"/>
    <s v="2 Butterfield Pass"/>
    <x v="0"/>
    <s v="10-378-9729"/>
    <s v="83-941-9620"/>
    <x v="201"/>
    <d v="2024-11-26T00:00:00"/>
    <d v="2026-09-21T00:00:00"/>
    <n v="69"/>
    <n v="21"/>
    <n v="68"/>
    <n v="66.55"/>
    <n v="36"/>
    <n v="35"/>
    <n v="0.22"/>
    <n v="4591.95"/>
    <n v="2395.7999999999997"/>
    <s v="OK"/>
    <s v="Ok"/>
    <n v="552"/>
  </r>
  <r>
    <x v="62"/>
    <x v="4"/>
    <s v="Meedoo"/>
    <s v="14 Talmadge Park"/>
    <x v="0"/>
    <s v="39-479-5147"/>
    <s v="02-156-7270"/>
    <x v="202"/>
    <d v="2024-08-18T00:00:00"/>
    <d v="2026-04-04T00:00:00"/>
    <n v="92"/>
    <n v="68"/>
    <n v="79"/>
    <n v="18"/>
    <n v="40"/>
    <n v="57"/>
    <n v="0.03"/>
    <n v="1656"/>
    <n v="720"/>
    <s v="OK"/>
    <s v="Expired"/>
    <n v="652"/>
  </r>
  <r>
    <x v="70"/>
    <x v="6"/>
    <s v="Devshare"/>
    <s v="44662 American Plaza"/>
    <x v="0"/>
    <s v="95-262-6208"/>
    <s v="66-227-1125"/>
    <x v="202"/>
    <d v="2024-04-15T00:00:00"/>
    <d v="2026-07-29T00:00:00"/>
    <n v="19"/>
    <n v="78"/>
    <n v="90"/>
    <n v="5"/>
    <n v="72"/>
    <n v="84"/>
    <n v="-0.43"/>
    <n v="95"/>
    <n v="360"/>
    <s v="REORDER"/>
    <s v="Ok"/>
    <n v="777"/>
  </r>
  <r>
    <x v="15"/>
    <x v="0"/>
    <s v="Youspan"/>
    <s v="7051 Calypso Place"/>
    <x v="1"/>
    <s v="37-248-6266"/>
    <s v="75-553-7424"/>
    <x v="202"/>
    <d v="2024-10-17T00:00:00"/>
    <d v="2026-05-24T00:00:00"/>
    <n v="84"/>
    <n v="74"/>
    <n v="48"/>
    <n v="4.5"/>
    <n v="64"/>
    <n v="32"/>
    <n v="-0.17"/>
    <n v="378"/>
    <n v="288"/>
    <s v="OK"/>
    <s v="Expired"/>
    <n v="592"/>
  </r>
  <r>
    <x v="32"/>
    <x v="0"/>
    <s v="Camido"/>
    <s v="4033 Sloan Hill"/>
    <x v="1"/>
    <s v="43-851-9440"/>
    <s v="67-674-0287"/>
    <x v="202"/>
    <d v="2024-05-11T00:00:00"/>
    <d v="2026-03-04T00:00:00"/>
    <n v="14"/>
    <n v="75"/>
    <n v="19"/>
    <n v="1.9"/>
    <n v="100"/>
    <n v="84"/>
    <n v="0.5"/>
    <n v="26.599999999999998"/>
    <n v="190"/>
    <s v="REORDER"/>
    <s v="Expired"/>
    <n v="751"/>
  </r>
  <r>
    <x v="107"/>
    <x v="0"/>
    <s v="Rooxo"/>
    <s v="734 Thackeray Avenue"/>
    <x v="2"/>
    <s v="11-053-0107"/>
    <s v="07-410-2867"/>
    <x v="203"/>
    <d v="2024-07-12T00:00:00"/>
    <d v="2026-06-28T00:00:00"/>
    <n v="30"/>
    <n v="25"/>
    <n v="11"/>
    <n v="8"/>
    <n v="42"/>
    <n v="76"/>
    <n v="0.16"/>
    <n v="240"/>
    <n v="336"/>
    <s v="OK"/>
    <s v="Expiring Soon"/>
    <n v="689"/>
  </r>
  <r>
    <x v="5"/>
    <x v="0"/>
    <s v="Avavee"/>
    <s v="31057 Roth Place"/>
    <x v="1"/>
    <s v="28-608-0039"/>
    <s v="26-796-0872"/>
    <x v="204"/>
    <d v="2024-05-21T00:00:00"/>
    <d v="2026-04-15T00:00:00"/>
    <n v="63"/>
    <n v="60"/>
    <n v="54"/>
    <n v="2.5"/>
    <n v="33"/>
    <n v="31"/>
    <n v="-0.81"/>
    <n v="157.5"/>
    <n v="82.5"/>
    <s v="OK"/>
    <s v="Expired"/>
    <n v="741"/>
  </r>
  <r>
    <x v="71"/>
    <x v="6"/>
    <s v="Rhycero"/>
    <s v="9559 Muir Trail"/>
    <x v="2"/>
    <s v="96-334-2593"/>
    <s v="64-831-3071"/>
    <x v="204"/>
    <d v="2024-06-27T00:00:00"/>
    <d v="2026-11-19T00:00:00"/>
    <n v="60"/>
    <n v="27"/>
    <n v="58"/>
    <n v="25.3"/>
    <n v="43"/>
    <n v="91"/>
    <n v="0.06"/>
    <n v="1518"/>
    <n v="1087.9000000000001"/>
    <s v="OK"/>
    <s v="Ok"/>
    <n v="704"/>
  </r>
  <r>
    <x v="62"/>
    <x v="4"/>
    <s v="Tagcat"/>
    <s v="811 Dapin Center"/>
    <x v="1"/>
    <s v="73-010-8323"/>
    <s v="80-622-6587"/>
    <x v="204"/>
    <d v="2024-02-27T00:00:00"/>
    <d v="2026-04-29T00:00:00"/>
    <n v="16"/>
    <n v="34"/>
    <n v="89"/>
    <n v="18"/>
    <n v="35"/>
    <n v="52"/>
    <n v="-1.1200000000000001"/>
    <n v="288"/>
    <n v="630"/>
    <s v="REORDER"/>
    <s v="Expired"/>
    <n v="825"/>
  </r>
  <r>
    <x v="72"/>
    <x v="3"/>
    <s v="Eimbee"/>
    <s v="1 Hollow Ridge Park"/>
    <x v="0"/>
    <s v="86-273-9377"/>
    <s v="38-330-5543"/>
    <x v="204"/>
    <d v="2024-12-04T00:00:00"/>
    <d v="2026-11-29T00:00:00"/>
    <n v="18"/>
    <n v="86"/>
    <n v="20"/>
    <n v="1.8"/>
    <n v="64"/>
    <n v="34"/>
    <n v="-0.49"/>
    <n v="32.4"/>
    <n v="115.2"/>
    <s v="REORDER"/>
    <s v="Ok"/>
    <n v="544"/>
  </r>
  <r>
    <x v="29"/>
    <x v="3"/>
    <s v="Jetpulse"/>
    <s v="8583 Northwestern Terrace"/>
    <x v="0"/>
    <s v="35-353-4068"/>
    <s v="44-199-6832"/>
    <x v="204"/>
    <d v="2024-12-18T00:00:00"/>
    <d v="2026-07-05T00:00:00"/>
    <n v="64"/>
    <n v="11"/>
    <n v="97"/>
    <n v="1.5"/>
    <n v="33"/>
    <n v="83"/>
    <n v="0.47"/>
    <n v="96"/>
    <n v="49.5"/>
    <s v="OK"/>
    <s v="Ok"/>
    <n v="530"/>
  </r>
  <r>
    <x v="48"/>
    <x v="0"/>
    <s v="Mudo"/>
    <s v="42 Green Ridge Terrace"/>
    <x v="1"/>
    <s v="02-974-8526"/>
    <s v="09-387-1119"/>
    <x v="204"/>
    <d v="2024-04-05T00:00:00"/>
    <d v="2026-08-07T00:00:00"/>
    <n v="74"/>
    <n v="4"/>
    <n v="39"/>
    <n v="2"/>
    <n v="97"/>
    <n v="24"/>
    <n v="-1.52"/>
    <n v="148"/>
    <n v="194"/>
    <s v="OK"/>
    <s v="Ok"/>
    <n v="787"/>
  </r>
  <r>
    <x v="3"/>
    <x v="0"/>
    <s v="Skynoodle"/>
    <s v="57453 Northwestern Alley"/>
    <x v="1"/>
    <s v="95-252-9619"/>
    <s v="38-819-2922"/>
    <x v="205"/>
    <d v="2024-12-07T00:00:00"/>
    <d v="2026-11-09T00:00:00"/>
    <n v="92"/>
    <n v="39"/>
    <n v="50"/>
    <n v="1.6"/>
    <n v="30"/>
    <n v="41"/>
    <n v="0.75"/>
    <n v="147.20000000000002"/>
    <n v="48"/>
    <s v="OK"/>
    <s v="Ok"/>
    <n v="541"/>
  </r>
  <r>
    <x v="20"/>
    <x v="6"/>
    <s v="Rhycero"/>
    <s v="760 Butternut Plaza"/>
    <x v="2"/>
    <s v="43-469-7551"/>
    <s v="64-361-4238"/>
    <x v="205"/>
    <d v="2024-05-26T00:00:00"/>
    <d v="2027-01-25T00:00:00"/>
    <n v="45"/>
    <n v="36"/>
    <n v="97"/>
    <n v="20"/>
    <n v="36"/>
    <n v="6"/>
    <n v="-0.37"/>
    <n v="900"/>
    <n v="720"/>
    <s v="OK"/>
    <s v="Ok"/>
    <n v="736"/>
  </r>
  <r>
    <x v="116"/>
    <x v="2"/>
    <s v="Yadel"/>
    <s v="7943 Amoth Parkway"/>
    <x v="2"/>
    <s v="08-495-6853"/>
    <s v="07-432-0137"/>
    <x v="205"/>
    <d v="2025-01-13T00:00:00"/>
    <d v="2026-08-14T00:00:00"/>
    <n v="74"/>
    <n v="62"/>
    <n v="6"/>
    <n v="4"/>
    <n v="65"/>
    <n v="96"/>
    <n v="0.83"/>
    <n v="296"/>
    <n v="260"/>
    <s v="OK"/>
    <s v="Ok"/>
    <n v="504"/>
  </r>
  <r>
    <x v="84"/>
    <x v="3"/>
    <s v="Jabberstorm"/>
    <s v="53 Forest Run Plaza"/>
    <x v="2"/>
    <s v="83-556-0996"/>
    <s v="81-234-0741"/>
    <x v="205"/>
    <d v="2025-02-20T00:00:00"/>
    <d v="2026-10-30T00:00:00"/>
    <n v="88"/>
    <n v="34"/>
    <n v="94"/>
    <n v="2.4"/>
    <n v="95"/>
    <n v="63"/>
    <n v="-0.48"/>
    <n v="211.2"/>
    <n v="228"/>
    <s v="OK"/>
    <s v="Ok"/>
    <n v="466"/>
  </r>
  <r>
    <x v="71"/>
    <x v="6"/>
    <s v="Feedbug"/>
    <s v="509 Waywood Center"/>
    <x v="2"/>
    <s v="65-282-0419"/>
    <s v="85-932-1011"/>
    <x v="206"/>
    <d v="2024-07-17T00:00:00"/>
    <d v="2026-12-05T00:00:00"/>
    <n v="50"/>
    <n v="100"/>
    <n v="91"/>
    <n v="25.5"/>
    <n v="29"/>
    <n v="31"/>
    <n v="0.34"/>
    <n v="1275"/>
    <n v="739.5"/>
    <s v="REORDER"/>
    <s v="Ok"/>
    <n v="684"/>
  </r>
  <r>
    <x v="110"/>
    <x v="2"/>
    <s v="Realfire"/>
    <s v="1 Jackson Pass"/>
    <x v="1"/>
    <s v="95-449-1286"/>
    <s v="18-260-7354"/>
    <x v="207"/>
    <d v="2024-12-23T00:00:00"/>
    <d v="2026-09-08T00:00:00"/>
    <n v="10"/>
    <n v="17"/>
    <n v="70"/>
    <n v="0.2"/>
    <n v="100"/>
    <n v="63"/>
    <n v="-7.0000000000000007E-2"/>
    <n v="2"/>
    <n v="20"/>
    <s v="REORDER"/>
    <s v="Ok"/>
    <n v="525"/>
  </r>
  <r>
    <x v="77"/>
    <x v="6"/>
    <s v="Tagpad"/>
    <s v="68 Dakota Center"/>
    <x v="1"/>
    <s v="00-534-9775"/>
    <s v="79-955-6260"/>
    <x v="207"/>
    <d v="2024-05-23T00:00:00"/>
    <d v="2026-08-17T00:00:00"/>
    <n v="87"/>
    <n v="91"/>
    <n v="23"/>
    <n v="14.9"/>
    <n v="90"/>
    <n v="75"/>
    <n v="0.37"/>
    <n v="1296.3"/>
    <n v="1341"/>
    <s v="REORDER"/>
    <s v="Ok"/>
    <n v="739"/>
  </r>
  <r>
    <x v="78"/>
    <x v="3"/>
    <s v="Yambee"/>
    <s v="642 Arizona Point"/>
    <x v="0"/>
    <s v="09-618-2842"/>
    <s v="68-415-1025"/>
    <x v="207"/>
    <d v="2024-03-21T00:00:00"/>
    <d v="2026-08-06T00:00:00"/>
    <n v="38"/>
    <n v="82"/>
    <n v="17"/>
    <n v="2"/>
    <n v="52"/>
    <n v="47"/>
    <n v="0.17"/>
    <n v="76"/>
    <n v="104"/>
    <s v="REORDER"/>
    <s v="Ok"/>
    <n v="802"/>
  </r>
  <r>
    <x v="26"/>
    <x v="6"/>
    <s v="Lajo"/>
    <s v="87 Bluestem Parkway"/>
    <x v="2"/>
    <s v="74-610-2295"/>
    <s v="22-959-6357"/>
    <x v="208"/>
    <d v="2024-03-16T00:00:00"/>
    <d v="2026-09-26T00:00:00"/>
    <n v="61"/>
    <n v="31"/>
    <n v="100"/>
    <n v="12.5"/>
    <n v="95"/>
    <n v="61"/>
    <n v="0.1"/>
    <n v="762.5"/>
    <n v="1187.5"/>
    <s v="OK"/>
    <s v="Ok"/>
    <n v="807"/>
  </r>
  <r>
    <x v="12"/>
    <x v="0"/>
    <s v="Demimbu"/>
    <s v="4826 Drewry Center"/>
    <x v="1"/>
    <s v="17-265-1899"/>
    <s v="61-793-0279"/>
    <x v="208"/>
    <d v="2024-03-25T00:00:00"/>
    <d v="2027-02-10T00:00:00"/>
    <n v="81"/>
    <n v="35"/>
    <n v="82"/>
    <n v="3"/>
    <n v="86"/>
    <n v="71"/>
    <n v="0.36"/>
    <n v="243"/>
    <n v="258"/>
    <s v="OK"/>
    <s v="Ok"/>
    <n v="798"/>
  </r>
  <r>
    <x v="50"/>
    <x v="4"/>
    <s v="Voolia"/>
    <s v="7 Mockingbird Hill"/>
    <x v="0"/>
    <s v="06-336-5482"/>
    <s v="99-784-4391"/>
    <x v="209"/>
    <d v="2024-03-08T00:00:00"/>
    <d v="2026-08-24T00:00:00"/>
    <n v="89"/>
    <n v="34"/>
    <n v="15"/>
    <n v="6"/>
    <n v="60"/>
    <n v="2"/>
    <n v="0.17"/>
    <n v="534"/>
    <n v="360"/>
    <s v="OK"/>
    <s v="Ok"/>
    <n v="815"/>
  </r>
  <r>
    <x v="15"/>
    <x v="0"/>
    <s v="Cogidoo"/>
    <s v="0 Ruskin Way"/>
    <x v="2"/>
    <s v="20-283-0111"/>
    <s v="60-394-8955"/>
    <x v="209"/>
    <d v="2024-04-17T00:00:00"/>
    <d v="2027-01-06T00:00:00"/>
    <n v="58"/>
    <n v="55"/>
    <n v="5"/>
    <n v="4.45"/>
    <n v="62"/>
    <n v="89"/>
    <n v="0.97"/>
    <n v="258.10000000000002"/>
    <n v="275.90000000000003"/>
    <s v="OK"/>
    <s v="Ok"/>
    <n v="775"/>
  </r>
  <r>
    <x v="78"/>
    <x v="3"/>
    <s v="Twimm"/>
    <s v="01 Hansons Crossing"/>
    <x v="2"/>
    <s v="77-937-1108"/>
    <s v="41-007-0132"/>
    <x v="209"/>
    <d v="2024-04-23T00:00:00"/>
    <d v="2026-04-12T00:00:00"/>
    <n v="39"/>
    <n v="83"/>
    <n v="21"/>
    <n v="2"/>
    <n v="73"/>
    <n v="88"/>
    <n v="-0.44"/>
    <n v="78"/>
    <n v="146"/>
    <s v="REORDER"/>
    <s v="Expired"/>
    <n v="769"/>
  </r>
  <r>
    <x v="14"/>
    <x v="0"/>
    <s v="Twitterwire"/>
    <s v="4 Loomis Way"/>
    <x v="2"/>
    <s v="07-337-9889"/>
    <s v="84-949-8378"/>
    <x v="209"/>
    <d v="2024-08-15T00:00:00"/>
    <d v="2026-09-29T00:00:00"/>
    <n v="95"/>
    <n v="6"/>
    <n v="59"/>
    <n v="2.5"/>
    <n v="49"/>
    <n v="77"/>
    <n v="-0.21"/>
    <n v="237.5"/>
    <n v="122.5"/>
    <s v="OK"/>
    <s v="Ok"/>
    <n v="655"/>
  </r>
  <r>
    <x v="89"/>
    <x v="2"/>
    <s v="Rhyloo"/>
    <s v="5989 Longview Drive"/>
    <x v="2"/>
    <s v="81-578-7404"/>
    <s v="90-177-6733"/>
    <x v="210"/>
    <d v="2024-08-11T00:00:00"/>
    <d v="2026-04-06T00:00:00"/>
    <n v="67"/>
    <n v="79"/>
    <n v="98"/>
    <n v="7"/>
    <n v="73"/>
    <n v="36"/>
    <n v="-0.56999999999999995"/>
    <n v="469"/>
    <n v="511"/>
    <s v="REORDER"/>
    <s v="Expired"/>
    <n v="659"/>
  </r>
  <r>
    <x v="48"/>
    <x v="0"/>
    <s v="Edgewire"/>
    <s v="6435 Burning Wood Drive"/>
    <x v="1"/>
    <s v="90-303-1821"/>
    <s v="96-786-0667"/>
    <x v="210"/>
    <d v="2024-08-03T00:00:00"/>
    <d v="2026-10-05T00:00:00"/>
    <n v="50"/>
    <n v="20"/>
    <n v="74"/>
    <n v="2"/>
    <n v="30"/>
    <n v="57"/>
    <n v="0.51"/>
    <n v="100"/>
    <n v="60"/>
    <s v="OK"/>
    <s v="Ok"/>
    <n v="667"/>
  </r>
  <r>
    <x v="52"/>
    <x v="3"/>
    <s v="Latz"/>
    <s v="91 Gateway Pass"/>
    <x v="1"/>
    <s v="42-495-7698"/>
    <s v="93-625-4768"/>
    <x v="210"/>
    <d v="2024-10-08T00:00:00"/>
    <d v="2026-07-22T00:00:00"/>
    <n v="10"/>
    <n v="11"/>
    <n v="29"/>
    <n v="4.3"/>
    <n v="29"/>
    <n v="72"/>
    <n v="-0.9"/>
    <n v="43"/>
    <n v="124.69999999999999"/>
    <s v="REORDER"/>
    <s v="Ok"/>
    <n v="601"/>
  </r>
  <r>
    <x v="19"/>
    <x v="3"/>
    <s v="Topicstorm"/>
    <s v="78919 East Crossing"/>
    <x v="1"/>
    <s v="57-101-0060"/>
    <s v="40-070-5881"/>
    <x v="210"/>
    <d v="2025-01-01T00:00:00"/>
    <d v="2026-09-11T00:00:00"/>
    <n v="59"/>
    <n v="73"/>
    <n v="86"/>
    <n v="2.75"/>
    <n v="32"/>
    <n v="56"/>
    <n v="-1.48"/>
    <n v="162.25"/>
    <n v="88"/>
    <s v="REORDER"/>
    <s v="Ok"/>
    <n v="516"/>
  </r>
  <r>
    <x v="87"/>
    <x v="4"/>
    <s v="Buzzdog"/>
    <s v="952 Rowland Junction"/>
    <x v="2"/>
    <s v="99-561-4871"/>
    <s v="04-786-5408"/>
    <x v="211"/>
    <d v="2024-08-20T00:00:00"/>
    <d v="2026-07-28T00:00:00"/>
    <n v="17"/>
    <n v="38"/>
    <n v="93"/>
    <n v="9"/>
    <n v="100"/>
    <n v="63"/>
    <n v="-0.75"/>
    <n v="153"/>
    <n v="900"/>
    <s v="REORDER"/>
    <s v="Ok"/>
    <n v="650"/>
  </r>
  <r>
    <x v="3"/>
    <x v="0"/>
    <s v="Gigashots"/>
    <s v="28351 Cascade Plaza"/>
    <x v="2"/>
    <s v="40-126-0515"/>
    <s v="78-379-0369"/>
    <x v="211"/>
    <d v="2024-03-04T00:00:00"/>
    <d v="2026-12-18T00:00:00"/>
    <n v="74"/>
    <n v="37"/>
    <n v="57"/>
    <n v="1.5"/>
    <n v="91"/>
    <n v="18"/>
    <n v="0.37"/>
    <n v="111"/>
    <n v="136.5"/>
    <s v="OK"/>
    <s v="Ok"/>
    <n v="819"/>
  </r>
  <r>
    <x v="119"/>
    <x v="4"/>
    <s v="Skynoodle"/>
    <s v="884 Sloan Drive"/>
    <x v="1"/>
    <s v="19-377-5021"/>
    <s v="34-014-5873"/>
    <x v="211"/>
    <d v="2024-08-11T00:00:00"/>
    <d v="2026-12-24T00:00:00"/>
    <n v="91"/>
    <n v="96"/>
    <n v="90"/>
    <n v="7.5"/>
    <n v="90"/>
    <n v="75"/>
    <n v="0.8"/>
    <n v="682.5"/>
    <n v="675"/>
    <s v="REORDER"/>
    <s v="Ok"/>
    <n v="659"/>
  </r>
  <r>
    <x v="47"/>
    <x v="4"/>
    <s v="Rhynoodle"/>
    <s v="22 Hudson Pass"/>
    <x v="0"/>
    <s v="60-644-6596"/>
    <s v="32-745-8366"/>
    <x v="211"/>
    <d v="2025-01-05T00:00:00"/>
    <d v="2026-11-10T00:00:00"/>
    <n v="89"/>
    <n v="67"/>
    <n v="89"/>
    <n v="12"/>
    <n v="96"/>
    <n v="42"/>
    <n v="0.17"/>
    <n v="1068"/>
    <n v="1152"/>
    <s v="OK"/>
    <s v="Ok"/>
    <n v="512"/>
  </r>
  <r>
    <x v="75"/>
    <x v="2"/>
    <s v="Skyble"/>
    <s v="463 Oxford Crossing"/>
    <x v="2"/>
    <s v="82-711-0772"/>
    <s v="78-877-1866"/>
    <x v="212"/>
    <d v="2024-05-16T00:00:00"/>
    <d v="2026-10-23T00:00:00"/>
    <n v="72"/>
    <n v="58"/>
    <n v="52"/>
    <n v="2.4"/>
    <n v="36"/>
    <n v="14"/>
    <n v="0.56000000000000005"/>
    <n v="172.79999999999998"/>
    <n v="86.399999999999991"/>
    <s v="OK"/>
    <s v="Ok"/>
    <n v="746"/>
  </r>
  <r>
    <x v="29"/>
    <x v="3"/>
    <s v="Demizz"/>
    <s v="149 Valley Edge Point"/>
    <x v="1"/>
    <s v="55-803-3964"/>
    <s v="75-906-1086"/>
    <x v="213"/>
    <d v="2024-08-26T00:00:00"/>
    <d v="2026-10-30T00:00:00"/>
    <n v="25"/>
    <n v="60"/>
    <n v="36"/>
    <n v="1.5"/>
    <n v="31"/>
    <n v="41"/>
    <n v="0.61"/>
    <n v="37.5"/>
    <n v="46.5"/>
    <s v="REORDER"/>
    <s v="Ok"/>
    <n v="644"/>
  </r>
  <r>
    <x v="100"/>
    <x v="4"/>
    <s v="Jaxspan"/>
    <s v="21 Sunbrook Court"/>
    <x v="1"/>
    <s v="00-119-8780"/>
    <s v="14-703-2550"/>
    <x v="214"/>
    <d v="2024-07-16T00:00:00"/>
    <d v="2026-03-04T00:00:00"/>
    <n v="40"/>
    <n v="81"/>
    <n v="78"/>
    <n v="20"/>
    <n v="39"/>
    <n v="65"/>
    <n v="-0.32"/>
    <n v="800"/>
    <n v="780"/>
    <s v="REORDER"/>
    <s v="Expired"/>
    <n v="685"/>
  </r>
  <r>
    <x v="32"/>
    <x v="0"/>
    <s v="Shufflebeat"/>
    <s v="1 Logan Road"/>
    <x v="2"/>
    <s v="13-888-0149"/>
    <s v="09-902-6272"/>
    <x v="214"/>
    <d v="2024-12-30T00:00:00"/>
    <d v="2026-03-15T00:00:00"/>
    <n v="75"/>
    <n v="18"/>
    <n v="65"/>
    <n v="2"/>
    <n v="32"/>
    <n v="92"/>
    <n v="-0.67"/>
    <n v="150"/>
    <n v="64"/>
    <s v="OK"/>
    <s v="Expired"/>
    <n v="518"/>
  </r>
  <r>
    <x v="98"/>
    <x v="5"/>
    <s v="Devpulse"/>
    <s v="7 Prairieview Place"/>
    <x v="0"/>
    <s v="51-273-4240"/>
    <s v="32-506-0556"/>
    <x v="215"/>
    <d v="2024-09-26T00:00:00"/>
    <d v="2026-06-20T00:00:00"/>
    <n v="85"/>
    <n v="57"/>
    <n v="25"/>
    <n v="3.5"/>
    <n v="30"/>
    <n v="42"/>
    <n v="-1.88"/>
    <n v="297.5"/>
    <n v="105"/>
    <s v="OK"/>
    <s v="Expiring Soon"/>
    <n v="613"/>
  </r>
  <r>
    <x v="1"/>
    <x v="1"/>
    <s v="Tagtune"/>
    <s v="74 Sugar Plaza"/>
    <x v="1"/>
    <s v="23-395-3157"/>
    <s v="48-538-8538"/>
    <x v="215"/>
    <d v="2024-07-30T00:00:00"/>
    <d v="2026-03-16T00:00:00"/>
    <n v="41"/>
    <n v="66"/>
    <n v="50"/>
    <n v="2"/>
    <n v="55"/>
    <n v="74"/>
    <n v="-0.4"/>
    <n v="82"/>
    <n v="110"/>
    <s v="REORDER"/>
    <s v="Expired"/>
    <n v="671"/>
  </r>
  <r>
    <x v="58"/>
    <x v="2"/>
    <s v="Yotz"/>
    <s v="554 Eliot Point"/>
    <x v="0"/>
    <s v="03-149-9760"/>
    <s v="08-141-2402"/>
    <x v="216"/>
    <d v="2024-07-13T00:00:00"/>
    <d v="2026-03-26T00:00:00"/>
    <n v="92"/>
    <n v="99"/>
    <n v="93"/>
    <n v="4"/>
    <n v="43"/>
    <n v="90"/>
    <n v="-0.35"/>
    <n v="368"/>
    <n v="172"/>
    <s v="REORDER"/>
    <s v="Expired"/>
    <n v="688"/>
  </r>
  <r>
    <x v="6"/>
    <x v="3"/>
    <s v="Tagchat"/>
    <s v="2582 Autumn Leaf Park"/>
    <x v="0"/>
    <s v="02-895-7781"/>
    <s v="23-109-2205"/>
    <x v="216"/>
    <d v="2024-09-26T00:00:00"/>
    <d v="2027-01-24T00:00:00"/>
    <n v="51"/>
    <n v="55"/>
    <n v="76"/>
    <n v="5"/>
    <n v="21"/>
    <n v="13"/>
    <n v="-1.0900000000000001"/>
    <n v="255"/>
    <n v="105"/>
    <s v="REORDER"/>
    <s v="Ok"/>
    <n v="613"/>
  </r>
  <r>
    <x v="73"/>
    <x v="3"/>
    <s v="Meevee"/>
    <s v="848 Mariners Cove Junction"/>
    <x v="2"/>
    <s v="95-354-8583"/>
    <s v="02-057-9401"/>
    <x v="216"/>
    <d v="2025-02-11T00:00:00"/>
    <d v="2026-10-20T00:00:00"/>
    <n v="98"/>
    <n v="40"/>
    <n v="93"/>
    <n v="1.5"/>
    <n v="30"/>
    <n v="53"/>
    <n v="0.38"/>
    <n v="147"/>
    <n v="45"/>
    <s v="OK"/>
    <s v="Ok"/>
    <n v="475"/>
  </r>
  <r>
    <x v="7"/>
    <x v="4"/>
    <s v="Flipopia"/>
    <s v="498 Delladonna Drive"/>
    <x v="0"/>
    <s v="27-681-5588"/>
    <s v="89-959-2254"/>
    <x v="216"/>
    <d v="2024-10-26T00:00:00"/>
    <d v="2026-12-07T00:00:00"/>
    <n v="100"/>
    <n v="99"/>
    <n v="8"/>
    <n v="10"/>
    <n v="54"/>
    <n v="92"/>
    <n v="-0.77"/>
    <n v="1000"/>
    <n v="540"/>
    <s v="OK"/>
    <s v="Ok"/>
    <n v="583"/>
  </r>
  <r>
    <x v="108"/>
    <x v="0"/>
    <s v="Babblestorm"/>
    <s v="76106 Anthes Junction"/>
    <x v="1"/>
    <s v="70-534-7796"/>
    <s v="62-044-8874"/>
    <x v="216"/>
    <d v="2024-06-25T00:00:00"/>
    <d v="2027-01-17T00:00:00"/>
    <n v="43"/>
    <n v="21"/>
    <n v="31"/>
    <n v="2.5"/>
    <n v="22"/>
    <n v="25"/>
    <n v="-0.7"/>
    <n v="107.5"/>
    <n v="55"/>
    <s v="OK"/>
    <s v="Ok"/>
    <n v="706"/>
  </r>
  <r>
    <x v="102"/>
    <x v="0"/>
    <s v="Zoovu"/>
    <s v="03 Fisk Alley"/>
    <x v="2"/>
    <s v="72-066-4597"/>
    <s v="97-994-0773"/>
    <x v="217"/>
    <d v="2024-12-08T00:00:00"/>
    <d v="2026-12-13T00:00:00"/>
    <n v="31"/>
    <n v="54"/>
    <n v="52"/>
    <n v="4"/>
    <n v="69"/>
    <n v="77"/>
    <n v="-0.14000000000000001"/>
    <n v="124"/>
    <n v="276"/>
    <s v="REORDER"/>
    <s v="Ok"/>
    <n v="540"/>
  </r>
  <r>
    <x v="30"/>
    <x v="0"/>
    <s v="Dabtype"/>
    <s v="546 Declaration Place"/>
    <x v="1"/>
    <s v="79-884-8810"/>
    <s v="14-108-0409"/>
    <x v="217"/>
    <d v="2024-12-06T00:00:00"/>
    <d v="2026-08-15T00:00:00"/>
    <n v="12"/>
    <n v="93"/>
    <n v="29"/>
    <n v="1.75"/>
    <n v="45"/>
    <n v="12"/>
    <n v="-0.12"/>
    <n v="21"/>
    <n v="78.75"/>
    <s v="REORDER"/>
    <s v="Ok"/>
    <n v="542"/>
  </r>
  <r>
    <x v="67"/>
    <x v="0"/>
    <s v="Wikizz"/>
    <s v="082 Clove Plaza"/>
    <x v="1"/>
    <s v="08-703-1382"/>
    <s v="29-975-3449"/>
    <x v="218"/>
    <d v="2024-03-06T00:00:00"/>
    <d v="2026-06-21T00:00:00"/>
    <n v="40"/>
    <n v="53"/>
    <n v="7"/>
    <n v="4"/>
    <n v="70"/>
    <n v="20"/>
    <n v="0.73"/>
    <n v="160"/>
    <n v="280"/>
    <s v="REORDER"/>
    <s v="Expiring Soon"/>
    <n v="817"/>
  </r>
  <r>
    <x v="116"/>
    <x v="2"/>
    <s v="Yata"/>
    <s v="850 Glacier Hill Drive"/>
    <x v="1"/>
    <s v="39-315-3936"/>
    <s v="99-034-7010"/>
    <x v="218"/>
    <d v="2024-09-25T00:00:00"/>
    <d v="2026-08-10T00:00:00"/>
    <n v="57"/>
    <n v="62"/>
    <n v="72"/>
    <n v="4"/>
    <n v="23"/>
    <n v="4"/>
    <n v="0.71"/>
    <n v="228"/>
    <n v="92"/>
    <s v="REORDER"/>
    <s v="Ok"/>
    <n v="614"/>
  </r>
  <r>
    <x v="24"/>
    <x v="3"/>
    <s v="Jabbertype"/>
    <s v="5 Linden Terrace"/>
    <x v="0"/>
    <s v="06-690-2335"/>
    <s v="66-317-4895"/>
    <x v="219"/>
    <d v="2024-06-16T00:00:00"/>
    <d v="2026-05-07T00:00:00"/>
    <n v="24"/>
    <n v="15"/>
    <n v="6"/>
    <n v="4.75"/>
    <n v="35"/>
    <n v="4"/>
    <n v="0.83"/>
    <n v="114"/>
    <n v="166.25"/>
    <s v="OK"/>
    <s v="Expired"/>
    <n v="715"/>
  </r>
  <r>
    <x v="1"/>
    <x v="1"/>
    <s v="Abata"/>
    <s v="29815 Bonner Trail"/>
    <x v="1"/>
    <s v="43-153-8268"/>
    <s v="19-809-5654"/>
    <x v="220"/>
    <d v="2025-01-29T00:00:00"/>
    <d v="2026-10-02T00:00:00"/>
    <n v="75"/>
    <n v="61"/>
    <n v="19"/>
    <n v="2"/>
    <n v="79"/>
    <n v="69"/>
    <n v="0.89"/>
    <n v="150"/>
    <n v="158"/>
    <s v="OK"/>
    <s v="Ok"/>
    <n v="488"/>
  </r>
  <r>
    <x v="19"/>
    <x v="3"/>
    <s v="Quatz"/>
    <s v="46 Orin Drive"/>
    <x v="2"/>
    <s v="44-634-8292"/>
    <s v="48-557-5036"/>
    <x v="220"/>
    <d v="2024-03-09T00:00:00"/>
    <d v="2027-01-02T00:00:00"/>
    <n v="60"/>
    <n v="69"/>
    <n v="64"/>
    <n v="2.75"/>
    <n v="51"/>
    <n v="6"/>
    <n v="0.13"/>
    <n v="165"/>
    <n v="140.25"/>
    <s v="REORDER"/>
    <s v="Ok"/>
    <n v="814"/>
  </r>
  <r>
    <x v="85"/>
    <x v="4"/>
    <s v="Izio"/>
    <s v="7369 Thackeray Drive"/>
    <x v="0"/>
    <s v="96-774-0457"/>
    <s v="71-991-5737"/>
    <x v="221"/>
    <d v="2024-03-12T00:00:00"/>
    <d v="2026-10-22T00:00:00"/>
    <n v="56"/>
    <n v="50"/>
    <n v="80"/>
    <n v="8"/>
    <n v="99"/>
    <n v="5"/>
    <n v="0.88"/>
    <n v="448"/>
    <n v="792"/>
    <s v="OK"/>
    <s v="Ok"/>
    <n v="811"/>
  </r>
  <r>
    <x v="101"/>
    <x v="4"/>
    <s v="Abata"/>
    <s v="80380 Valley Edge Road"/>
    <x v="0"/>
    <s v="50-930-4751"/>
    <s v="40-260-8547"/>
    <x v="221"/>
    <d v="2024-06-24T00:00:00"/>
    <d v="2026-02-25T00:00:00"/>
    <n v="88"/>
    <n v="40"/>
    <n v="29"/>
    <n v="15"/>
    <n v="96"/>
    <n v="87"/>
    <n v="0.95"/>
    <n v="1320"/>
    <n v="1440"/>
    <s v="OK"/>
    <s v="Expired"/>
    <n v="707"/>
  </r>
  <r>
    <x v="22"/>
    <x v="0"/>
    <s v="Devpulse"/>
    <s v="917 Westerfield Terrace"/>
    <x v="1"/>
    <s v="63-918-8253"/>
    <s v="94-157-1762"/>
    <x v="221"/>
    <d v="2024-07-04T00:00:00"/>
    <d v="2026-09-29T00:00:00"/>
    <n v="53"/>
    <n v="98"/>
    <n v="23"/>
    <n v="5"/>
    <n v="41"/>
    <n v="84"/>
    <n v="0.09"/>
    <n v="265"/>
    <n v="205"/>
    <s v="REORDER"/>
    <s v="Ok"/>
    <n v="697"/>
  </r>
  <r>
    <x v="20"/>
    <x v="6"/>
    <s v="Chatterpoint"/>
    <s v="7 Sloan Park"/>
    <x v="0"/>
    <s v="84-629-1532"/>
    <s v="50-378-4320"/>
    <x v="222"/>
    <d v="2024-11-27T00:00:00"/>
    <d v="2026-07-20T00:00:00"/>
    <n v="22"/>
    <n v="89"/>
    <n v="25"/>
    <n v="21"/>
    <n v="30"/>
    <n v="62"/>
    <n v="-1.05"/>
    <n v="462"/>
    <n v="630"/>
    <s v="REORDER"/>
    <s v="Ok"/>
    <n v="551"/>
  </r>
  <r>
    <x v="90"/>
    <x v="0"/>
    <s v="Abatz"/>
    <s v="3616 Carey Pass"/>
    <x v="0"/>
    <s v="77-312-6317"/>
    <s v="12-950-4397"/>
    <x v="223"/>
    <d v="2024-09-13T00:00:00"/>
    <d v="2026-10-01T00:00:00"/>
    <n v="41"/>
    <n v="29"/>
    <n v="76"/>
    <n v="2.4"/>
    <n v="59"/>
    <n v="4"/>
    <n v="-1.07"/>
    <n v="98.399999999999991"/>
    <n v="141.6"/>
    <s v="OK"/>
    <s v="Ok"/>
    <n v="626"/>
  </r>
  <r>
    <x v="103"/>
    <x v="1"/>
    <s v="Twinte"/>
    <s v="32468 Utah Pass"/>
    <x v="2"/>
    <s v="21-693-8216"/>
    <s v="62-599-8388"/>
    <x v="223"/>
    <d v="2024-09-03T00:00:00"/>
    <d v="2026-10-27T00:00:00"/>
    <n v="70"/>
    <n v="96"/>
    <n v="85"/>
    <n v="2.5"/>
    <n v="34"/>
    <n v="3"/>
    <n v="0.93"/>
    <n v="175"/>
    <n v="85"/>
    <s v="REORDER"/>
    <s v="Ok"/>
    <n v="636"/>
  </r>
  <r>
    <x v="67"/>
    <x v="0"/>
    <s v="Ainyx"/>
    <s v="7 Roxbury Circle"/>
    <x v="1"/>
    <s v="74-430-8245"/>
    <s v="51-213-5660"/>
    <x v="223"/>
    <d v="2024-08-15T00:00:00"/>
    <d v="2026-03-06T00:00:00"/>
    <n v="73"/>
    <n v="90"/>
    <n v="77"/>
    <n v="4"/>
    <n v="75"/>
    <n v="19"/>
    <n v="0.91"/>
    <n v="292"/>
    <n v="300"/>
    <s v="REORDER"/>
    <s v="Expired"/>
    <n v="655"/>
  </r>
  <r>
    <x v="41"/>
    <x v="2"/>
    <s v="Youfeed"/>
    <s v="195 Portage Junction"/>
    <x v="1"/>
    <s v="39-449-0772"/>
    <s v="84-504-7617"/>
    <x v="224"/>
    <d v="2024-04-02T00:00:00"/>
    <d v="2026-10-05T00:00:00"/>
    <n v="94"/>
    <n v="13"/>
    <n v="15"/>
    <n v="7"/>
    <n v="20"/>
    <n v="24"/>
    <n v="0.75"/>
    <n v="658"/>
    <n v="140"/>
    <s v="OK"/>
    <s v="Ok"/>
    <n v="790"/>
  </r>
  <r>
    <x v="10"/>
    <x v="2"/>
    <s v="Jabbersphere"/>
    <s v="406 Westridge Alley"/>
    <x v="2"/>
    <s v="51-312-8608"/>
    <s v="06-315-0552"/>
    <x v="224"/>
    <d v="2024-10-02T00:00:00"/>
    <d v="2026-04-29T00:00:00"/>
    <n v="68"/>
    <n v="60"/>
    <n v="21"/>
    <n v="8.9"/>
    <n v="79"/>
    <n v="46"/>
    <n v="-0.2"/>
    <n v="605.20000000000005"/>
    <n v="703.1"/>
    <s v="OK"/>
    <s v="Expired"/>
    <n v="607"/>
  </r>
  <r>
    <x v="117"/>
    <x v="0"/>
    <s v="Jaloo"/>
    <s v="22782 Oriole Way"/>
    <x v="2"/>
    <s v="89-543-3456"/>
    <s v="23-178-8962"/>
    <x v="225"/>
    <d v="2024-06-22T00:00:00"/>
    <d v="2027-02-06T00:00:00"/>
    <n v="66"/>
    <n v="40"/>
    <n v="96"/>
    <n v="10"/>
    <n v="24"/>
    <n v="61"/>
    <n v="0.42"/>
    <n v="660"/>
    <n v="240"/>
    <s v="OK"/>
    <s v="Ok"/>
    <n v="709"/>
  </r>
  <r>
    <x v="106"/>
    <x v="2"/>
    <s v="Feedmix"/>
    <s v="64407 Marcy Plaza"/>
    <x v="1"/>
    <s v="57-861-4379"/>
    <s v="73-383-4390"/>
    <x v="225"/>
    <d v="2024-05-15T00:00:00"/>
    <d v="2027-02-04T00:00:00"/>
    <n v="93"/>
    <n v="8"/>
    <n v="51"/>
    <n v="8"/>
    <n v="93"/>
    <n v="85"/>
    <n v="-1.54"/>
    <n v="744"/>
    <n v="744"/>
    <s v="OK"/>
    <s v="Ok"/>
    <n v="747"/>
  </r>
  <r>
    <x v="16"/>
    <x v="2"/>
    <s v="Gigabox"/>
    <s v="32 Rigney Terrace"/>
    <x v="1"/>
    <s v="39-768-8205"/>
    <s v="07-987-4536"/>
    <x v="225"/>
    <d v="2024-07-17T00:00:00"/>
    <d v="2026-11-29T00:00:00"/>
    <n v="56"/>
    <n v="97"/>
    <n v="29"/>
    <n v="2.5"/>
    <n v="82"/>
    <n v="100"/>
    <n v="0.09"/>
    <n v="140"/>
    <n v="205"/>
    <s v="REORDER"/>
    <s v="Ok"/>
    <n v="684"/>
  </r>
  <r>
    <x v="116"/>
    <x v="2"/>
    <s v="Youbridge"/>
    <s v="2 Canary Street"/>
    <x v="2"/>
    <s v="95-130-9020"/>
    <s v="75-985-6744"/>
    <x v="225"/>
    <d v="2024-06-20T00:00:00"/>
    <d v="2027-01-21T00:00:00"/>
    <n v="82"/>
    <n v="12"/>
    <n v="94"/>
    <n v="4.0999999999999996"/>
    <n v="69"/>
    <n v="93"/>
    <n v="-0.22"/>
    <n v="336.2"/>
    <n v="282.89999999999998"/>
    <s v="OK"/>
    <s v="Ok"/>
    <n v="711"/>
  </r>
  <r>
    <x v="51"/>
    <x v="0"/>
    <s v="Yambee"/>
    <s v="34832 Autumn Leaf Terrace"/>
    <x v="2"/>
    <s v="02-575-1980"/>
    <s v="61-100-8296"/>
    <x v="225"/>
    <d v="2024-07-09T00:00:00"/>
    <d v="2026-11-24T00:00:00"/>
    <n v="11"/>
    <n v="58"/>
    <n v="32"/>
    <n v="4"/>
    <n v="99"/>
    <n v="94"/>
    <n v="-0.35"/>
    <n v="44"/>
    <n v="396"/>
    <s v="REORDER"/>
    <s v="Ok"/>
    <n v="692"/>
  </r>
  <r>
    <x v="33"/>
    <x v="3"/>
    <s v="Topicblab"/>
    <s v="34642 Carpenter Place"/>
    <x v="2"/>
    <s v="22-895-6595"/>
    <s v="18-445-5057"/>
    <x v="226"/>
    <d v="2024-06-04T00:00:00"/>
    <d v="2026-11-21T00:00:00"/>
    <n v="31"/>
    <n v="32"/>
    <n v="69"/>
    <n v="2"/>
    <n v="38"/>
    <n v="23"/>
    <n v="0.05"/>
    <n v="62"/>
    <n v="76"/>
    <s v="REORDER"/>
    <s v="Ok"/>
    <n v="727"/>
  </r>
  <r>
    <x v="18"/>
    <x v="0"/>
    <s v="Tanoodle"/>
    <s v="41 Comanche Park"/>
    <x v="1"/>
    <s v="85-207-4164"/>
    <s v="07-067-3439"/>
    <x v="226"/>
    <d v="2025-02-06T00:00:00"/>
    <d v="2026-12-10T00:00:00"/>
    <n v="97"/>
    <n v="20"/>
    <n v="72"/>
    <n v="3"/>
    <n v="29"/>
    <n v="59"/>
    <n v="0.39"/>
    <n v="291"/>
    <n v="87"/>
    <s v="OK"/>
    <s v="Ok"/>
    <n v="480"/>
  </r>
  <r>
    <x v="36"/>
    <x v="6"/>
    <s v="Mymm"/>
    <s v="49225 Homewood Place"/>
    <x v="2"/>
    <s v="26-799-3714"/>
    <s v="50-877-0990"/>
    <x v="226"/>
    <d v="2025-02-03T00:00:00"/>
    <d v="2026-04-06T00:00:00"/>
    <n v="74"/>
    <n v="2"/>
    <n v="45"/>
    <n v="10"/>
    <n v="37"/>
    <n v="99"/>
    <n v="-1.03"/>
    <n v="740"/>
    <n v="370"/>
    <s v="OK"/>
    <s v="Expired"/>
    <n v="483"/>
  </r>
  <r>
    <x v="88"/>
    <x v="0"/>
    <s v="Shuffledrive"/>
    <s v="34 Linden Court"/>
    <x v="2"/>
    <s v="57-903-6434"/>
    <s v="30-460-3122"/>
    <x v="227"/>
    <d v="2024-03-10T00:00:00"/>
    <d v="2026-03-23T00:00:00"/>
    <n v="44"/>
    <n v="67"/>
    <n v="15"/>
    <n v="2.5"/>
    <n v="82"/>
    <n v="51"/>
    <n v="-1.68"/>
    <n v="110"/>
    <n v="205"/>
    <s v="REORDER"/>
    <s v="Expired"/>
    <n v="813"/>
  </r>
  <r>
    <x v="4"/>
    <x v="0"/>
    <s v="Layo"/>
    <s v="4374 Corry Terrace"/>
    <x v="2"/>
    <s v="80-227-6886"/>
    <s v="91-632-7343"/>
    <x v="227"/>
    <d v="2025-01-12T00:00:00"/>
    <d v="2026-06-14T00:00:00"/>
    <n v="33"/>
    <n v="4"/>
    <n v="31"/>
    <n v="7"/>
    <n v="46"/>
    <n v="92"/>
    <n v="0.38"/>
    <n v="231"/>
    <n v="322"/>
    <s v="OK"/>
    <s v="Expiring Soon"/>
    <n v="505"/>
  </r>
  <r>
    <x v="62"/>
    <x v="4"/>
    <s v="Centimia"/>
    <s v="9440 Coleman Drive"/>
    <x v="1"/>
    <s v="31-255-9616"/>
    <s v="11-031-9939"/>
    <x v="228"/>
    <d v="2024-12-28T00:00:00"/>
    <d v="2026-03-16T00:00:00"/>
    <n v="88"/>
    <n v="71"/>
    <n v="9"/>
    <n v="18"/>
    <n v="28"/>
    <n v="14"/>
    <n v="-1"/>
    <n v="1584"/>
    <n v="504"/>
    <s v="OK"/>
    <s v="Expired"/>
    <n v="520"/>
  </r>
  <r>
    <x v="100"/>
    <x v="4"/>
    <s v="Wikizz"/>
    <s v="3 John Wall Point"/>
    <x v="0"/>
    <s v="37-610-1999"/>
    <s v="19-985-9694"/>
    <x v="228"/>
    <d v="2024-10-19T00:00:00"/>
    <d v="2026-10-19T00:00:00"/>
    <n v="14"/>
    <n v="67"/>
    <n v="65"/>
    <n v="20"/>
    <n v="71"/>
    <n v="94"/>
    <n v="0.5"/>
    <n v="280"/>
    <n v="1420"/>
    <s v="REORDER"/>
    <s v="Ok"/>
    <n v="590"/>
  </r>
  <r>
    <x v="20"/>
    <x v="6"/>
    <s v="Jayo"/>
    <s v="5818 Twin Pines Place"/>
    <x v="1"/>
    <s v="86-330-0214"/>
    <s v="87-840-7803"/>
    <x v="229"/>
    <d v="2025-02-18T00:00:00"/>
    <d v="2026-03-30T00:00:00"/>
    <n v="36"/>
    <n v="64"/>
    <n v="63"/>
    <n v="20"/>
    <n v="91"/>
    <n v="35"/>
    <n v="-0.32"/>
    <n v="720"/>
    <n v="1820"/>
    <s v="REORDER"/>
    <s v="Expired"/>
    <n v="468"/>
  </r>
  <r>
    <x v="28"/>
    <x v="3"/>
    <s v="Dabtype"/>
    <s v="21625 Schlimgen Park"/>
    <x v="2"/>
    <s v="29-592-7315"/>
    <s v="61-867-3019"/>
    <x v="229"/>
    <d v="2024-07-04T00:00:00"/>
    <d v="2026-09-22T00:00:00"/>
    <n v="56"/>
    <n v="4"/>
    <n v="74"/>
    <n v="4.5"/>
    <n v="61"/>
    <n v="73"/>
    <n v="0.62"/>
    <n v="252"/>
    <n v="274.5"/>
    <s v="OK"/>
    <s v="Ok"/>
    <n v="697"/>
  </r>
  <r>
    <x v="24"/>
    <x v="3"/>
    <s v="Kwilith"/>
    <s v="5 Prentice Pass"/>
    <x v="0"/>
    <s v="86-257-4613"/>
    <s v="70-402-4816"/>
    <x v="229"/>
    <d v="2024-08-23T00:00:00"/>
    <d v="2026-08-05T00:00:00"/>
    <n v="44"/>
    <n v="26"/>
    <n v="60"/>
    <n v="4.75"/>
    <n v="63"/>
    <n v="59"/>
    <n v="-0.2"/>
    <n v="209"/>
    <n v="299.25"/>
    <s v="OK"/>
    <s v="Ok"/>
    <n v="647"/>
  </r>
  <r>
    <x v="24"/>
    <x v="3"/>
    <s v="Gabvine"/>
    <s v="75 Cascade Avenue"/>
    <x v="0"/>
    <s v="79-350-5841"/>
    <s v="81-676-3345"/>
    <x v="229"/>
    <d v="2024-09-05T00:00:00"/>
    <d v="2026-04-17T00:00:00"/>
    <n v="33"/>
    <n v="44"/>
    <n v="89"/>
    <n v="4.75"/>
    <n v="93"/>
    <n v="19"/>
    <n v="0.06"/>
    <n v="156.75"/>
    <n v="441.75"/>
    <s v="REORDER"/>
    <s v="Expired"/>
    <n v="634"/>
  </r>
  <r>
    <x v="112"/>
    <x v="0"/>
    <s v="Eidel"/>
    <s v="50687 Porter Park"/>
    <x v="0"/>
    <s v="22-329-7791"/>
    <s v="72-013-2438"/>
    <x v="230"/>
    <d v="2025-01-13T00:00:00"/>
    <d v="2026-09-19T00:00:00"/>
    <n v="53"/>
    <n v="41"/>
    <n v="30"/>
    <n v="3"/>
    <n v="24"/>
    <n v="77"/>
    <n v="0.8"/>
    <n v="159"/>
    <n v="72"/>
    <s v="OK"/>
    <s v="Ok"/>
    <n v="504"/>
  </r>
  <r>
    <x v="91"/>
    <x v="1"/>
    <s v="Realcube"/>
    <s v="3 Oakridge Parkway"/>
    <x v="0"/>
    <s v="10-854-5467"/>
    <s v="40-443-3362"/>
    <x v="230"/>
    <d v="2024-05-04T00:00:00"/>
    <d v="2026-11-26T00:00:00"/>
    <n v="96"/>
    <n v="51"/>
    <n v="40"/>
    <n v="2.2999999999999998"/>
    <n v="61"/>
    <n v="4"/>
    <n v="-2.21"/>
    <n v="220.79999999999998"/>
    <n v="140.29999999999998"/>
    <s v="OK"/>
    <s v="Ok"/>
    <n v="758"/>
  </r>
  <r>
    <x v="46"/>
    <x v="0"/>
    <s v="Flipbug"/>
    <s v="4 Raven Drive"/>
    <x v="0"/>
    <s v="70-612-2531"/>
    <s v="94-217-4781"/>
    <x v="231"/>
    <d v="2025-01-25T00:00:00"/>
    <d v="2026-10-30T00:00:00"/>
    <n v="48"/>
    <n v="48"/>
    <n v="39"/>
    <n v="3.45"/>
    <n v="51"/>
    <n v="50"/>
    <n v="0.93"/>
    <n v="165.60000000000002"/>
    <n v="175.95000000000002"/>
    <s v="REORDER"/>
    <s v="Ok"/>
    <n v="492"/>
  </r>
  <r>
    <x v="103"/>
    <x v="1"/>
    <s v="Tagfeed"/>
    <s v="12 Truax Court"/>
    <x v="2"/>
    <s v="71-516-1996"/>
    <s v="04-391-7610"/>
    <x v="232"/>
    <d v="2024-05-07T00:00:00"/>
    <d v="2026-06-20T00:00:00"/>
    <n v="96"/>
    <n v="52"/>
    <n v="16"/>
    <n v="2.5"/>
    <n v="67"/>
    <n v="13"/>
    <n v="0.02"/>
    <n v="240"/>
    <n v="167.5"/>
    <s v="OK"/>
    <s v="Expiring Soon"/>
    <n v="755"/>
  </r>
  <r>
    <x v="22"/>
    <x v="0"/>
    <s v="Meezzy"/>
    <s v="18 Warrior Circle"/>
    <x v="2"/>
    <s v="71-999-2404"/>
    <s v="01-285-0018"/>
    <x v="232"/>
    <d v="2024-08-05T00:00:00"/>
    <d v="2027-01-29T00:00:00"/>
    <n v="58"/>
    <n v="58"/>
    <n v="28"/>
    <n v="4.7"/>
    <n v="85"/>
    <n v="63"/>
    <n v="0.81"/>
    <n v="272.60000000000002"/>
    <n v="399.5"/>
    <s v="REORDER"/>
    <s v="Ok"/>
    <n v="665"/>
  </r>
  <r>
    <x v="114"/>
    <x v="0"/>
    <s v="Avaveo"/>
    <s v="2 Sachtjen Park"/>
    <x v="0"/>
    <s v="29-875-6900"/>
    <s v="78-098-4468"/>
    <x v="232"/>
    <d v="2025-01-23T00:00:00"/>
    <d v="2026-08-22T00:00:00"/>
    <n v="45"/>
    <n v="28"/>
    <n v="6"/>
    <n v="4.5"/>
    <n v="35"/>
    <n v="16"/>
    <n v="0.26"/>
    <n v="202.5"/>
    <n v="157.5"/>
    <s v="OK"/>
    <s v="Ok"/>
    <n v="494"/>
  </r>
  <r>
    <x v="77"/>
    <x v="6"/>
    <s v="Gabspot"/>
    <s v="094 Carberry Lane"/>
    <x v="0"/>
    <s v="11-922-3342"/>
    <s v="33-523-9077"/>
    <x v="232"/>
    <d v="2024-06-10T00:00:00"/>
    <d v="2026-03-04T00:00:00"/>
    <n v="24"/>
    <n v="77"/>
    <n v="32"/>
    <n v="15.5"/>
    <n v="80"/>
    <n v="42"/>
    <n v="0.54"/>
    <n v="372"/>
    <n v="1240"/>
    <s v="REORDER"/>
    <s v="Expired"/>
    <n v="721"/>
  </r>
  <r>
    <x v="113"/>
    <x v="5"/>
    <s v="Linkbridge"/>
    <s v="79 Ronald Regan Avenue"/>
    <x v="1"/>
    <s v="74-562-7431"/>
    <s v="66-174-9633"/>
    <x v="232"/>
    <d v="2024-03-20T00:00:00"/>
    <d v="2026-11-01T00:00:00"/>
    <n v="94"/>
    <n v="34"/>
    <n v="21"/>
    <n v="5.5"/>
    <n v="74"/>
    <n v="70"/>
    <n v="0.48"/>
    <n v="517"/>
    <n v="407"/>
    <s v="OK"/>
    <s v="Ok"/>
    <n v="803"/>
  </r>
  <r>
    <x v="28"/>
    <x v="3"/>
    <s v="Talane"/>
    <s v="87 Corben Street"/>
    <x v="0"/>
    <s v="95-357-2870"/>
    <s v="75-365-7696"/>
    <x v="232"/>
    <d v="2024-05-13T00:00:00"/>
    <d v="2026-05-20T00:00:00"/>
    <n v="86"/>
    <n v="80"/>
    <n v="80"/>
    <n v="4.5"/>
    <n v="22"/>
    <n v="67"/>
    <n v="0.05"/>
    <n v="387"/>
    <n v="99"/>
    <s v="OK"/>
    <s v="Expired"/>
    <n v="749"/>
  </r>
  <r>
    <x v="6"/>
    <x v="3"/>
    <s v="Bubblebox"/>
    <s v="911 Ridgeway Way"/>
    <x v="1"/>
    <s v="04-277-5245"/>
    <s v="90-175-7764"/>
    <x v="233"/>
    <d v="2024-07-28T00:00:00"/>
    <d v="2026-06-18T00:00:00"/>
    <n v="20"/>
    <n v="51"/>
    <n v="21"/>
    <n v="5"/>
    <n v="71"/>
    <n v="26"/>
    <n v="-2.0499999999999998"/>
    <n v="100"/>
    <n v="355"/>
    <s v="REORDER"/>
    <s v="Expiring Soon"/>
    <n v="673"/>
  </r>
  <r>
    <x v="12"/>
    <x v="0"/>
    <s v="Devshare"/>
    <s v="44022 Barnett Way"/>
    <x v="0"/>
    <s v="91-105-7317"/>
    <s v="84-047-0017"/>
    <x v="234"/>
    <d v="2024-12-28T00:00:00"/>
    <d v="2027-02-02T00:00:00"/>
    <n v="85"/>
    <n v="45"/>
    <n v="71"/>
    <n v="3"/>
    <n v="95"/>
    <n v="72"/>
    <n v="0.63"/>
    <n v="255"/>
    <n v="285"/>
    <s v="OK"/>
    <s v="Ok"/>
    <n v="520"/>
  </r>
  <r>
    <x v="102"/>
    <x v="0"/>
    <s v="Skilith"/>
    <s v="52 Alpine Crossing"/>
    <x v="0"/>
    <s v="37-246-0018"/>
    <s v="61-907-0994"/>
    <x v="234"/>
    <d v="2025-01-14T00:00:00"/>
    <d v="2026-04-11T00:00:00"/>
    <n v="30"/>
    <n v="59"/>
    <n v="76"/>
    <n v="4"/>
    <n v="61"/>
    <n v="3"/>
    <n v="0.24"/>
    <n v="120"/>
    <n v="244"/>
    <s v="REORDER"/>
    <s v="Expired"/>
    <n v="503"/>
  </r>
  <r>
    <x v="90"/>
    <x v="0"/>
    <s v="Feedfish"/>
    <s v="538 Bayside Parkway"/>
    <x v="1"/>
    <s v="27-474-0056"/>
    <s v="56-969-3705"/>
    <x v="234"/>
    <d v="2024-12-19T00:00:00"/>
    <d v="2026-06-19T00:00:00"/>
    <n v="23"/>
    <n v="6"/>
    <n v="40"/>
    <n v="2.5"/>
    <n v="95"/>
    <n v="24"/>
    <n v="0.95"/>
    <n v="57.5"/>
    <n v="237.5"/>
    <s v="OK"/>
    <s v="Expiring Soon"/>
    <n v="529"/>
  </r>
  <r>
    <x v="18"/>
    <x v="0"/>
    <s v="Ainyx"/>
    <s v="6 Rusk Pass"/>
    <x v="1"/>
    <s v="12-439-8428"/>
    <s v="43-542-6868"/>
    <x v="235"/>
    <d v="2024-09-14T00:00:00"/>
    <d v="2026-05-31T00:00:00"/>
    <n v="17"/>
    <n v="3"/>
    <n v="33"/>
    <n v="3"/>
    <n v="49"/>
    <n v="17"/>
    <n v="0.75"/>
    <n v="51"/>
    <n v="147"/>
    <s v="OK"/>
    <s v="Expiring Soon"/>
    <n v="625"/>
  </r>
  <r>
    <x v="111"/>
    <x v="5"/>
    <s v="Meevee"/>
    <s v="5 Lyons Street"/>
    <x v="1"/>
    <s v="56-657-4387"/>
    <s v="78-629-7560"/>
    <x v="235"/>
    <d v="2024-02-29T00:00:00"/>
    <d v="2026-06-22T00:00:00"/>
    <n v="61"/>
    <n v="77"/>
    <n v="45"/>
    <n v="2.5"/>
    <n v="51"/>
    <n v="48"/>
    <n v="0.65"/>
    <n v="152.5"/>
    <n v="127.5"/>
    <s v="REORDER"/>
    <s v="Expiring Soon"/>
    <n v="823"/>
  </r>
  <r>
    <x v="13"/>
    <x v="5"/>
    <s v="Zoonder"/>
    <s v="9821 Novick Hill"/>
    <x v="1"/>
    <s v="91-290-9062"/>
    <s v="95-609-1485"/>
    <x v="235"/>
    <d v="2024-04-19T00:00:00"/>
    <d v="2026-09-25T00:00:00"/>
    <n v="29"/>
    <n v="2"/>
    <n v="84"/>
    <n v="4"/>
    <n v="80"/>
    <n v="85"/>
    <n v="0.06"/>
    <n v="116"/>
    <n v="320"/>
    <s v="OK"/>
    <s v="Ok"/>
    <n v="773"/>
  </r>
  <r>
    <x v="75"/>
    <x v="2"/>
    <s v="Babblestorm"/>
    <s v="49646 Derek Lane"/>
    <x v="1"/>
    <s v="06-503-5891"/>
    <s v="19-098-2529"/>
    <x v="236"/>
    <d v="2024-09-23T00:00:00"/>
    <d v="2026-03-16T00:00:00"/>
    <n v="40"/>
    <n v="22"/>
    <n v="74"/>
    <n v="2.4500000000000002"/>
    <n v="76"/>
    <n v="70"/>
    <n v="-0.06"/>
    <n v="98"/>
    <n v="186.20000000000002"/>
    <s v="OK"/>
    <s v="Expired"/>
    <n v="616"/>
  </r>
  <r>
    <x v="36"/>
    <x v="6"/>
    <s v="Skiptube"/>
    <s v="149 Lawn Way"/>
    <x v="0"/>
    <s v="37-064-7275"/>
    <s v="63-522-2633"/>
    <x v="236"/>
    <d v="2024-06-25T00:00:00"/>
    <d v="2026-09-22T00:00:00"/>
    <n v="20"/>
    <n v="42"/>
    <n v="45"/>
    <n v="10"/>
    <n v="72"/>
    <n v="28"/>
    <n v="0.08"/>
    <n v="200"/>
    <n v="720"/>
    <s v="REORDER"/>
    <s v="Ok"/>
    <n v="706"/>
  </r>
  <r>
    <x v="112"/>
    <x v="0"/>
    <s v="Innotype"/>
    <s v="16730 Luster Alley"/>
    <x v="2"/>
    <s v="21-993-5632"/>
    <s v="26-860-4618"/>
    <x v="237"/>
    <d v="2024-04-14T00:00:00"/>
    <d v="2026-10-23T00:00:00"/>
    <n v="51"/>
    <n v="72"/>
    <n v="85"/>
    <n v="3"/>
    <n v="23"/>
    <n v="17"/>
    <n v="0.61"/>
    <n v="153"/>
    <n v="69"/>
    <s v="REORDER"/>
    <s v="Ok"/>
    <n v="778"/>
  </r>
  <r>
    <x v="3"/>
    <x v="0"/>
    <s v="Linkbridge"/>
    <s v="2 Northview Avenue"/>
    <x v="2"/>
    <s v="05-720-8792"/>
    <s v="33-265-4588"/>
    <x v="238"/>
    <d v="2024-07-08T00:00:00"/>
    <d v="2026-10-26T00:00:00"/>
    <n v="80"/>
    <n v="91"/>
    <n v="36"/>
    <n v="1.5"/>
    <n v="81"/>
    <n v="74"/>
    <n v="0.26"/>
    <n v="120"/>
    <n v="121.5"/>
    <s v="REORDER"/>
    <s v="Ok"/>
    <n v="693"/>
  </r>
  <r>
    <x v="65"/>
    <x v="3"/>
    <s v="Skaboo"/>
    <s v="2 Columbus Drive"/>
    <x v="0"/>
    <s v="36-531-4087"/>
    <s v="83-172-5527"/>
    <x v="238"/>
    <d v="2024-10-25T00:00:00"/>
    <d v="2026-03-14T00:00:00"/>
    <n v="85"/>
    <n v="12"/>
    <n v="94"/>
    <n v="9.5"/>
    <n v="26"/>
    <n v="32"/>
    <n v="0.09"/>
    <n v="807.5"/>
    <n v="247"/>
    <s v="OK"/>
    <s v="Expired"/>
    <n v="584"/>
  </r>
  <r>
    <x v="95"/>
    <x v="0"/>
    <s v="Wikido"/>
    <s v="2 Northridge Street"/>
    <x v="0"/>
    <s v="61-680-9496"/>
    <s v="75-448-1356"/>
    <x v="238"/>
    <d v="2024-10-05T00:00:00"/>
    <d v="2026-04-14T00:00:00"/>
    <n v="17"/>
    <n v="14"/>
    <n v="17"/>
    <n v="3.5"/>
    <n v="36"/>
    <n v="64"/>
    <n v="-0.23"/>
    <n v="59.5"/>
    <n v="126"/>
    <s v="OK"/>
    <s v="Expired"/>
    <n v="604"/>
  </r>
  <r>
    <x v="53"/>
    <x v="3"/>
    <s v="Wikivu"/>
    <s v="451 Grim Hill"/>
    <x v="2"/>
    <s v="36-636-4873"/>
    <s v="11-098-3982"/>
    <x v="239"/>
    <d v="2025-01-17T00:00:00"/>
    <d v="2026-05-30T00:00:00"/>
    <n v="86"/>
    <n v="100"/>
    <n v="74"/>
    <n v="6.1"/>
    <n v="80"/>
    <n v="94"/>
    <n v="-0.78"/>
    <n v="524.6"/>
    <n v="488"/>
    <s v="REORDER"/>
    <s v="Expired"/>
    <n v="500"/>
  </r>
  <r>
    <x v="19"/>
    <x v="3"/>
    <s v="Jaxworks"/>
    <s v="5 Fisk Point"/>
    <x v="1"/>
    <s v="45-992-5653"/>
    <s v="22-050-5775"/>
    <x v="239"/>
    <d v="2024-07-07T00:00:00"/>
    <d v="2026-10-19T00:00:00"/>
    <n v="82"/>
    <n v="67"/>
    <n v="67"/>
    <n v="2.75"/>
    <n v="26"/>
    <n v="1"/>
    <n v="-0.18"/>
    <n v="225.5"/>
    <n v="71.5"/>
    <s v="OK"/>
    <s v="Ok"/>
    <n v="694"/>
  </r>
  <r>
    <x v="101"/>
    <x v="4"/>
    <s v="Avavee"/>
    <s v="10577 Thierer Plaza"/>
    <x v="0"/>
    <s v="85-781-5386"/>
    <s v="89-439-6947"/>
    <x v="239"/>
    <d v="2024-03-20T00:00:00"/>
    <d v="2026-12-28T00:00:00"/>
    <n v="78"/>
    <n v="68"/>
    <n v="86"/>
    <n v="15"/>
    <n v="47"/>
    <n v="95"/>
    <n v="0.96"/>
    <n v="1170"/>
    <n v="705"/>
    <s v="OK"/>
    <s v="Ok"/>
    <n v="803"/>
  </r>
  <r>
    <x v="38"/>
    <x v="1"/>
    <s v="Fivebridge"/>
    <s v="2005 Mccormick Road"/>
    <x v="1"/>
    <s v="76-459-2392"/>
    <s v="91-030-6609"/>
    <x v="240"/>
    <d v="2024-04-13T00:00:00"/>
    <d v="2026-05-24T00:00:00"/>
    <n v="74"/>
    <n v="4"/>
    <n v="67"/>
    <n v="1.8"/>
    <n v="31"/>
    <n v="34"/>
    <n v="-1.02"/>
    <n v="133.20000000000002"/>
    <n v="55.800000000000004"/>
    <s v="OK"/>
    <s v="Expired"/>
    <n v="779"/>
  </r>
  <r>
    <x v="61"/>
    <x v="3"/>
    <s v="Photobean"/>
    <s v="739 Grayhawk Trail"/>
    <x v="0"/>
    <s v="92-791-0606"/>
    <s v="56-050-1773"/>
    <x v="240"/>
    <d v="2024-04-28T00:00:00"/>
    <d v="2026-09-06T00:00:00"/>
    <n v="18"/>
    <n v="62"/>
    <n v="2"/>
    <n v="3"/>
    <n v="61"/>
    <n v="78"/>
    <n v="-0.1"/>
    <n v="54"/>
    <n v="183"/>
    <s v="REORDER"/>
    <s v="Ok"/>
    <n v="764"/>
  </r>
  <r>
    <x v="114"/>
    <x v="0"/>
    <s v="Demivee"/>
    <s v="38695 Kenwood Circle"/>
    <x v="2"/>
    <s v="87-199-2743"/>
    <s v="54-907-6531"/>
    <x v="240"/>
    <d v="2024-09-15T00:00:00"/>
    <d v="2026-11-12T00:00:00"/>
    <n v="59"/>
    <n v="74"/>
    <n v="100"/>
    <n v="4.5"/>
    <n v="63"/>
    <n v="69"/>
    <n v="-0.28000000000000003"/>
    <n v="265.5"/>
    <n v="283.5"/>
    <s v="REORDER"/>
    <s v="Ok"/>
    <n v="624"/>
  </r>
  <r>
    <x v="74"/>
    <x v="5"/>
    <s v="Realblab"/>
    <s v="76 Shelley Pass"/>
    <x v="0"/>
    <s v="04-038-1547"/>
    <s v="61-912-9541"/>
    <x v="240"/>
    <d v="2024-11-24T00:00:00"/>
    <d v="2026-06-08T00:00:00"/>
    <n v="48"/>
    <n v="2"/>
    <n v="16"/>
    <n v="2.8"/>
    <n v="27"/>
    <n v="1"/>
    <n v="-0.1"/>
    <n v="134.39999999999998"/>
    <n v="75.599999999999994"/>
    <s v="OK"/>
    <s v="Expiring Soon"/>
    <n v="554"/>
  </r>
  <r>
    <x v="4"/>
    <x v="0"/>
    <s v="Tavu"/>
    <s v="3 Ilene Terrace"/>
    <x v="0"/>
    <s v="83-917-7384"/>
    <s v="84-923-5086"/>
    <x v="241"/>
    <d v="2024-08-24T00:00:00"/>
    <d v="2026-05-11T00:00:00"/>
    <n v="76"/>
    <n v="97"/>
    <n v="20"/>
    <n v="7"/>
    <n v="52"/>
    <n v="82"/>
    <n v="0.96"/>
    <n v="532"/>
    <n v="364"/>
    <s v="REORDER"/>
    <s v="Expired"/>
    <n v="646"/>
  </r>
  <r>
    <x v="74"/>
    <x v="5"/>
    <s v="Kwilith"/>
    <s v="667 Arkansas Circle"/>
    <x v="0"/>
    <s v="94-525-6925"/>
    <s v="31-892-6816"/>
    <x v="241"/>
    <d v="2024-05-16T00:00:00"/>
    <d v="2026-09-17T00:00:00"/>
    <n v="50"/>
    <n v="56"/>
    <n v="63"/>
    <n v="3"/>
    <n v="70"/>
    <n v="100"/>
    <n v="-0.57999999999999996"/>
    <n v="150"/>
    <n v="210"/>
    <s v="REORDER"/>
    <s v="Ok"/>
    <n v="746"/>
  </r>
  <r>
    <x v="20"/>
    <x v="6"/>
    <s v="Voonyx"/>
    <s v="60094 Goodland Junction"/>
    <x v="1"/>
    <s v="16-632-1308"/>
    <s v="45-903-0036"/>
    <x v="241"/>
    <d v="2024-05-21T00:00:00"/>
    <d v="2026-11-21T00:00:00"/>
    <n v="23"/>
    <n v="13"/>
    <n v="15"/>
    <n v="20"/>
    <n v="31"/>
    <n v="28"/>
    <n v="-0.43"/>
    <n v="460"/>
    <n v="620"/>
    <s v="OK"/>
    <s v="Ok"/>
    <n v="741"/>
  </r>
  <r>
    <x v="16"/>
    <x v="2"/>
    <s v="Twimm"/>
    <s v="93321 Kennedy Point"/>
    <x v="2"/>
    <s v="13-798-3397"/>
    <s v="89-992-6472"/>
    <x v="241"/>
    <d v="2024-05-09T00:00:00"/>
    <d v="2026-12-20T00:00:00"/>
    <n v="86"/>
    <n v="16"/>
    <n v="37"/>
    <n v="2.5"/>
    <n v="34"/>
    <n v="66"/>
    <n v="0.1"/>
    <n v="215"/>
    <n v="85"/>
    <s v="OK"/>
    <s v="Ok"/>
    <n v="753"/>
  </r>
  <r>
    <x v="93"/>
    <x v="5"/>
    <s v="Skajo"/>
    <s v="39 Oxford Drive"/>
    <x v="0"/>
    <s v="69-834-2874"/>
    <s v="51-600-6076"/>
    <x v="241"/>
    <d v="2024-06-25T00:00:00"/>
    <d v="2026-10-07T00:00:00"/>
    <n v="28"/>
    <n v="62"/>
    <n v="81"/>
    <n v="5"/>
    <n v="28"/>
    <n v="30"/>
    <n v="-0.94"/>
    <n v="140"/>
    <n v="140"/>
    <s v="REORDER"/>
    <s v="Ok"/>
    <n v="706"/>
  </r>
  <r>
    <x v="27"/>
    <x v="4"/>
    <s v="Vipe"/>
    <s v="6 Hanover Terrace"/>
    <x v="1"/>
    <s v="60-343-3288"/>
    <s v="22-940-6543"/>
    <x v="242"/>
    <d v="2025-01-01T00:00:00"/>
    <d v="2026-05-03T00:00:00"/>
    <n v="85"/>
    <n v="92"/>
    <n v="66"/>
    <n v="6.7"/>
    <n v="54"/>
    <n v="85"/>
    <n v="-7.0000000000000007E-2"/>
    <n v="569.5"/>
    <n v="361.8"/>
    <s v="REORDER"/>
    <s v="Expired"/>
    <n v="516"/>
  </r>
  <r>
    <x v="111"/>
    <x v="5"/>
    <s v="Jazzy"/>
    <s v="4 Hagan Court"/>
    <x v="1"/>
    <s v="21-650-9319"/>
    <s v="73-445-3017"/>
    <x v="242"/>
    <d v="2025-01-28T00:00:00"/>
    <d v="2026-04-24T00:00:00"/>
    <n v="42"/>
    <n v="88"/>
    <n v="95"/>
    <n v="2.5"/>
    <n v="67"/>
    <n v="94"/>
    <n v="-0.56999999999999995"/>
    <n v="105"/>
    <n v="167.5"/>
    <s v="REORDER"/>
    <s v="Expired"/>
    <n v="489"/>
  </r>
  <r>
    <x v="105"/>
    <x v="6"/>
    <s v="Livepath"/>
    <s v="3 Forster Point"/>
    <x v="2"/>
    <s v="14-550-2152"/>
    <s v="60-003-2919"/>
    <x v="243"/>
    <d v="2024-06-18T00:00:00"/>
    <d v="2026-11-17T00:00:00"/>
    <n v="51"/>
    <n v="1"/>
    <n v="61"/>
    <n v="7.6"/>
    <n v="96"/>
    <n v="26"/>
    <n v="-0.4"/>
    <n v="387.59999999999997"/>
    <n v="729.59999999999991"/>
    <s v="OK"/>
    <s v="Ok"/>
    <n v="713"/>
  </r>
  <r>
    <x v="42"/>
    <x v="0"/>
    <s v="Topiczoom"/>
    <s v="8 Hanover Center"/>
    <x v="0"/>
    <s v="61-582-7399"/>
    <s v="15-062-6342"/>
    <x v="243"/>
    <d v="2025-02-05T00:00:00"/>
    <d v="2026-07-22T00:00:00"/>
    <n v="73"/>
    <n v="83"/>
    <n v="74"/>
    <n v="5"/>
    <n v="87"/>
    <n v="10"/>
    <n v="0.73"/>
    <n v="365"/>
    <n v="435"/>
    <s v="REORDER"/>
    <s v="Ok"/>
    <n v="481"/>
  </r>
  <r>
    <x v="37"/>
    <x v="5"/>
    <s v="Babbleblab"/>
    <s v="29755 Daystar Street"/>
    <x v="0"/>
    <s v="28-107-4953"/>
    <s v="01-165-8830"/>
    <x v="243"/>
    <d v="2024-11-12T00:00:00"/>
    <d v="2026-10-18T00:00:00"/>
    <n v="53"/>
    <n v="19"/>
    <n v="94"/>
    <n v="5"/>
    <n v="82"/>
    <n v="56"/>
    <n v="0.89"/>
    <n v="265"/>
    <n v="410"/>
    <s v="OK"/>
    <s v="Ok"/>
    <n v="566"/>
  </r>
  <r>
    <x v="119"/>
    <x v="4"/>
    <s v="Yodoo"/>
    <s v="9 Cordelia Trail"/>
    <x v="1"/>
    <s v="53-050-8242"/>
    <s v="31-163-5871"/>
    <x v="244"/>
    <d v="2024-03-16T00:00:00"/>
    <d v="2027-02-15T00:00:00"/>
    <n v="82"/>
    <n v="25"/>
    <n v="94"/>
    <n v="7.5"/>
    <n v="66"/>
    <n v="14"/>
    <n v="0.32"/>
    <n v="615"/>
    <n v="495"/>
    <s v="OK"/>
    <s v="Ok"/>
    <n v="807"/>
  </r>
  <r>
    <x v="59"/>
    <x v="0"/>
    <s v="Edgewire"/>
    <s v="9469 Bayside Plaza"/>
    <x v="2"/>
    <s v="88-586-8797"/>
    <s v="02-530-5932"/>
    <x v="244"/>
    <d v="2024-08-25T00:00:00"/>
    <d v="2027-02-09T00:00:00"/>
    <n v="98"/>
    <n v="62"/>
    <n v="97"/>
    <n v="5.5"/>
    <n v="59"/>
    <n v="19"/>
    <n v="0.79"/>
    <n v="539"/>
    <n v="324.5"/>
    <s v="OK"/>
    <s v="Ok"/>
    <n v="645"/>
  </r>
  <r>
    <x v="63"/>
    <x v="0"/>
    <s v="Edgetag"/>
    <s v="07359 Porter Park"/>
    <x v="2"/>
    <s v="93-772-3085"/>
    <s v="61-807-0746"/>
    <x v="244"/>
    <d v="2024-07-18T00:00:00"/>
    <d v="2027-01-20T00:00:00"/>
    <n v="39"/>
    <n v="19"/>
    <n v="18"/>
    <n v="13.99"/>
    <n v="58"/>
    <n v="90"/>
    <n v="0.68"/>
    <n v="545.61"/>
    <n v="811.42"/>
    <s v="OK"/>
    <s v="Ok"/>
    <n v="683"/>
  </r>
  <r>
    <x v="26"/>
    <x v="6"/>
    <s v="Oozz"/>
    <s v="0 Stoughton Terrace"/>
    <x v="1"/>
    <s v="04-001-1793"/>
    <s v="29-359-0109"/>
    <x v="245"/>
    <d v="2025-02-02T00:00:00"/>
    <d v="2026-04-09T00:00:00"/>
    <n v="43"/>
    <n v="38"/>
    <n v="63"/>
    <n v="12"/>
    <n v="88"/>
    <n v="65"/>
    <n v="-0.55000000000000004"/>
    <n v="516"/>
    <n v="1056"/>
    <s v="OK"/>
    <s v="Expired"/>
    <n v="484"/>
  </r>
  <r>
    <x v="112"/>
    <x v="0"/>
    <s v="Trupe"/>
    <s v="402 Kings Road"/>
    <x v="1"/>
    <s v="10-137-9759"/>
    <s v="23-688-6256"/>
    <x v="245"/>
    <d v="2024-09-03T00:00:00"/>
    <d v="2026-03-10T00:00:00"/>
    <n v="90"/>
    <n v="17"/>
    <n v="17"/>
    <n v="3"/>
    <n v="82"/>
    <n v="84"/>
    <n v="0.26"/>
    <n v="270"/>
    <n v="246"/>
    <s v="OK"/>
    <s v="Expired"/>
    <n v="636"/>
  </r>
  <r>
    <x v="110"/>
    <x v="2"/>
    <s v="Kaymbo"/>
    <s v="97 Walton Avenue"/>
    <x v="1"/>
    <s v="96-682-8546"/>
    <s v="03-882-3517"/>
    <x v="245"/>
    <d v="2024-10-26T00:00:00"/>
    <d v="2026-09-17T00:00:00"/>
    <n v="70"/>
    <n v="29"/>
    <n v="24"/>
    <n v="0.2"/>
    <n v="62"/>
    <n v="55"/>
    <n v="-0.02"/>
    <n v="14"/>
    <n v="12.4"/>
    <s v="OK"/>
    <s v="Ok"/>
    <n v="583"/>
  </r>
  <r>
    <x v="6"/>
    <x v="3"/>
    <s v="Feedfire"/>
    <s v="9262 Sullivan Crossing"/>
    <x v="2"/>
    <s v="07-617-6934"/>
    <s v="48-700-8059"/>
    <x v="245"/>
    <d v="2024-12-21T00:00:00"/>
    <d v="2026-11-16T00:00:00"/>
    <n v="91"/>
    <n v="39"/>
    <n v="48"/>
    <n v="5"/>
    <n v="48"/>
    <n v="18"/>
    <n v="0.11"/>
    <n v="455"/>
    <n v="240"/>
    <s v="OK"/>
    <s v="Ok"/>
    <n v="527"/>
  </r>
  <r>
    <x v="115"/>
    <x v="2"/>
    <s v="Shuffletag"/>
    <s v="70862 Lighthouse Bay Junction"/>
    <x v="0"/>
    <s v="43-164-5984"/>
    <s v="10-008-6747"/>
    <x v="246"/>
    <d v="2024-06-17T00:00:00"/>
    <d v="2026-11-23T00:00:00"/>
    <n v="36"/>
    <n v="75"/>
    <n v="35"/>
    <n v="2.9"/>
    <n v="26"/>
    <n v="41"/>
    <n v="0.63"/>
    <n v="104.39999999999999"/>
    <n v="75.399999999999991"/>
    <s v="REORDER"/>
    <s v="Ok"/>
    <n v="714"/>
  </r>
  <r>
    <x v="51"/>
    <x v="0"/>
    <s v="Skajo"/>
    <s v="27 New Castle Avenue"/>
    <x v="1"/>
    <s v="07-074-1196"/>
    <s v="69-112-6969"/>
    <x v="247"/>
    <d v="2025-01-10T00:00:00"/>
    <d v="2026-10-10T00:00:00"/>
    <n v="11"/>
    <n v="56"/>
    <n v="62"/>
    <n v="3.9"/>
    <n v="40"/>
    <n v="5"/>
    <n v="-0.57999999999999996"/>
    <n v="42.9"/>
    <n v="156"/>
    <s v="REORDER"/>
    <s v="Ok"/>
    <n v="507"/>
  </r>
  <r>
    <x v="59"/>
    <x v="0"/>
    <s v="Rhynoodle"/>
    <s v="38 Rutledge Plaza"/>
    <x v="1"/>
    <s v="05-193-8096"/>
    <s v="86-709-5618"/>
    <x v="247"/>
    <d v="2024-03-19T00:00:00"/>
    <d v="2026-07-08T00:00:00"/>
    <n v="82"/>
    <n v="21"/>
    <n v="85"/>
    <n v="5.5"/>
    <n v="39"/>
    <n v="18"/>
    <n v="0.88"/>
    <n v="451"/>
    <n v="214.5"/>
    <s v="OK"/>
    <s v="Ok"/>
    <n v="804"/>
  </r>
  <r>
    <x v="1"/>
    <x v="1"/>
    <s v="Yoveo"/>
    <s v="95 Lerdahl Park"/>
    <x v="0"/>
    <s v="92-837-8839"/>
    <s v="95-484-3134"/>
    <x v="247"/>
    <d v="2025-01-16T00:00:00"/>
    <d v="2026-08-18T00:00:00"/>
    <n v="23"/>
    <n v="71"/>
    <n v="32"/>
    <n v="2"/>
    <n v="63"/>
    <n v="23"/>
    <n v="0.54"/>
    <n v="46"/>
    <n v="126"/>
    <s v="REORDER"/>
    <s v="Ok"/>
    <n v="501"/>
  </r>
  <r>
    <x v="98"/>
    <x v="5"/>
    <s v="Zoombox"/>
    <s v="85408 Toban Crossing"/>
    <x v="1"/>
    <s v="60-343-7973"/>
    <s v="06-303-4127"/>
    <x v="248"/>
    <d v="2024-04-29T00:00:00"/>
    <d v="2026-04-09T00:00:00"/>
    <n v="56"/>
    <n v="86"/>
    <n v="23"/>
    <n v="3.2"/>
    <n v="67"/>
    <n v="56"/>
    <n v="0.63"/>
    <n v="179.20000000000002"/>
    <n v="214.4"/>
    <s v="REORDER"/>
    <s v="Expired"/>
    <n v="763"/>
  </r>
  <r>
    <x v="18"/>
    <x v="0"/>
    <s v="Roombo"/>
    <s v="55 Morning Terrace"/>
    <x v="2"/>
    <s v="76-264-0748"/>
    <s v="27-557-2375"/>
    <x v="248"/>
    <d v="2024-06-01T00:00:00"/>
    <d v="2027-01-09T00:00:00"/>
    <n v="47"/>
    <n v="41"/>
    <n v="63"/>
    <n v="3"/>
    <n v="39"/>
    <n v="54"/>
    <n v="0.16"/>
    <n v="141"/>
    <n v="117"/>
    <s v="OK"/>
    <s v="Ok"/>
    <n v="730"/>
  </r>
  <r>
    <x v="0"/>
    <x v="0"/>
    <s v="Devcast"/>
    <s v="9327 Hanover Way"/>
    <x v="1"/>
    <s v="67-130-4114"/>
    <s v="53-718-1768"/>
    <x v="248"/>
    <d v="2024-02-27T00:00:00"/>
    <d v="2027-01-24T00:00:00"/>
    <n v="84"/>
    <n v="26"/>
    <n v="37"/>
    <n v="4.5"/>
    <n v="46"/>
    <n v="67"/>
    <n v="-0.38"/>
    <n v="378"/>
    <n v="207"/>
    <s v="OK"/>
    <s v="Ok"/>
    <n v="825"/>
  </r>
  <r>
    <x v="116"/>
    <x v="2"/>
    <s v="Tambee"/>
    <s v="40113 Blaine Place"/>
    <x v="2"/>
    <s v="99-961-0767"/>
    <s v="78-954-5649"/>
    <x v="249"/>
    <d v="2024-10-25T00:00:00"/>
    <d v="2026-12-06T00:00:00"/>
    <n v="85"/>
    <n v="15"/>
    <n v="30"/>
    <n v="4"/>
    <n v="95"/>
    <n v="63"/>
    <n v="-0.46"/>
    <n v="340"/>
    <n v="380"/>
    <s v="OK"/>
    <s v="Ok"/>
    <n v="584"/>
  </r>
  <r>
    <x v="80"/>
    <x v="6"/>
    <s v="Myworks"/>
    <s v="68241 Hanson Circle"/>
    <x v="1"/>
    <s v="24-228-6840"/>
    <s v="26-280-5472"/>
    <x v="249"/>
    <d v="2024-08-09T00:00:00"/>
    <d v="2026-11-28T00:00:00"/>
    <n v="27"/>
    <n v="1"/>
    <n v="3"/>
    <n v="30"/>
    <n v="34"/>
    <n v="63"/>
    <n v="0.34"/>
    <n v="810"/>
    <n v="1020"/>
    <s v="OK"/>
    <s v="Ok"/>
    <n v="661"/>
  </r>
  <r>
    <x v="39"/>
    <x v="1"/>
    <s v="Thoughtbeat"/>
    <s v="84575 Randy Point"/>
    <x v="1"/>
    <s v="83-573-4586"/>
    <s v="91-191-2324"/>
    <x v="250"/>
    <d v="2024-10-19T00:00:00"/>
    <d v="2026-07-18T00:00:00"/>
    <n v="77"/>
    <n v="95"/>
    <n v="82"/>
    <n v="6.5"/>
    <n v="29"/>
    <n v="46"/>
    <n v="-0.85"/>
    <n v="500.5"/>
    <n v="188.5"/>
    <s v="REORDER"/>
    <s v="Ok"/>
    <n v="590"/>
  </r>
  <r>
    <x v="109"/>
    <x v="5"/>
    <s v="Bluejam"/>
    <s v="7 Duke Parkway"/>
    <x v="2"/>
    <s v="80-698-0324"/>
    <s v="98-587-7923"/>
    <x v="250"/>
    <d v="2025-02-04T00:00:00"/>
    <d v="2026-05-25T00:00:00"/>
    <n v="84"/>
    <n v="58"/>
    <n v="28"/>
    <n v="6"/>
    <n v="51"/>
    <n v="12"/>
    <n v="-0.59"/>
    <n v="504"/>
    <n v="306"/>
    <s v="OK"/>
    <s v="Expired"/>
    <n v="482"/>
  </r>
  <r>
    <x v="100"/>
    <x v="4"/>
    <s v="Camimbo"/>
    <s v="29150 Farmco Crossing"/>
    <x v="1"/>
    <s v="83-568-3475"/>
    <s v="10-950-0546"/>
    <x v="250"/>
    <d v="2024-04-04T00:00:00"/>
    <d v="2027-02-10T00:00:00"/>
    <n v="35"/>
    <n v="72"/>
    <n v="70"/>
    <n v="20"/>
    <n v="74"/>
    <n v="15"/>
    <n v="0.76"/>
    <n v="700"/>
    <n v="1480"/>
    <s v="REORDER"/>
    <s v="Ok"/>
    <n v="788"/>
  </r>
  <r>
    <x v="108"/>
    <x v="0"/>
    <s v="Vidoo"/>
    <s v="6251 Eliot Hill"/>
    <x v="0"/>
    <s v="15-846-7959"/>
    <s v="47-026-0505"/>
    <x v="250"/>
    <d v="2024-12-01T00:00:00"/>
    <d v="2026-03-20T00:00:00"/>
    <n v="98"/>
    <n v="14"/>
    <n v="11"/>
    <n v="2.5"/>
    <n v="48"/>
    <n v="38"/>
    <n v="0.8"/>
    <n v="245"/>
    <n v="120"/>
    <s v="OK"/>
    <s v="Expired"/>
    <n v="547"/>
  </r>
  <r>
    <x v="110"/>
    <x v="2"/>
    <s v="Babblestorm"/>
    <s v="588 Waywood Trail"/>
    <x v="2"/>
    <s v="98-148-0940"/>
    <s v="06-175-9657"/>
    <x v="250"/>
    <d v="2024-04-02T00:00:00"/>
    <d v="2026-11-05T00:00:00"/>
    <n v="63"/>
    <n v="62"/>
    <n v="18"/>
    <n v="0.2"/>
    <n v="67"/>
    <n v="17"/>
    <n v="0.21"/>
    <n v="12.600000000000001"/>
    <n v="13.4"/>
    <s v="OK"/>
    <s v="Ok"/>
    <n v="790"/>
  </r>
  <r>
    <x v="39"/>
    <x v="1"/>
    <s v="Feedbug"/>
    <s v="01471 Burrows Lane"/>
    <x v="0"/>
    <s v="76-325-9093"/>
    <s v="67-922-3399"/>
    <x v="251"/>
    <d v="2024-10-19T00:00:00"/>
    <d v="2026-12-18T00:00:00"/>
    <n v="27"/>
    <n v="92"/>
    <n v="56"/>
    <n v="6.5"/>
    <n v="29"/>
    <n v="32"/>
    <n v="0.75"/>
    <n v="175.5"/>
    <n v="188.5"/>
    <s v="REORDER"/>
    <s v="Ok"/>
    <n v="590"/>
  </r>
  <r>
    <x v="29"/>
    <x v="3"/>
    <s v="Zava"/>
    <s v="21 Esker Way"/>
    <x v="1"/>
    <s v="10-034-7654"/>
    <s v="27-292-4656"/>
    <x v="251"/>
    <d v="2024-10-25T00:00:00"/>
    <d v="2026-05-28T00:00:00"/>
    <n v="70"/>
    <n v="96"/>
    <n v="92"/>
    <n v="1.5"/>
    <n v="27"/>
    <n v="58"/>
    <n v="-0.1"/>
    <n v="105"/>
    <n v="40.5"/>
    <s v="REORDER"/>
    <s v="Expired"/>
    <n v="584"/>
  </r>
  <r>
    <x v="6"/>
    <x v="3"/>
    <s v="Topiclounge"/>
    <s v="08492 Gateway Terrace"/>
    <x v="0"/>
    <s v="21-633-8696"/>
    <s v="89-468-2696"/>
    <x v="251"/>
    <d v="2024-04-06T00:00:00"/>
    <d v="2026-05-26T00:00:00"/>
    <n v="49"/>
    <n v="59"/>
    <n v="73"/>
    <n v="5"/>
    <n v="93"/>
    <n v="45"/>
    <n v="-1.1499999999999999"/>
    <n v="245"/>
    <n v="465"/>
    <s v="REORDER"/>
    <s v="Expired"/>
    <n v="786"/>
  </r>
  <r>
    <x v="110"/>
    <x v="2"/>
    <s v="Meembee"/>
    <s v="79878 Katie Trail"/>
    <x v="0"/>
    <s v="74-181-4135"/>
    <s v="00-487-2428"/>
    <x v="251"/>
    <d v="2024-03-17T00:00:00"/>
    <d v="2026-09-17T00:00:00"/>
    <n v="22"/>
    <n v="19"/>
    <n v="4"/>
    <n v="0.2"/>
    <n v="88"/>
    <n v="24"/>
    <n v="0.52"/>
    <n v="4.4000000000000004"/>
    <n v="17.600000000000001"/>
    <s v="OK"/>
    <s v="Ok"/>
    <n v="806"/>
  </r>
  <r>
    <x v="118"/>
    <x v="2"/>
    <s v="Feedfire"/>
    <s v="109 Twin Pines Avenue"/>
    <x v="2"/>
    <s v="98-064-4465"/>
    <s v="93-719-9817"/>
    <x v="252"/>
    <d v="2024-10-01T00:00:00"/>
    <d v="2026-11-11T00:00:00"/>
    <n v="96"/>
    <n v="38"/>
    <n v="17"/>
    <n v="7"/>
    <n v="72"/>
    <n v="84"/>
    <n v="0.73"/>
    <n v="672"/>
    <n v="504"/>
    <s v="OK"/>
    <s v="Ok"/>
    <n v="608"/>
  </r>
  <r>
    <x v="74"/>
    <x v="5"/>
    <s v="Kwideo"/>
    <s v="88 Hooker Parkway"/>
    <x v="1"/>
    <s v="41-475-5305"/>
    <s v="93-900-1170"/>
    <x v="252"/>
    <d v="2024-03-13T00:00:00"/>
    <d v="2026-09-12T00:00:00"/>
    <n v="61"/>
    <n v="20"/>
    <n v="29"/>
    <n v="3"/>
    <n v="71"/>
    <n v="97"/>
    <n v="-0.17"/>
    <n v="183"/>
    <n v="213"/>
    <s v="OK"/>
    <s v="Ok"/>
    <n v="810"/>
  </r>
  <r>
    <x v="108"/>
    <x v="0"/>
    <s v="Livetube"/>
    <s v="8 Russell Pass"/>
    <x v="0"/>
    <s v="80-988-4653"/>
    <s v="02-272-0535"/>
    <x v="253"/>
    <d v="2024-09-14T00:00:00"/>
    <d v="2026-04-19T00:00:00"/>
    <n v="43"/>
    <n v="66"/>
    <n v="85"/>
    <n v="2.5"/>
    <n v="66"/>
    <n v="65"/>
    <n v="-0.37"/>
    <n v="107.5"/>
    <n v="165"/>
    <s v="REORDER"/>
    <s v="Expired"/>
    <n v="625"/>
  </r>
  <r>
    <x v="13"/>
    <x v="5"/>
    <s v="Kanoodle"/>
    <s v="83894 Delaware Plaza"/>
    <x v="2"/>
    <s v="51-583-6029"/>
    <s v="78-024-3286"/>
    <x v="253"/>
    <d v="2024-08-18T00:00:00"/>
    <d v="2027-02-18T00:00:00"/>
    <n v="38"/>
    <n v="43"/>
    <n v="91"/>
    <n v="4"/>
    <n v="72"/>
    <n v="64"/>
    <n v="0.02"/>
    <n v="152"/>
    <n v="288"/>
    <s v="REORDER"/>
    <s v="Ok"/>
    <n v="652"/>
  </r>
  <r>
    <x v="98"/>
    <x v="5"/>
    <s v="Roombo"/>
    <s v="6 Lunder Parkway"/>
    <x v="1"/>
    <s v="63-270-7076"/>
    <s v="85-532-0172"/>
    <x v="254"/>
    <d v="2024-06-12T00:00:00"/>
    <d v="2027-01-24T00:00:00"/>
    <n v="65"/>
    <n v="36"/>
    <n v="37"/>
    <n v="3.5"/>
    <n v="32"/>
    <n v="70"/>
    <n v="0.11"/>
    <n v="227.5"/>
    <n v="112"/>
    <s v="OK"/>
    <s v="Ok"/>
    <n v="719"/>
  </r>
  <r>
    <x v="116"/>
    <x v="2"/>
    <s v="Skynoodle"/>
    <s v="6 Messerschmidt Place"/>
    <x v="0"/>
    <s v="70-149-6756"/>
    <s v="97-150-9199"/>
    <x v="254"/>
    <d v="2025-01-06T00:00:00"/>
    <d v="2026-06-26T00:00:00"/>
    <n v="14"/>
    <n v="99"/>
    <n v="97"/>
    <n v="4.2"/>
    <n v="28"/>
    <n v="45"/>
    <n v="-1.19"/>
    <n v="58.800000000000004"/>
    <n v="117.60000000000001"/>
    <s v="REORDER"/>
    <s v="Expiring Soon"/>
    <n v="511"/>
  </r>
  <r>
    <x v="97"/>
    <x v="2"/>
    <s v="Feedfire"/>
    <s v="43 Heath Street"/>
    <x v="1"/>
    <s v="98-909-9395"/>
    <s v="74-119-5491"/>
    <x v="255"/>
    <d v="2024-08-31T00:00:00"/>
    <d v="2026-12-07T00:00:00"/>
    <n v="67"/>
    <n v="98"/>
    <n v="92"/>
    <n v="5"/>
    <n v="35"/>
    <n v="98"/>
    <n v="-0.61"/>
    <n v="335"/>
    <n v="175"/>
    <s v="REORDER"/>
    <s v="Ok"/>
    <n v="639"/>
  </r>
  <r>
    <x v="106"/>
    <x v="2"/>
    <s v="Skiptube"/>
    <s v="3 Fairfield Center"/>
    <x v="0"/>
    <s v="35-621-2546"/>
    <s v="14-190-2260"/>
    <x v="255"/>
    <d v="2024-04-07T00:00:00"/>
    <d v="2027-02-15T00:00:00"/>
    <n v="85"/>
    <n v="89"/>
    <n v="41"/>
    <n v="8"/>
    <n v="68"/>
    <n v="93"/>
    <n v="-1.8"/>
    <n v="680"/>
    <n v="544"/>
    <s v="REORDER"/>
    <s v="Ok"/>
    <n v="785"/>
  </r>
  <r>
    <x v="7"/>
    <x v="4"/>
    <s v="Zoovu"/>
    <s v="4 Stang Place"/>
    <x v="2"/>
    <s v="24-579-6500"/>
    <s v="60-309-5783"/>
    <x v="255"/>
    <d v="2024-06-12T00:00:00"/>
    <d v="2026-09-04T00:00:00"/>
    <n v="93"/>
    <n v="51"/>
    <n v="70"/>
    <n v="10"/>
    <n v="81"/>
    <n v="18"/>
    <n v="-0.37"/>
    <n v="930"/>
    <n v="810"/>
    <s v="OK"/>
    <s v="Ok"/>
    <n v="719"/>
  </r>
  <r>
    <x v="120"/>
    <x v="3"/>
    <s v="Cogilith"/>
    <s v="4029 Lotheville Pass"/>
    <x v="1"/>
    <s v="01-703-8441"/>
    <s v="91-216-7668"/>
    <x v="256"/>
    <d v="2025-01-01T00:00:00"/>
    <d v="2026-06-21T00:00:00"/>
    <n v="100"/>
    <n v="10"/>
    <n v="89"/>
    <n v="1.5"/>
    <n v="76"/>
    <n v="38"/>
    <n v="0.78"/>
    <n v="150"/>
    <n v="114"/>
    <s v="OK"/>
    <s v="Expiring Soon"/>
    <n v="516"/>
  </r>
  <r>
    <x v="17"/>
    <x v="2"/>
    <s v="Fliptune"/>
    <s v="126 Spohn Plaza"/>
    <x v="0"/>
    <s v="61-796-6540"/>
    <s v="40-002-8400"/>
    <x v="257"/>
    <d v="2024-06-02T00:00:00"/>
    <d v="2026-08-14T00:00:00"/>
    <n v="88"/>
    <n v="4"/>
    <n v="79"/>
    <n v="6"/>
    <n v="23"/>
    <n v="39"/>
    <n v="0.5"/>
    <n v="528"/>
    <n v="138"/>
    <s v="OK"/>
    <s v="Ok"/>
    <n v="729"/>
  </r>
  <r>
    <x v="13"/>
    <x v="5"/>
    <s v="BlogXS"/>
    <s v="66 Raven Pass"/>
    <x v="1"/>
    <s v="16-354-8122"/>
    <s v="61-604-8116"/>
    <x v="258"/>
    <d v="2025-01-22T00:00:00"/>
    <d v="2026-11-27T00:00:00"/>
    <n v="97"/>
    <n v="99"/>
    <n v="96"/>
    <n v="4"/>
    <n v="57"/>
    <n v="42"/>
    <n v="-0.7"/>
    <n v="388"/>
    <n v="228"/>
    <s v="REORDER"/>
    <s v="Ok"/>
    <n v="495"/>
  </r>
  <r>
    <x v="16"/>
    <x v="2"/>
    <s v="DabZ"/>
    <s v="69 Orin Plaza"/>
    <x v="0"/>
    <s v="67-512-9754"/>
    <s v="35-941-2585"/>
    <x v="258"/>
    <d v="2024-07-21T00:00:00"/>
    <d v="2026-03-22T00:00:00"/>
    <n v="19"/>
    <n v="100"/>
    <n v="83"/>
    <n v="2.5"/>
    <n v="66"/>
    <n v="28"/>
    <n v="0.26"/>
    <n v="47.5"/>
    <n v="165"/>
    <s v="REORDER"/>
    <s v="Expired"/>
    <n v="680"/>
  </r>
  <r>
    <x v="22"/>
    <x v="0"/>
    <s v="Twitternation"/>
    <s v="108 Morning Center"/>
    <x v="0"/>
    <s v="11-316-8405"/>
    <s v="50-918-1373"/>
    <x v="259"/>
    <d v="2025-02-24T00:00:00"/>
    <d v="2026-11-25T00:00:00"/>
    <n v="24"/>
    <n v="55"/>
    <n v="51"/>
    <n v="5"/>
    <n v="39"/>
    <n v="15"/>
    <n v="0.57999999999999996"/>
    <n v="120"/>
    <n v="195"/>
    <s v="REORDER"/>
    <s v="Ok"/>
    <n v="462"/>
  </r>
  <r>
    <x v="92"/>
    <x v="3"/>
    <s v="Skimia"/>
    <s v="98 Bartillon Trail"/>
    <x v="1"/>
    <s v="36-372-2295"/>
    <s v="85-823-7428"/>
    <x v="259"/>
    <d v="2024-10-22T00:00:00"/>
    <d v="2026-04-14T00:00:00"/>
    <n v="55"/>
    <n v="13"/>
    <n v="71"/>
    <n v="4.45"/>
    <n v="37"/>
    <n v="4"/>
    <n v="0.62"/>
    <n v="244.75"/>
    <n v="164.65"/>
    <s v="OK"/>
    <s v="Expired"/>
    <n v="587"/>
  </r>
  <r>
    <x v="91"/>
    <x v="1"/>
    <s v="Mydeo"/>
    <s v="51 7th Court"/>
    <x v="0"/>
    <s v="84-075-7647"/>
    <s v="95-889-8592"/>
    <x v="260"/>
    <d v="2024-10-21T00:00:00"/>
    <d v="2027-02-22T00:00:00"/>
    <n v="91"/>
    <n v="82"/>
    <n v="58"/>
    <n v="2.2999999999999998"/>
    <n v="43"/>
    <n v="45"/>
    <n v="0.89"/>
    <n v="209.29999999999998"/>
    <n v="98.899999999999991"/>
    <s v="OK"/>
    <s v="Ok"/>
    <n v="588"/>
  </r>
  <r>
    <x v="0"/>
    <x v="0"/>
    <s v="Zava"/>
    <s v="81503 Graedel Plaza"/>
    <x v="1"/>
    <s v="08-226-5155"/>
    <s v="64-584-7898"/>
    <x v="260"/>
    <d v="2024-05-01T00:00:00"/>
    <d v="2026-04-27T00:00:00"/>
    <n v="49"/>
    <n v="93"/>
    <n v="15"/>
    <n v="4.5"/>
    <n v="52"/>
    <n v="31"/>
    <n v="-0.05"/>
    <n v="220.5"/>
    <n v="234"/>
    <s v="REORDER"/>
    <s v="Expired"/>
    <n v="761"/>
  </r>
  <r>
    <x v="55"/>
    <x v="0"/>
    <s v="Eare"/>
    <s v="156 Golf Course Alley"/>
    <x v="1"/>
    <s v="46-496-2930"/>
    <s v="29-295-9755"/>
    <x v="260"/>
    <d v="2024-10-26T00:00:00"/>
    <d v="2026-08-14T00:00:00"/>
    <n v="66"/>
    <n v="28"/>
    <n v="7"/>
    <n v="6"/>
    <n v="85"/>
    <n v="6"/>
    <n v="0.4"/>
    <n v="396"/>
    <n v="510"/>
    <s v="OK"/>
    <s v="Ok"/>
    <n v="583"/>
  </r>
  <r>
    <x v="75"/>
    <x v="2"/>
    <s v="Quatz"/>
    <s v="389 Ridgeway Park"/>
    <x v="1"/>
    <s v="00-215-7434"/>
    <s v="85-272-3969"/>
    <x v="261"/>
    <d v="2025-02-19T00:00:00"/>
    <d v="2026-11-28T00:00:00"/>
    <n v="14"/>
    <n v="63"/>
    <n v="74"/>
    <n v="2.5"/>
    <n v="59"/>
    <n v="63"/>
    <n v="0.93"/>
    <n v="35"/>
    <n v="147.5"/>
    <s v="REORDER"/>
    <s v="Ok"/>
    <n v="467"/>
  </r>
  <r>
    <x v="118"/>
    <x v="2"/>
    <s v="Buzzdog"/>
    <s v="018 Oxford Crossing"/>
    <x v="0"/>
    <s v="12-828-1063"/>
    <s v="48-707-5857"/>
    <x v="261"/>
    <d v="2024-03-29T00:00:00"/>
    <d v="2026-08-05T00:00:00"/>
    <n v="36"/>
    <n v="82"/>
    <n v="85"/>
    <n v="7.1"/>
    <n v="27"/>
    <n v="67"/>
    <n v="-7.0000000000000007E-2"/>
    <n v="255.6"/>
    <n v="191.7"/>
    <s v="REORDER"/>
    <s v="Ok"/>
    <n v="794"/>
  </r>
  <r>
    <x v="45"/>
    <x v="2"/>
    <s v="Fivebridge"/>
    <s v="34 Fremont Point"/>
    <x v="1"/>
    <s v="48-770-6319"/>
    <s v="64-452-2395"/>
    <x v="261"/>
    <d v="2024-11-21T00:00:00"/>
    <d v="2027-02-02T00:00:00"/>
    <n v="52"/>
    <n v="31"/>
    <n v="18"/>
    <n v="1"/>
    <n v="77"/>
    <n v="16"/>
    <n v="-1.48"/>
    <n v="52"/>
    <n v="77"/>
    <s v="OK"/>
    <s v="Ok"/>
    <n v="557"/>
  </r>
  <r>
    <x v="115"/>
    <x v="2"/>
    <s v="Jayo"/>
    <s v="51205 Rieder Junction"/>
    <x v="0"/>
    <s v="44-305-1866"/>
    <s v="25-190-3172"/>
    <x v="262"/>
    <d v="2024-07-02T00:00:00"/>
    <d v="2026-08-29T00:00:00"/>
    <n v="48"/>
    <n v="71"/>
    <n v="86"/>
    <n v="3"/>
    <n v="95"/>
    <n v="3"/>
    <n v="0.79"/>
    <n v="144"/>
    <n v="285"/>
    <s v="REORDER"/>
    <s v="Ok"/>
    <n v="699"/>
  </r>
  <r>
    <x v="38"/>
    <x v="1"/>
    <s v="Browsetype"/>
    <s v="7232 Ridgeway Center"/>
    <x v="1"/>
    <s v="97-283-4840"/>
    <s v="64-604-1679"/>
    <x v="262"/>
    <d v="2024-05-12T00:00:00"/>
    <d v="2027-02-24T00:00:00"/>
    <n v="58"/>
    <n v="23"/>
    <n v="66"/>
    <n v="1.8"/>
    <n v="82"/>
    <n v="61"/>
    <n v="0.97"/>
    <n v="104.4"/>
    <n v="147.6"/>
    <s v="OK"/>
    <s v="Ok"/>
    <n v="750"/>
  </r>
  <r>
    <x v="73"/>
    <x v="3"/>
    <s v="Ainyx"/>
    <s v="09 Londonderry Hill"/>
    <x v="1"/>
    <s v="35-328-8392"/>
    <s v="52-340-4509"/>
    <x v="262"/>
    <d v="2024-03-18T00:00:00"/>
    <d v="2026-04-21T00:00:00"/>
    <n v="39"/>
    <n v="2"/>
    <n v="71"/>
    <n v="1.45"/>
    <n v="20"/>
    <n v="70"/>
    <n v="0.26"/>
    <n v="56.55"/>
    <n v="29"/>
    <s v="OK"/>
    <s v="Expired"/>
    <n v="805"/>
  </r>
  <r>
    <x v="115"/>
    <x v="2"/>
    <s v="Kayveo"/>
    <s v="76 Toban Plaza"/>
    <x v="0"/>
    <s v="43-693-2092"/>
    <s v="19-469-9841"/>
    <x v="263"/>
    <d v="2024-10-21T00:00:00"/>
    <d v="2026-09-22T00:00:00"/>
    <n v="51"/>
    <n v="100"/>
    <n v="70"/>
    <n v="3"/>
    <n v="40"/>
    <n v="21"/>
    <n v="-2.5"/>
    <n v="153"/>
    <n v="120"/>
    <s v="REORDER"/>
    <s v="Ok"/>
    <n v="588"/>
  </r>
  <r>
    <x v="85"/>
    <x v="4"/>
    <s v="Buzzster"/>
    <s v="7096 Mcguire Park"/>
    <x v="2"/>
    <s v="47-802-5023"/>
    <s v="51-010-8144"/>
    <x v="263"/>
    <d v="2024-10-18T00:00:00"/>
    <d v="2026-06-07T00:00:00"/>
    <n v="16"/>
    <n v="20"/>
    <n v="45"/>
    <n v="8"/>
    <n v="81"/>
    <n v="62"/>
    <n v="0.48"/>
    <n v="128"/>
    <n v="648"/>
    <s v="REORDER"/>
    <s v="Expiring Soon"/>
    <n v="591"/>
  </r>
  <r>
    <x v="71"/>
    <x v="6"/>
    <s v="Aivee"/>
    <s v="99 Duke Lane"/>
    <x v="1"/>
    <s v="24-009-1208"/>
    <s v="96-405-4286"/>
    <x v="263"/>
    <d v="2024-06-10T00:00:00"/>
    <d v="2027-02-06T00:00:00"/>
    <n v="62"/>
    <n v="31"/>
    <n v="24"/>
    <n v="25"/>
    <n v="89"/>
    <n v="100"/>
    <n v="0.23"/>
    <n v="1550"/>
    <n v="2225"/>
    <s v="OK"/>
    <s v="Ok"/>
    <n v="721"/>
  </r>
  <r>
    <x v="55"/>
    <x v="0"/>
    <s v="Dynabox"/>
    <s v="005 Tomscot Hill"/>
    <x v="2"/>
    <s v="98-556-5323"/>
    <s v="21-490-8051"/>
    <x v="264"/>
    <d v="2024-08-12T00:00:00"/>
    <d v="2026-08-27T00:00:00"/>
    <n v="60"/>
    <n v="61"/>
    <n v="2"/>
    <n v="6"/>
    <n v="96"/>
    <n v="50"/>
    <n v="-0.12"/>
    <n v="360"/>
    <n v="576"/>
    <s v="REORDER"/>
    <s v="Ok"/>
    <n v="658"/>
  </r>
  <r>
    <x v="82"/>
    <x v="2"/>
    <s v="Vinder"/>
    <s v="00847 Reindahl Place"/>
    <x v="0"/>
    <s v="14-521-4167"/>
    <s v="68-609-1972"/>
    <x v="264"/>
    <d v="2024-06-29T00:00:00"/>
    <d v="2026-03-06T00:00:00"/>
    <n v="47"/>
    <n v="2"/>
    <n v="76"/>
    <n v="2.5"/>
    <n v="48"/>
    <n v="36"/>
    <n v="0.48"/>
    <n v="117.5"/>
    <n v="120"/>
    <s v="OK"/>
    <s v="Expired"/>
    <n v="702"/>
  </r>
  <r>
    <x v="45"/>
    <x v="2"/>
    <s v="Zoonoodle"/>
    <s v="329 Helena Park"/>
    <x v="0"/>
    <s v="61-607-7622"/>
    <s v="77-175-2969"/>
    <x v="264"/>
    <d v="2025-02-21T00:00:00"/>
    <d v="2027-01-15T00:00:00"/>
    <n v="23"/>
    <n v="38"/>
    <n v="25"/>
    <n v="1"/>
    <n v="84"/>
    <n v="78"/>
    <n v="0.25"/>
    <n v="23"/>
    <n v="84"/>
    <s v="REORDER"/>
    <s v="Ok"/>
    <n v="465"/>
  </r>
  <r>
    <x v="39"/>
    <x v="1"/>
    <s v="Rhycero"/>
    <s v="041 Paget Alley"/>
    <x v="0"/>
    <s v="06-849-4869"/>
    <s v="39-464-7300"/>
    <x v="264"/>
    <d v="2025-02-19T00:00:00"/>
    <d v="2026-07-15T00:00:00"/>
    <n v="85"/>
    <n v="15"/>
    <n v="16"/>
    <n v="6.5"/>
    <n v="46"/>
    <n v="24"/>
    <n v="7.0000000000000007E-2"/>
    <n v="552.5"/>
    <n v="299"/>
    <s v="OK"/>
    <s v="Ok"/>
    <n v="467"/>
  </r>
  <r>
    <x v="58"/>
    <x v="2"/>
    <s v="Flashset"/>
    <s v="38726 Gina Pass"/>
    <x v="1"/>
    <s v="41-526-4036"/>
    <s v="45-923-7206"/>
    <x v="264"/>
    <d v="2024-03-02T00:00:00"/>
    <d v="2027-01-29T00:00:00"/>
    <n v="55"/>
    <n v="25"/>
    <n v="87"/>
    <n v="4"/>
    <n v="69"/>
    <n v="48"/>
    <n v="0.48"/>
    <n v="220"/>
    <n v="276"/>
    <s v="OK"/>
    <s v="Ok"/>
    <n v="821"/>
  </r>
  <r>
    <x v="34"/>
    <x v="2"/>
    <s v="Realblab"/>
    <s v="1823 Elgar Park"/>
    <x v="1"/>
    <s v="49-570-8214"/>
    <s v="17-345-5800"/>
    <x v="264"/>
    <d v="2024-05-27T00:00:00"/>
    <d v="2026-12-18T00:00:00"/>
    <n v="81"/>
    <n v="76"/>
    <n v="10"/>
    <n v="4"/>
    <n v="68"/>
    <n v="100"/>
    <n v="0.3"/>
    <n v="324"/>
    <n v="272"/>
    <s v="OK"/>
    <s v="Ok"/>
    <n v="735"/>
  </r>
  <r>
    <x v="86"/>
    <x v="0"/>
    <s v="Tazz"/>
    <s v="1 Lake View Trail"/>
    <x v="0"/>
    <s v="85-561-4694"/>
    <s v="57-486-8971"/>
    <x v="265"/>
    <d v="2024-08-15T00:00:00"/>
    <d v="2026-05-11T00:00:00"/>
    <n v="28"/>
    <n v="27"/>
    <n v="22"/>
    <n v="6"/>
    <n v="70"/>
    <n v="30"/>
    <n v="-0.47"/>
    <n v="168"/>
    <n v="420"/>
    <s v="OK"/>
    <s v="Expired"/>
    <n v="655"/>
  </r>
  <r>
    <x v="74"/>
    <x v="5"/>
    <s v="Jetwire"/>
    <s v="77563 Russell Lane"/>
    <x v="2"/>
    <s v="26-629-5920"/>
    <s v="19-264-7608"/>
    <x v="265"/>
    <d v="2024-07-16T00:00:00"/>
    <d v="2026-12-14T00:00:00"/>
    <n v="99"/>
    <n v="6"/>
    <n v="88"/>
    <n v="3"/>
    <n v="49"/>
    <n v="9"/>
    <n v="0.56999999999999995"/>
    <n v="297"/>
    <n v="147"/>
    <s v="OK"/>
    <s v="Ok"/>
    <n v="685"/>
  </r>
  <r>
    <x v="25"/>
    <x v="5"/>
    <s v="Eadel"/>
    <s v="19180 Hagan Parkway"/>
    <x v="0"/>
    <s v="75-029-9003"/>
    <s v="61-917-4271"/>
    <x v="266"/>
    <d v="2024-10-07T00:00:00"/>
    <d v="2026-04-01T00:00:00"/>
    <n v="34"/>
    <n v="42"/>
    <n v="86"/>
    <n v="4"/>
    <n v="28"/>
    <n v="23"/>
    <n v="0.82"/>
    <n v="136"/>
    <n v="112"/>
    <s v="REORDER"/>
    <s v="Expired"/>
    <n v="602"/>
  </r>
  <r>
    <x v="56"/>
    <x v="0"/>
    <s v="Skivee"/>
    <s v="9 Holmberg Circle"/>
    <x v="2"/>
    <s v="79-428-8753"/>
    <s v="29-521-7910"/>
    <x v="266"/>
    <d v="2024-07-06T00:00:00"/>
    <d v="2026-12-30T00:00:00"/>
    <n v="62"/>
    <n v="79"/>
    <n v="95"/>
    <n v="1"/>
    <n v="34"/>
    <n v="12"/>
    <n v="0.18"/>
    <n v="62"/>
    <n v="34"/>
    <s v="REORDER"/>
    <s v="Ok"/>
    <n v="695"/>
  </r>
  <r>
    <x v="42"/>
    <x v="0"/>
    <s v="Fivebridge"/>
    <s v="0 Lerdahl Parkway"/>
    <x v="0"/>
    <s v="34-369-7712"/>
    <s v="95-241-9348"/>
    <x v="266"/>
    <d v="2024-05-11T00:00:00"/>
    <d v="2026-06-06T00:00:00"/>
    <n v="55"/>
    <n v="96"/>
    <n v="40"/>
    <n v="5"/>
    <n v="23"/>
    <n v="47"/>
    <n v="0.65"/>
    <n v="275"/>
    <n v="115"/>
    <s v="REORDER"/>
    <s v="Expiring Soon"/>
    <n v="751"/>
  </r>
  <r>
    <x v="78"/>
    <x v="3"/>
    <s v="Photobean"/>
    <s v="6 Nobel Junction"/>
    <x v="1"/>
    <s v="22-141-9798"/>
    <s v="59-849-9942"/>
    <x v="267"/>
    <d v="2024-09-20T00:00:00"/>
    <d v="2026-04-30T00:00:00"/>
    <n v="47"/>
    <n v="7"/>
    <n v="63"/>
    <n v="2"/>
    <n v="29"/>
    <n v="20"/>
    <n v="-1.04"/>
    <n v="94"/>
    <n v="58"/>
    <s v="OK"/>
    <s v="Expired"/>
    <n v="619"/>
  </r>
  <r>
    <x v="96"/>
    <x v="0"/>
    <s v="Photolist"/>
    <s v="6 Anthes Court"/>
    <x v="1"/>
    <s v="38-924-3007"/>
    <s v="83-936-5065"/>
    <x v="267"/>
    <d v="2025-01-05T00:00:00"/>
    <d v="2026-04-17T00:00:00"/>
    <n v="12"/>
    <n v="28"/>
    <n v="11"/>
    <n v="3"/>
    <n v="46"/>
    <n v="88"/>
    <n v="0.31"/>
    <n v="36"/>
    <n v="138"/>
    <s v="REORDER"/>
    <s v="Expired"/>
    <n v="512"/>
  </r>
  <r>
    <x v="95"/>
    <x v="0"/>
    <s v="Skaboo"/>
    <s v="82955 Dayton Street"/>
    <x v="0"/>
    <s v="70-005-5970"/>
    <s v="18-490-4140"/>
    <x v="267"/>
    <d v="2024-10-02T00:00:00"/>
    <d v="2026-12-24T00:00:00"/>
    <n v="84"/>
    <n v="46"/>
    <n v="80"/>
    <n v="3.5"/>
    <n v="66"/>
    <n v="84"/>
    <n v="-0.91"/>
    <n v="294"/>
    <n v="231"/>
    <s v="OK"/>
    <s v="Ok"/>
    <n v="607"/>
  </r>
  <r>
    <x v="102"/>
    <x v="0"/>
    <s v="Rhyzio"/>
    <s v="4 Heffernan Lane"/>
    <x v="2"/>
    <s v="19-021-5024"/>
    <s v="75-369-5047"/>
    <x v="268"/>
    <d v="2025-02-13T00:00:00"/>
    <d v="2026-05-07T00:00:00"/>
    <n v="47"/>
    <n v="63"/>
    <n v="86"/>
    <n v="4"/>
    <n v="76"/>
    <n v="29"/>
    <n v="-0.27"/>
    <n v="188"/>
    <n v="304"/>
    <s v="REORDER"/>
    <s v="Expired"/>
    <n v="473"/>
  </r>
  <r>
    <x v="62"/>
    <x v="4"/>
    <s v="Thoughtbeat"/>
    <s v="35 Waxwing Center"/>
    <x v="2"/>
    <s v="31-403-6234"/>
    <s v="00-258-2525"/>
    <x v="269"/>
    <d v="2024-11-24T00:00:00"/>
    <d v="2026-05-04T00:00:00"/>
    <n v="87"/>
    <n v="24"/>
    <n v="66"/>
    <n v="18"/>
    <n v="22"/>
    <n v="34"/>
    <n v="0.62"/>
    <n v="1566"/>
    <n v="396"/>
    <s v="OK"/>
    <s v="Expired"/>
    <n v="554"/>
  </r>
  <r>
    <x v="67"/>
    <x v="0"/>
    <s v="Quire"/>
    <s v="7 West Street"/>
    <x v="1"/>
    <s v="19-047-4239"/>
    <s v="11-146-9880"/>
    <x v="270"/>
    <d v="2024-03-30T00:00:00"/>
    <d v="2026-04-30T00:00:00"/>
    <n v="47"/>
    <n v="72"/>
    <n v="73"/>
    <n v="4"/>
    <n v="93"/>
    <n v="27"/>
    <n v="-0.55000000000000004"/>
    <n v="188"/>
    <n v="372"/>
    <s v="REORDER"/>
    <s v="Expired"/>
    <n v="793"/>
  </r>
  <r>
    <x v="90"/>
    <x v="0"/>
    <s v="Youbridge"/>
    <s v="676 Redwing Trail"/>
    <x v="2"/>
    <s v="29-092-3453"/>
    <s v="41-867-9911"/>
    <x v="271"/>
    <d v="2024-05-07T00:00:00"/>
    <d v="2026-06-17T00:00:00"/>
    <n v="61"/>
    <n v="17"/>
    <n v="69"/>
    <n v="2.52"/>
    <n v="31"/>
    <n v="29"/>
    <n v="0.71"/>
    <n v="153.72"/>
    <n v="78.12"/>
    <s v="OK"/>
    <s v="Expiring Soon"/>
    <n v="755"/>
  </r>
  <r>
    <x v="66"/>
    <x v="2"/>
    <s v="Thoughtblab"/>
    <s v="95 Onsgard Way"/>
    <x v="0"/>
    <s v="28-956-1320"/>
    <s v="01-445-8931"/>
    <x v="272"/>
    <d v="2024-10-18T00:00:00"/>
    <d v="2026-09-05T00:00:00"/>
    <n v="62"/>
    <n v="2"/>
    <n v="98"/>
    <n v="3"/>
    <n v="50"/>
    <n v="11"/>
    <n v="0.06"/>
    <n v="186"/>
    <n v="150"/>
    <s v="OK"/>
    <s v="Ok"/>
    <n v="591"/>
  </r>
  <r>
    <x v="85"/>
    <x v="4"/>
    <s v="Buzzshare"/>
    <s v="01330 Sheridan Way"/>
    <x v="2"/>
    <s v="88-069-5486"/>
    <s v="95-878-1614"/>
    <x v="272"/>
    <d v="2024-07-13T00:00:00"/>
    <d v="2026-05-01T00:00:00"/>
    <n v="31"/>
    <n v="87"/>
    <n v="19"/>
    <n v="8"/>
    <n v="41"/>
    <n v="10"/>
    <n v="0.78"/>
    <n v="248"/>
    <n v="328"/>
    <s v="REORDER"/>
    <s v="Expired"/>
    <n v="688"/>
  </r>
  <r>
    <x v="74"/>
    <x v="5"/>
    <s v="Tanoodle"/>
    <s v="0 Miller Pass"/>
    <x v="1"/>
    <s v="97-710-2449"/>
    <s v="39-676-9308"/>
    <x v="272"/>
    <d v="2025-01-23T00:00:00"/>
    <d v="2026-06-19T00:00:00"/>
    <n v="28"/>
    <n v="94"/>
    <n v="80"/>
    <n v="2.8"/>
    <n v="31"/>
    <n v="1"/>
    <n v="0.76"/>
    <n v="78.399999999999991"/>
    <n v="86.8"/>
    <s v="REORDER"/>
    <s v="Expiring Soon"/>
    <n v="494"/>
  </r>
  <r>
    <x v="117"/>
    <x v="0"/>
    <s v="Eidel"/>
    <s v="53 Caliangt Junction"/>
    <x v="1"/>
    <s v="84-272-0790"/>
    <s v="00-635-4638"/>
    <x v="272"/>
    <d v="2024-11-18T00:00:00"/>
    <d v="2026-07-29T00:00:00"/>
    <n v="28"/>
    <n v="86"/>
    <n v="44"/>
    <n v="10"/>
    <n v="48"/>
    <n v="12"/>
    <n v="0.97"/>
    <n v="280"/>
    <n v="480"/>
    <s v="REORDER"/>
    <s v="Ok"/>
    <n v="560"/>
  </r>
  <r>
    <x v="31"/>
    <x v="2"/>
    <s v="BlogXS"/>
    <s v="4 Bashford Court"/>
    <x v="0"/>
    <s v="89-602-6755"/>
    <s v="51-054-3811"/>
    <x v="272"/>
    <d v="2025-02-07T00:00:00"/>
    <d v="2026-07-17T00:00:00"/>
    <n v="74"/>
    <n v="90"/>
    <n v="26"/>
    <n v="1"/>
    <n v="24"/>
    <n v="11"/>
    <n v="0.75"/>
    <n v="74"/>
    <n v="24"/>
    <s v="REORDER"/>
    <s v="Ok"/>
    <n v="479"/>
  </r>
  <r>
    <x v="18"/>
    <x v="0"/>
    <s v="Vimbo"/>
    <s v="04 Rockefeller Terrace"/>
    <x v="2"/>
    <s v="63-162-9244"/>
    <s v="58-945-2944"/>
    <x v="273"/>
    <d v="2024-08-11T00:00:00"/>
    <d v="2026-05-17T00:00:00"/>
    <n v="49"/>
    <n v="89"/>
    <n v="65"/>
    <n v="3"/>
    <n v="37"/>
    <n v="48"/>
    <n v="0.54"/>
    <n v="147"/>
    <n v="111"/>
    <s v="REORDER"/>
    <s v="Expired"/>
    <n v="659"/>
  </r>
  <r>
    <x v="17"/>
    <x v="2"/>
    <s v="Eadel"/>
    <s v="6 Anniversary Circle"/>
    <x v="0"/>
    <s v="49-579-4325"/>
    <s v="98-558-5813"/>
    <x v="273"/>
    <d v="2024-08-22T00:00:00"/>
    <d v="2026-05-17T00:00:00"/>
    <n v="64"/>
    <n v="95"/>
    <n v="62"/>
    <n v="6"/>
    <n v="55"/>
    <n v="1"/>
    <n v="-0.3"/>
    <n v="384"/>
    <n v="330"/>
    <s v="REORDER"/>
    <s v="Expired"/>
    <n v="648"/>
  </r>
  <r>
    <x v="111"/>
    <x v="5"/>
    <s v="Twitterbridge"/>
    <s v="84148 Prairie Rose Center"/>
    <x v="1"/>
    <s v="96-503-7712"/>
    <s v="97-325-5889"/>
    <x v="274"/>
    <d v="2024-07-28T00:00:00"/>
    <d v="2027-01-19T00:00:00"/>
    <n v="93"/>
    <n v="76"/>
    <n v="82"/>
    <n v="2.5"/>
    <n v="76"/>
    <n v="51"/>
    <n v="0.98"/>
    <n v="232.5"/>
    <n v="190"/>
    <s v="OK"/>
    <s v="Ok"/>
    <n v="673"/>
  </r>
  <r>
    <x v="114"/>
    <x v="0"/>
    <s v="Kwinu"/>
    <s v="851 Hollow Ridge Center"/>
    <x v="1"/>
    <s v="56-213-0577"/>
    <s v="72-306-8602"/>
    <x v="274"/>
    <d v="2024-05-23T00:00:00"/>
    <d v="2026-09-17T00:00:00"/>
    <n v="24"/>
    <n v="25"/>
    <n v="52"/>
    <n v="4.5"/>
    <n v="24"/>
    <n v="77"/>
    <n v="0.33"/>
    <n v="108"/>
    <n v="108"/>
    <s v="REORDER"/>
    <s v="Ok"/>
    <n v="739"/>
  </r>
  <r>
    <x v="64"/>
    <x v="0"/>
    <s v="Eazzy"/>
    <s v="736 Redwing Parkway"/>
    <x v="1"/>
    <s v="24-989-3302"/>
    <s v="89-159-0852"/>
    <x v="274"/>
    <d v="2024-06-03T00:00:00"/>
    <d v="2026-07-30T00:00:00"/>
    <n v="85"/>
    <n v="90"/>
    <n v="16"/>
    <n v="5"/>
    <n v="61"/>
    <n v="80"/>
    <n v="-2.21"/>
    <n v="425"/>
    <n v="305"/>
    <s v="REORDER"/>
    <s v="Ok"/>
    <n v="728"/>
  </r>
  <r>
    <x v="69"/>
    <x v="0"/>
    <s v="Chatterpoint"/>
    <s v="911 Merry Junction"/>
    <x v="2"/>
    <s v="79-920-2395"/>
    <s v="70-825-7341"/>
    <x v="275"/>
    <d v="2024-05-08T00:00:00"/>
    <d v="2026-07-16T00:00:00"/>
    <n v="81"/>
    <n v="23"/>
    <n v="17"/>
    <n v="6.25"/>
    <n v="92"/>
    <n v="78"/>
    <n v="-0.31"/>
    <n v="506.25"/>
    <n v="575"/>
    <s v="OK"/>
    <s v="Ok"/>
    <n v="754"/>
  </r>
  <r>
    <x v="44"/>
    <x v="1"/>
    <s v="Layo"/>
    <s v="482 Green Center"/>
    <x v="0"/>
    <s v="73-118-1117"/>
    <s v="55-557-8544"/>
    <x v="276"/>
    <d v="2024-05-05T00:00:00"/>
    <d v="2026-11-13T00:00:00"/>
    <n v="52"/>
    <n v="88"/>
    <n v="55"/>
    <n v="6"/>
    <n v="100"/>
    <n v="46"/>
    <n v="0.15"/>
    <n v="312"/>
    <n v="600"/>
    <s v="REORDER"/>
    <s v="Ok"/>
    <n v="757"/>
  </r>
  <r>
    <x v="79"/>
    <x v="2"/>
    <s v="Ntags"/>
    <s v="9738 Old Shore Trail"/>
    <x v="2"/>
    <s v="65-674-6076"/>
    <s v="16-933-3355"/>
    <x v="276"/>
    <d v="2024-10-06T00:00:00"/>
    <d v="2026-12-18T00:00:00"/>
    <n v="78"/>
    <n v="61"/>
    <n v="6"/>
    <n v="0.8"/>
    <n v="49"/>
    <n v="60"/>
    <n v="0.54"/>
    <n v="62.400000000000006"/>
    <n v="39.200000000000003"/>
    <s v="OK"/>
    <s v="Ok"/>
    <n v="603"/>
  </r>
  <r>
    <x v="7"/>
    <x v="4"/>
    <s v="Skipfire"/>
    <s v="959 Dorton Pass"/>
    <x v="0"/>
    <s v="66-312-5511"/>
    <s v="99-553-6838"/>
    <x v="276"/>
    <d v="2024-04-10T00:00:00"/>
    <d v="2026-12-15T00:00:00"/>
    <n v="44"/>
    <n v="97"/>
    <n v="76"/>
    <n v="10"/>
    <n v="80"/>
    <n v="33"/>
    <n v="-0.22"/>
    <n v="440"/>
    <n v="800"/>
    <s v="REORDER"/>
    <s v="Ok"/>
    <n v="782"/>
  </r>
  <r>
    <x v="30"/>
    <x v="0"/>
    <s v="Youbridge"/>
    <s v="43211 Lakeland Place"/>
    <x v="0"/>
    <s v="58-005-5343"/>
    <s v="83-401-2709"/>
    <x v="276"/>
    <d v="2024-05-03T00:00:00"/>
    <d v="2026-08-21T00:00:00"/>
    <n v="38"/>
    <n v="94"/>
    <n v="87"/>
    <n v="1.8"/>
    <n v="89"/>
    <n v="100"/>
    <n v="0.59"/>
    <n v="68.400000000000006"/>
    <n v="160.20000000000002"/>
    <s v="REORDER"/>
    <s v="Ok"/>
    <n v="759"/>
  </r>
  <r>
    <x v="120"/>
    <x v="3"/>
    <s v="Mydo"/>
    <s v="66879 Susan Place"/>
    <x v="1"/>
    <s v="40-795-0753"/>
    <s v="47-183-4911"/>
    <x v="277"/>
    <d v="2025-02-22T00:00:00"/>
    <d v="2026-05-30T00:00:00"/>
    <n v="31"/>
    <n v="43"/>
    <n v="80"/>
    <n v="1.5"/>
    <n v="46"/>
    <n v="78"/>
    <n v="-0.12"/>
    <n v="46.5"/>
    <n v="69"/>
    <s v="REORDER"/>
    <s v="Expired"/>
    <n v="464"/>
  </r>
  <r>
    <x v="87"/>
    <x v="4"/>
    <s v="Midel"/>
    <s v="582 Sauthoff Crossing"/>
    <x v="0"/>
    <s v="73-401-5721"/>
    <s v="38-622-5251"/>
    <x v="277"/>
    <d v="2024-10-28T00:00:00"/>
    <d v="2026-12-26T00:00:00"/>
    <n v="46"/>
    <n v="28"/>
    <n v="73"/>
    <n v="9"/>
    <n v="65"/>
    <n v="57"/>
    <n v="-0.7"/>
    <n v="414"/>
    <n v="585"/>
    <s v="OK"/>
    <s v="Ok"/>
    <n v="581"/>
  </r>
  <r>
    <x v="10"/>
    <x v="2"/>
    <s v="Demizz"/>
    <s v="97687 Mendota Terrace"/>
    <x v="2"/>
    <s v="53-680-5293"/>
    <s v="47-732-4446"/>
    <x v="277"/>
    <d v="2024-05-31T00:00:00"/>
    <d v="2026-08-24T00:00:00"/>
    <n v="88"/>
    <n v="74"/>
    <n v="97"/>
    <n v="9"/>
    <n v="79"/>
    <n v="5"/>
    <n v="0.12"/>
    <n v="792"/>
    <n v="711"/>
    <s v="OK"/>
    <s v="Ok"/>
    <n v="731"/>
  </r>
  <r>
    <x v="120"/>
    <x v="3"/>
    <s v="Eabox"/>
    <s v="36 Bobwhite Parkway"/>
    <x v="0"/>
    <s v="02-170-5225"/>
    <s v="90-940-9550"/>
    <x v="277"/>
    <d v="2024-09-18T00:00:00"/>
    <d v="2027-02-23T00:00:00"/>
    <n v="90"/>
    <n v="75"/>
    <n v="43"/>
    <n v="1.5"/>
    <n v="80"/>
    <n v="57"/>
    <n v="0.94"/>
    <n v="135"/>
    <n v="120"/>
    <s v="OK"/>
    <s v="Ok"/>
    <n v="621"/>
  </r>
  <r>
    <x v="105"/>
    <x v="6"/>
    <s v="Jetpulse"/>
    <s v="0 Sutteridge Trail"/>
    <x v="0"/>
    <s v="55-680-0982"/>
    <s v="57-412-5368"/>
    <x v="277"/>
    <d v="2025-01-14T00:00:00"/>
    <d v="2026-08-19T00:00:00"/>
    <n v="64"/>
    <n v="66"/>
    <n v="28"/>
    <n v="8"/>
    <n v="25"/>
    <n v="52"/>
    <n v="0.28999999999999998"/>
    <n v="512"/>
    <n v="200"/>
    <s v="REORDER"/>
    <s v="Ok"/>
    <n v="503"/>
  </r>
  <r>
    <x v="20"/>
    <x v="6"/>
    <s v="Skivee"/>
    <s v="17780 Lindbergh Junction"/>
    <x v="2"/>
    <s v="48-414-6162"/>
    <s v="10-060-8515"/>
    <x v="278"/>
    <d v="2024-11-08T00:00:00"/>
    <d v="2026-05-05T00:00:00"/>
    <n v="55"/>
    <n v="93"/>
    <n v="84"/>
    <n v="20"/>
    <n v="46"/>
    <n v="84"/>
    <n v="-1.08"/>
    <n v="1100"/>
    <n v="920"/>
    <s v="REORDER"/>
    <s v="Expired"/>
    <n v="570"/>
  </r>
  <r>
    <x v="101"/>
    <x v="4"/>
    <s v="Feedfish"/>
    <s v="13 Loomis Alley"/>
    <x v="0"/>
    <s v="71-631-5875"/>
    <s v="91-859-1733"/>
    <x v="278"/>
    <d v="2024-09-09T00:00:00"/>
    <d v="2026-10-25T00:00:00"/>
    <n v="88"/>
    <n v="83"/>
    <n v="42"/>
    <n v="15"/>
    <n v="61"/>
    <n v="59"/>
    <n v="-0.83"/>
    <n v="1320"/>
    <n v="915"/>
    <s v="OK"/>
    <s v="Ok"/>
    <n v="630"/>
  </r>
  <r>
    <x v="34"/>
    <x v="2"/>
    <s v="Voonder"/>
    <s v="19 Aberg Trail"/>
    <x v="1"/>
    <s v="34-538-1180"/>
    <s v="40-907-4937"/>
    <x v="278"/>
    <d v="2024-11-03T00:00:00"/>
    <d v="2026-04-06T00:00:00"/>
    <n v="29"/>
    <n v="39"/>
    <n v="80"/>
    <n v="4"/>
    <n v="23"/>
    <n v="85"/>
    <n v="0.03"/>
    <n v="116"/>
    <n v="92"/>
    <s v="REORDER"/>
    <s v="Expired"/>
    <n v="575"/>
  </r>
  <r>
    <x v="18"/>
    <x v="0"/>
    <s v="Topicstorm"/>
    <s v="938 Hanover Point"/>
    <x v="0"/>
    <s v="48-957-6116"/>
    <s v="34-334-6888"/>
    <x v="279"/>
    <d v="2024-05-16T00:00:00"/>
    <d v="2026-08-05T00:00:00"/>
    <n v="31"/>
    <n v="44"/>
    <n v="9"/>
    <n v="3"/>
    <n v="46"/>
    <n v="9"/>
    <n v="-2.7"/>
    <n v="93"/>
    <n v="138"/>
    <s v="REORDER"/>
    <s v="Ok"/>
    <n v="746"/>
  </r>
  <r>
    <x v="116"/>
    <x v="2"/>
    <s v="Oyoyo"/>
    <s v="2 Kingsford Center"/>
    <x v="0"/>
    <s v="32-261-0008"/>
    <s v="26-073-5798"/>
    <x v="279"/>
    <d v="2025-02-18T00:00:00"/>
    <d v="2026-07-18T00:00:00"/>
    <n v="63"/>
    <n v="48"/>
    <n v="22"/>
    <n v="4"/>
    <n v="21"/>
    <n v="90"/>
    <n v="0.8"/>
    <n v="252"/>
    <n v="84"/>
    <s v="OK"/>
    <s v="Ok"/>
    <n v="468"/>
  </r>
  <r>
    <x v="0"/>
    <x v="0"/>
    <s v="Leenti"/>
    <s v="42397 Knutson Place"/>
    <x v="0"/>
    <s v="34-110-1040"/>
    <s v="14-427-6604"/>
    <x v="279"/>
    <d v="2024-06-09T00:00:00"/>
    <d v="2026-06-24T00:00:00"/>
    <n v="75"/>
    <n v="85"/>
    <n v="27"/>
    <n v="4.5"/>
    <n v="26"/>
    <n v="68"/>
    <n v="-3.29"/>
    <n v="337.5"/>
    <n v="117"/>
    <s v="REORDER"/>
    <s v="Expiring Soon"/>
    <n v="722"/>
  </r>
  <r>
    <x v="14"/>
    <x v="0"/>
    <s v="Vinder"/>
    <s v="611 Fieldstone Drive"/>
    <x v="1"/>
    <s v="74-132-5528"/>
    <s v="41-713-1053"/>
    <x v="279"/>
    <d v="2024-03-21T00:00:00"/>
    <d v="2027-01-22T00:00:00"/>
    <n v="63"/>
    <n v="62"/>
    <n v="98"/>
    <n v="2.5"/>
    <n v="62"/>
    <n v="45"/>
    <n v="-1.62"/>
    <n v="157.5"/>
    <n v="155"/>
    <s v="OK"/>
    <s v="Ok"/>
    <n v="802"/>
  </r>
  <r>
    <x v="64"/>
    <x v="0"/>
    <s v="Mudo"/>
    <s v="25923 Loeprich Junction"/>
    <x v="1"/>
    <s v="15-797-4824"/>
    <s v="46-830-4835"/>
    <x v="279"/>
    <d v="2024-11-20T00:00:00"/>
    <d v="2027-01-14T00:00:00"/>
    <n v="32"/>
    <n v="27"/>
    <n v="26"/>
    <n v="5"/>
    <n v="38"/>
    <n v="79"/>
    <n v="0.27"/>
    <n v="160"/>
    <n v="190"/>
    <s v="OK"/>
    <s v="Ok"/>
    <n v="558"/>
  </r>
  <r>
    <x v="78"/>
    <x v="3"/>
    <s v="Mydeo"/>
    <s v="7834 Cordelia Alley"/>
    <x v="1"/>
    <s v="76-854-0095"/>
    <s v="38-883-3382"/>
    <x v="280"/>
    <d v="2025-02-08T00:00:00"/>
    <d v="2026-12-28T00:00:00"/>
    <n v="65"/>
    <n v="61"/>
    <n v="82"/>
    <n v="2"/>
    <n v="29"/>
    <n v="11"/>
    <n v="-1.08"/>
    <n v="130"/>
    <n v="58"/>
    <s v="OK"/>
    <s v="Ok"/>
    <n v="478"/>
  </r>
  <r>
    <x v="14"/>
    <x v="0"/>
    <s v="Flashspan"/>
    <s v="929 Thierer Lane"/>
    <x v="0"/>
    <s v="94-092-3355"/>
    <s v="76-641-2070"/>
    <x v="281"/>
    <d v="2024-12-01T00:00:00"/>
    <d v="2026-08-04T00:00:00"/>
    <n v="57"/>
    <n v="43"/>
    <n v="46"/>
    <n v="2.5"/>
    <n v="87"/>
    <n v="88"/>
    <n v="0.62"/>
    <n v="142.5"/>
    <n v="217.5"/>
    <s v="OK"/>
    <s v="Ok"/>
    <n v="547"/>
  </r>
  <r>
    <x v="14"/>
    <x v="0"/>
    <s v="Tanoodle"/>
    <s v="973 Spaight Place"/>
    <x v="2"/>
    <s v="99-194-5600"/>
    <s v="70-064-6828"/>
    <x v="282"/>
    <d v="2024-02-25T00:00:00"/>
    <d v="2026-05-14T00:00:00"/>
    <n v="57"/>
    <n v="25"/>
    <n v="98"/>
    <n v="2.5"/>
    <n v="78"/>
    <n v="37"/>
    <n v="-0.01"/>
    <n v="142.5"/>
    <n v="195"/>
    <s v="OK"/>
    <s v="Expired"/>
    <n v="827"/>
  </r>
  <r>
    <x v="98"/>
    <x v="5"/>
    <s v="Innojam"/>
    <s v="883 Marcy Place"/>
    <x v="1"/>
    <s v="40-205-8252"/>
    <s v="68-493-0378"/>
    <x v="282"/>
    <d v="2024-10-05T00:00:00"/>
    <d v="2026-07-14T00:00:00"/>
    <n v="38"/>
    <n v="37"/>
    <n v="27"/>
    <n v="3.5"/>
    <n v="45"/>
    <n v="88"/>
    <n v="0.53"/>
    <n v="133"/>
    <n v="157.5"/>
    <s v="OK"/>
    <s v="Ok"/>
    <n v="604"/>
  </r>
  <r>
    <x v="9"/>
    <x v="2"/>
    <s v="Miboo"/>
    <s v="6211 Hanson Terrace"/>
    <x v="0"/>
    <s v="69-674-5387"/>
    <s v="04-313-0298"/>
    <x v="283"/>
    <d v="2024-06-27T00:00:00"/>
    <d v="2027-02-01T00:00:00"/>
    <n v="59"/>
    <n v="27"/>
    <n v="63"/>
    <n v="1.75"/>
    <n v="92"/>
    <n v="82"/>
    <n v="-0.96"/>
    <n v="103.25"/>
    <n v="161"/>
    <s v="OK"/>
    <s v="Ok"/>
    <n v="704"/>
  </r>
  <r>
    <x v="67"/>
    <x v="0"/>
    <s v="Linktype"/>
    <s v="0 Oak Valley Lane"/>
    <x v="2"/>
    <s v="04-293-6969"/>
    <s v="69-087-6645"/>
    <x v="283"/>
    <d v="2024-09-02T00:00:00"/>
    <d v="2026-08-20T00:00:00"/>
    <n v="37"/>
    <n v="38"/>
    <n v="24"/>
    <n v="4"/>
    <n v="93"/>
    <n v="32"/>
    <n v="0.11"/>
    <n v="148"/>
    <n v="372"/>
    <s v="REORDER"/>
    <s v="Ok"/>
    <n v="637"/>
  </r>
  <r>
    <x v="89"/>
    <x v="2"/>
    <s v="Avaveo"/>
    <s v="84 Hoffman Way"/>
    <x v="2"/>
    <s v="21-890-2826"/>
    <s v="32-371-1686"/>
    <x v="283"/>
    <d v="2024-05-04T00:00:00"/>
    <d v="2026-09-19T00:00:00"/>
    <n v="48"/>
    <n v="12"/>
    <n v="62"/>
    <n v="7"/>
    <n v="59"/>
    <n v="23"/>
    <n v="0.66"/>
    <n v="336"/>
    <n v="413"/>
    <s v="OK"/>
    <s v="Ok"/>
    <n v="758"/>
  </r>
  <r>
    <x v="109"/>
    <x v="5"/>
    <s v="Vipe"/>
    <s v="315 Acker Alley"/>
    <x v="0"/>
    <s v="65-759-3721"/>
    <s v="21-634-5781"/>
    <x v="284"/>
    <d v="2024-05-24T00:00:00"/>
    <d v="2026-12-28T00:00:00"/>
    <n v="33"/>
    <n v="60"/>
    <n v="67"/>
    <n v="6"/>
    <n v="20"/>
    <n v="7"/>
    <n v="0.61"/>
    <n v="198"/>
    <n v="120"/>
    <s v="REORDER"/>
    <s v="Ok"/>
    <n v="738"/>
  </r>
  <r>
    <x v="103"/>
    <x v="1"/>
    <s v="Centizu"/>
    <s v="7 Anzinger Lane"/>
    <x v="0"/>
    <s v="36-383-3677"/>
    <s v="88-020-6814"/>
    <x v="284"/>
    <d v="2024-05-29T00:00:00"/>
    <d v="2027-02-02T00:00:00"/>
    <n v="32"/>
    <n v="38"/>
    <n v="23"/>
    <n v="2.5"/>
    <n v="52"/>
    <n v="11"/>
    <n v="0.65"/>
    <n v="80"/>
    <n v="130"/>
    <s v="REORDER"/>
    <s v="Ok"/>
    <n v="733"/>
  </r>
  <r>
    <x v="107"/>
    <x v="0"/>
    <s v="Gigazoom"/>
    <s v="61057 Hallows Junction"/>
    <x v="2"/>
    <s v="84-546-7624"/>
    <s v="34-730-9079"/>
    <x v="284"/>
    <d v="2024-04-08T00:00:00"/>
    <d v="2026-06-01T00:00:00"/>
    <n v="43"/>
    <n v="41"/>
    <n v="100"/>
    <n v="8"/>
    <n v="27"/>
    <n v="78"/>
    <n v="0.79"/>
    <n v="344"/>
    <n v="216"/>
    <s v="OK"/>
    <s v="Expiring Soon"/>
    <n v="784"/>
  </r>
  <r>
    <x v="39"/>
    <x v="1"/>
    <s v="Youopia"/>
    <s v="8851 Superior Park"/>
    <x v="2"/>
    <s v="77-827-0820"/>
    <s v="46-590-7639"/>
    <x v="284"/>
    <d v="2024-11-06T00:00:00"/>
    <d v="2026-11-09T00:00:00"/>
    <n v="97"/>
    <n v="20"/>
    <n v="8"/>
    <n v="6.5"/>
    <n v="51"/>
    <n v="51"/>
    <n v="-1.89"/>
    <n v="630.5"/>
    <n v="331.5"/>
    <s v="OK"/>
    <s v="Ok"/>
    <n v="572"/>
  </r>
  <r>
    <x v="77"/>
    <x v="6"/>
    <s v="Quamba"/>
    <s v="00 6th Parkway"/>
    <x v="1"/>
    <s v="57-562-2358"/>
    <s v="22-644-6447"/>
    <x v="285"/>
    <d v="2025-01-19T00:00:00"/>
    <d v="2027-02-04T00:00:00"/>
    <n v="37"/>
    <n v="94"/>
    <n v="76"/>
    <n v="15"/>
    <n v="94"/>
    <n v="66"/>
    <n v="0"/>
    <n v="555"/>
    <n v="1410"/>
    <s v="REORDER"/>
    <s v="Ok"/>
    <n v="498"/>
  </r>
  <r>
    <x v="116"/>
    <x v="2"/>
    <s v="Talane"/>
    <s v="9848 Little Fleur Point"/>
    <x v="1"/>
    <s v="93-218-8108"/>
    <s v="05-966-6460"/>
    <x v="285"/>
    <d v="2024-05-22T00:00:00"/>
    <d v="2026-11-17T00:00:00"/>
    <n v="74"/>
    <n v="60"/>
    <n v="27"/>
    <n v="4"/>
    <n v="99"/>
    <n v="68"/>
    <n v="0.3"/>
    <n v="296"/>
    <n v="396"/>
    <s v="OK"/>
    <s v="Ok"/>
    <n v="740"/>
  </r>
  <r>
    <x v="87"/>
    <x v="4"/>
    <s v="Yabox"/>
    <s v="12 Luster Terrace"/>
    <x v="0"/>
    <s v="81-354-4203"/>
    <s v="15-466-5131"/>
    <x v="286"/>
    <d v="2024-06-27T00:00:00"/>
    <d v="2026-04-28T00:00:00"/>
    <n v="76"/>
    <n v="57"/>
    <n v="78"/>
    <n v="9"/>
    <n v="52"/>
    <n v="86"/>
    <n v="0.31"/>
    <n v="684"/>
    <n v="468"/>
    <s v="OK"/>
    <s v="Expired"/>
    <n v="704"/>
  </r>
  <r>
    <x v="89"/>
    <x v="2"/>
    <s v="Thoughtblab"/>
    <s v="6 John Wall Plaza"/>
    <x v="1"/>
    <s v="57-613-5779"/>
    <s v="29-009-9132"/>
    <x v="287"/>
    <d v="2024-03-11T00:00:00"/>
    <d v="2026-08-29T00:00:00"/>
    <n v="100"/>
    <n v="21"/>
    <n v="64"/>
    <n v="7"/>
    <n v="20"/>
    <n v="13"/>
    <n v="-0.65"/>
    <n v="700"/>
    <n v="140"/>
    <s v="OK"/>
    <s v="Ok"/>
    <n v="812"/>
  </r>
  <r>
    <x v="83"/>
    <x v="2"/>
    <s v="Gigabox"/>
    <s v="3 Dottie Junction"/>
    <x v="0"/>
    <s v="49-919-8798"/>
    <s v="82-482-3670"/>
    <x v="287"/>
    <d v="2024-08-04T00:00:00"/>
    <d v="2026-10-10T00:00:00"/>
    <n v="64"/>
    <n v="31"/>
    <n v="91"/>
    <n v="1.9"/>
    <n v="85"/>
    <n v="42"/>
    <n v="0.35"/>
    <n v="121.6"/>
    <n v="161.5"/>
    <s v="OK"/>
    <s v="Ok"/>
    <n v="666"/>
  </r>
  <r>
    <x v="89"/>
    <x v="2"/>
    <s v="Gigazoom"/>
    <s v="7 Victoria Hill"/>
    <x v="2"/>
    <s v="70-542-4269"/>
    <s v="27-772-7906"/>
    <x v="287"/>
    <d v="2024-04-23T00:00:00"/>
    <d v="2026-04-17T00:00:00"/>
    <n v="41"/>
    <n v="22"/>
    <n v="11"/>
    <n v="7"/>
    <n v="86"/>
    <n v="30"/>
    <n v="0.51"/>
    <n v="287"/>
    <n v="602"/>
    <s v="OK"/>
    <s v="Expired"/>
    <n v="769"/>
  </r>
  <r>
    <x v="12"/>
    <x v="0"/>
    <s v="Camido"/>
    <s v="3 Logan Trail"/>
    <x v="0"/>
    <s v="43-670-8544"/>
    <s v="16-656-4821"/>
    <x v="288"/>
    <d v="2024-05-14T00:00:00"/>
    <d v="2026-10-07T00:00:00"/>
    <n v="84"/>
    <n v="95"/>
    <n v="22"/>
    <n v="2.85"/>
    <n v="48"/>
    <n v="82"/>
    <n v="0.65"/>
    <n v="239.4"/>
    <n v="136.80000000000001"/>
    <s v="REORDER"/>
    <s v="Ok"/>
    <n v="748"/>
  </r>
  <r>
    <x v="13"/>
    <x v="5"/>
    <s v="Quatz"/>
    <s v="30590 Bowman Alley"/>
    <x v="0"/>
    <s v="29-436-6570"/>
    <s v="12-140-7809"/>
    <x v="288"/>
    <d v="2024-09-27T00:00:00"/>
    <d v="2026-09-17T00:00:00"/>
    <n v="61"/>
    <n v="8"/>
    <n v="45"/>
    <n v="4"/>
    <n v="73"/>
    <n v="64"/>
    <n v="-0.71"/>
    <n v="244"/>
    <n v="292"/>
    <s v="OK"/>
    <s v="Ok"/>
    <n v="612"/>
  </r>
  <r>
    <x v="43"/>
    <x v="1"/>
    <s v="Devpulse"/>
    <s v="0 Lawn Parkway"/>
    <x v="2"/>
    <s v="10-617-7581"/>
    <s v="86-995-7254"/>
    <x v="288"/>
    <d v="2024-03-30T00:00:00"/>
    <d v="2026-06-17T00:00:00"/>
    <n v="24"/>
    <n v="14"/>
    <n v="5"/>
    <n v="4"/>
    <n v="98"/>
    <n v="9"/>
    <n v="0.12"/>
    <n v="96"/>
    <n v="392"/>
    <s v="OK"/>
    <s v="Expiring Soon"/>
    <n v="793"/>
  </r>
  <r>
    <x v="10"/>
    <x v="2"/>
    <s v="Roomm"/>
    <s v="7 Lunder Hill"/>
    <x v="1"/>
    <s v="50-772-2613"/>
    <s v="74-619-4608"/>
    <x v="288"/>
    <d v="2024-05-19T00:00:00"/>
    <d v="2026-03-23T00:00:00"/>
    <n v="86"/>
    <n v="23"/>
    <n v="1"/>
    <n v="9"/>
    <n v="100"/>
    <n v="86"/>
    <n v="0.91"/>
    <n v="774"/>
    <n v="900"/>
    <s v="OK"/>
    <s v="Expired"/>
    <n v="743"/>
  </r>
  <r>
    <x v="27"/>
    <x v="4"/>
    <s v="Jamia"/>
    <s v="4 Darwin Circle"/>
    <x v="1"/>
    <s v="26-535-4727"/>
    <s v="17-939-1338"/>
    <x v="289"/>
    <d v="2024-08-17T00:00:00"/>
    <d v="2026-04-29T00:00:00"/>
    <n v="93"/>
    <n v="25"/>
    <n v="23"/>
    <n v="7"/>
    <n v="72"/>
    <n v="83"/>
    <n v="0.14000000000000001"/>
    <n v="651"/>
    <n v="504"/>
    <s v="OK"/>
    <s v="Expired"/>
    <n v="653"/>
  </r>
  <r>
    <x v="11"/>
    <x v="1"/>
    <s v="Skajo"/>
    <s v="042 Di Loreto Court"/>
    <x v="1"/>
    <s v="88-602-8210"/>
    <s v="26-411-9126"/>
    <x v="290"/>
    <d v="2024-06-19T00:00:00"/>
    <d v="2026-09-28T00:00:00"/>
    <n v="99"/>
    <n v="96"/>
    <n v="39"/>
    <n v="10"/>
    <n v="94"/>
    <n v="89"/>
    <n v="-0.15"/>
    <n v="990"/>
    <n v="940"/>
    <s v="OK"/>
    <s v="Ok"/>
    <n v="712"/>
  </r>
  <r>
    <x v="119"/>
    <x v="4"/>
    <s v="Twitterworks"/>
    <s v="0743 4th Place"/>
    <x v="1"/>
    <s v="83-966-3280"/>
    <s v="50-305-3936"/>
    <x v="290"/>
    <d v="2024-10-13T00:00:00"/>
    <d v="2026-09-20T00:00:00"/>
    <n v="30"/>
    <n v="29"/>
    <n v="70"/>
    <n v="7.5"/>
    <n v="80"/>
    <n v="43"/>
    <n v="0.05"/>
    <n v="225"/>
    <n v="600"/>
    <s v="OK"/>
    <s v="Ok"/>
    <n v="596"/>
  </r>
  <r>
    <x v="103"/>
    <x v="1"/>
    <s v="Shuffletag"/>
    <s v="32 Charing Cross Pass"/>
    <x v="1"/>
    <s v="21-252-1360"/>
    <s v="28-314-1189"/>
    <x v="290"/>
    <d v="2024-09-04T00:00:00"/>
    <d v="2026-07-04T00:00:00"/>
    <n v="75"/>
    <n v="23"/>
    <n v="34"/>
    <n v="2.5"/>
    <n v="100"/>
    <n v="54"/>
    <n v="0.46"/>
    <n v="187.5"/>
    <n v="250"/>
    <s v="OK"/>
    <s v="Ok"/>
    <n v="635"/>
  </r>
  <r>
    <x v="19"/>
    <x v="3"/>
    <s v="Mudo"/>
    <s v="11 Thackeray Hill"/>
    <x v="2"/>
    <s v="89-922-4773"/>
    <s v="99-455-0707"/>
    <x v="290"/>
    <d v="2024-07-02T00:00:00"/>
    <d v="2026-12-27T00:00:00"/>
    <n v="39"/>
    <n v="53"/>
    <n v="64"/>
    <n v="2.75"/>
    <n v="92"/>
    <n v="8"/>
    <n v="0.46"/>
    <n v="107.25"/>
    <n v="253"/>
    <s v="REORDER"/>
    <s v="Ok"/>
    <n v="699"/>
  </r>
  <r>
    <x v="95"/>
    <x v="0"/>
    <s v="Geba"/>
    <s v="6225 Westend Pass"/>
    <x v="0"/>
    <s v="15-884-7413"/>
    <s v="39-412-7454"/>
    <x v="290"/>
    <d v="2024-05-23T00:00:00"/>
    <d v="2026-04-16T00:00:00"/>
    <n v="77"/>
    <n v="58"/>
    <n v="13"/>
    <n v="3.5"/>
    <n v="63"/>
    <n v="28"/>
    <n v="0.91"/>
    <n v="269.5"/>
    <n v="220.5"/>
    <s v="OK"/>
    <s v="Expired"/>
    <n v="739"/>
  </r>
  <r>
    <x v="38"/>
    <x v="1"/>
    <s v="Zooxo"/>
    <s v="97 Sunnyside Court"/>
    <x v="0"/>
    <s v="82-243-3180"/>
    <s v="18-631-1458"/>
    <x v="291"/>
    <d v="2024-07-31T00:00:00"/>
    <d v="2027-02-11T00:00:00"/>
    <n v="43"/>
    <n v="63"/>
    <n v="80"/>
    <n v="1.8"/>
    <n v="33"/>
    <n v="96"/>
    <n v="0.56000000000000005"/>
    <n v="77.400000000000006"/>
    <n v="59.4"/>
    <s v="REORDER"/>
    <s v="Ok"/>
    <n v="670"/>
  </r>
  <r>
    <x v="118"/>
    <x v="2"/>
    <s v="Blogspan"/>
    <s v="63464 Jana Court"/>
    <x v="1"/>
    <s v="33-807-7247"/>
    <s v="94-453-3755"/>
    <x v="291"/>
    <d v="2024-07-07T00:00:00"/>
    <d v="2027-01-03T00:00:00"/>
    <n v="58"/>
    <n v="17"/>
    <n v="26"/>
    <n v="7"/>
    <n v="62"/>
    <n v="89"/>
    <n v="-1.91"/>
    <n v="406"/>
    <n v="434"/>
    <s v="OK"/>
    <s v="Ok"/>
    <n v="694"/>
  </r>
  <r>
    <x v="106"/>
    <x v="2"/>
    <s v="Meeveo"/>
    <s v="6 Susan Alley"/>
    <x v="2"/>
    <s v="07-858-5487"/>
    <s v="92-991-6167"/>
    <x v="291"/>
    <d v="2024-05-16T00:00:00"/>
    <d v="2026-12-29T00:00:00"/>
    <n v="64"/>
    <n v="14"/>
    <n v="44"/>
    <n v="8"/>
    <n v="53"/>
    <n v="33"/>
    <n v="-0.44"/>
    <n v="512"/>
    <n v="424"/>
    <s v="OK"/>
    <s v="Ok"/>
    <n v="746"/>
  </r>
  <r>
    <x v="100"/>
    <x v="4"/>
    <s v="Camido"/>
    <s v="1715 Dottie Pass"/>
    <x v="2"/>
    <s v="27-387-0428"/>
    <s v="62-312-2748"/>
    <x v="291"/>
    <d v="2024-11-29T00:00:00"/>
    <d v="2026-04-09T00:00:00"/>
    <n v="88"/>
    <n v="42"/>
    <n v="68"/>
    <n v="20"/>
    <n v="92"/>
    <n v="29"/>
    <n v="0.38"/>
    <n v="1760"/>
    <n v="1840"/>
    <s v="OK"/>
    <s v="Expired"/>
    <n v="549"/>
  </r>
  <r>
    <x v="69"/>
    <x v="0"/>
    <s v="Photospace"/>
    <s v="91 Kinsman Terrace"/>
    <x v="2"/>
    <s v="79-741-0770"/>
    <s v="67-771-7656"/>
    <x v="292"/>
    <d v="2025-02-24T00:00:00"/>
    <d v="2026-03-17T00:00:00"/>
    <n v="72"/>
    <n v="87"/>
    <n v="39"/>
    <n v="6"/>
    <n v="94"/>
    <n v="57"/>
    <n v="0.68"/>
    <n v="432"/>
    <n v="564"/>
    <s v="REORDER"/>
    <s v="Expired"/>
    <n v="462"/>
  </r>
  <r>
    <x v="5"/>
    <x v="0"/>
    <s v="Layo"/>
    <s v="867 Merrick Place"/>
    <x v="0"/>
    <s v="34-086-3222"/>
    <s v="34-017-9457"/>
    <x v="292"/>
    <d v="2024-12-25T00:00:00"/>
    <d v="2026-06-05T00:00:00"/>
    <n v="12"/>
    <n v="7"/>
    <n v="48"/>
    <n v="2.2999999999999998"/>
    <n v="66"/>
    <n v="4"/>
    <n v="0.39"/>
    <n v="27.599999999999998"/>
    <n v="151.79999999999998"/>
    <s v="OK"/>
    <s v="Expiring Soon"/>
    <n v="523"/>
  </r>
  <r>
    <x v="71"/>
    <x v="6"/>
    <s v="Viva"/>
    <s v="339 Crescent Oaks Plaza"/>
    <x v="2"/>
    <s v="93-166-3169"/>
    <s v="21-156-0102"/>
    <x v="292"/>
    <d v="2025-02-13T00:00:00"/>
    <d v="2027-01-02T00:00:00"/>
    <n v="58"/>
    <n v="81"/>
    <n v="66"/>
    <n v="25"/>
    <n v="85"/>
    <n v="78"/>
    <n v="0.94"/>
    <n v="1450"/>
    <n v="2125"/>
    <s v="REORDER"/>
    <s v="Ok"/>
    <n v="473"/>
  </r>
  <r>
    <x v="22"/>
    <x v="0"/>
    <s v="Meevee"/>
    <s v="1 Judy Street"/>
    <x v="1"/>
    <s v="74-548-9313"/>
    <s v="69-832-7009"/>
    <x v="292"/>
    <d v="2024-09-20T00:00:00"/>
    <d v="2027-02-12T00:00:00"/>
    <n v="99"/>
    <n v="59"/>
    <n v="12"/>
    <n v="5"/>
    <n v="52"/>
    <n v="57"/>
    <n v="0.08"/>
    <n v="495"/>
    <n v="260"/>
    <s v="OK"/>
    <s v="Ok"/>
    <n v="619"/>
  </r>
  <r>
    <x v="33"/>
    <x v="3"/>
    <s v="Livetube"/>
    <s v="996 Thierer Center"/>
    <x v="1"/>
    <s v="53-710-7630"/>
    <s v="46-171-9624"/>
    <x v="293"/>
    <d v="2024-07-09T00:00:00"/>
    <d v="2027-01-14T00:00:00"/>
    <n v="25"/>
    <n v="95"/>
    <n v="71"/>
    <n v="2"/>
    <n v="24"/>
    <n v="76"/>
    <n v="-0.1"/>
    <n v="50"/>
    <n v="48"/>
    <s v="REORDER"/>
    <s v="Ok"/>
    <n v="692"/>
  </r>
  <r>
    <x v="0"/>
    <x v="0"/>
    <s v="Jaxbean"/>
    <s v="06584 Mendota Avenue"/>
    <x v="1"/>
    <s v="64-119-7804"/>
    <s v="53-497-9614"/>
    <x v="293"/>
    <d v="2024-03-06T00:00:00"/>
    <d v="2026-12-29T00:00:00"/>
    <n v="98"/>
    <n v="43"/>
    <n v="9"/>
    <n v="4.5"/>
    <n v="86"/>
    <n v="62"/>
    <n v="-2.17"/>
    <n v="441"/>
    <n v="387"/>
    <s v="OK"/>
    <s v="Ok"/>
    <n v="817"/>
  </r>
  <r>
    <x v="26"/>
    <x v="6"/>
    <s v="Cogibox"/>
    <s v="3 Raven Court"/>
    <x v="0"/>
    <s v="40-810-9261"/>
    <s v="56-554-1762"/>
    <x v="294"/>
    <d v="2024-12-09T00:00:00"/>
    <d v="2026-05-23T00:00:00"/>
    <n v="75"/>
    <n v="47"/>
    <n v="33"/>
    <n v="12.5"/>
    <n v="33"/>
    <n v="12"/>
    <n v="0.28000000000000003"/>
    <n v="937.5"/>
    <n v="412.5"/>
    <s v="OK"/>
    <s v="Expired"/>
    <n v="539"/>
  </r>
  <r>
    <x v="41"/>
    <x v="2"/>
    <s v="Demivee"/>
    <s v="84 Washington Crossing"/>
    <x v="2"/>
    <s v="91-553-1774"/>
    <s v="74-943-4552"/>
    <x v="294"/>
    <d v="2024-09-05T00:00:00"/>
    <d v="2026-04-12T00:00:00"/>
    <n v="80"/>
    <n v="43"/>
    <n v="80"/>
    <n v="7"/>
    <n v="64"/>
    <n v="53"/>
    <n v="0.64"/>
    <n v="560"/>
    <n v="448"/>
    <s v="OK"/>
    <s v="Expired"/>
    <n v="634"/>
  </r>
  <r>
    <x v="80"/>
    <x v="6"/>
    <s v="Dynazzy"/>
    <s v="428 Oriole Avenue"/>
    <x v="0"/>
    <s v="39-192-3521"/>
    <s v="74-062-7176"/>
    <x v="294"/>
    <d v="2025-02-22T00:00:00"/>
    <d v="2026-03-16T00:00:00"/>
    <n v="20"/>
    <n v="9"/>
    <n v="12"/>
    <n v="30.5"/>
    <n v="46"/>
    <n v="32"/>
    <n v="0.17"/>
    <n v="610"/>
    <n v="1403"/>
    <s v="OK"/>
    <s v="Expired"/>
    <n v="464"/>
  </r>
  <r>
    <x v="93"/>
    <x v="5"/>
    <s v="Vidoo"/>
    <s v="3 Melrose Trail"/>
    <x v="0"/>
    <s v="63-890-1246"/>
    <s v="29-273-1595"/>
    <x v="295"/>
    <d v="2024-05-16T00:00:00"/>
    <d v="2026-10-09T00:00:00"/>
    <n v="93"/>
    <n v="50"/>
    <n v="43"/>
    <n v="5"/>
    <n v="76"/>
    <n v="35"/>
    <n v="0.3"/>
    <n v="465"/>
    <n v="380"/>
    <s v="OK"/>
    <s v="Ok"/>
    <n v="746"/>
  </r>
  <r>
    <x v="7"/>
    <x v="4"/>
    <s v="Quatz"/>
    <s v="290 Rusk Avenue"/>
    <x v="0"/>
    <s v="71-954-4501"/>
    <s v="26-135-6134"/>
    <x v="295"/>
    <d v="2024-10-08T00:00:00"/>
    <d v="2026-07-26T00:00:00"/>
    <n v="66"/>
    <n v="49"/>
    <n v="41"/>
    <n v="10"/>
    <n v="27"/>
    <n v="37"/>
    <n v="0.54"/>
    <n v="660"/>
    <n v="270"/>
    <s v="OK"/>
    <s v="Ok"/>
    <n v="601"/>
  </r>
  <r>
    <x v="11"/>
    <x v="1"/>
    <s v="Quamba"/>
    <s v="0 Oxford Crossing"/>
    <x v="1"/>
    <s v="00-357-2313"/>
    <s v="93-619-6639"/>
    <x v="296"/>
    <d v="2024-11-26T00:00:00"/>
    <d v="2026-12-13T00:00:00"/>
    <n v="10"/>
    <n v="86"/>
    <n v="23"/>
    <n v="10"/>
    <n v="24"/>
    <n v="52"/>
    <n v="-0.37"/>
    <n v="100"/>
    <n v="240"/>
    <s v="REORDER"/>
    <s v="Ok"/>
    <n v="552"/>
  </r>
  <r>
    <x v="13"/>
    <x v="5"/>
    <s v="Dabvine"/>
    <s v="99 Fair Oaks Circle"/>
    <x v="0"/>
    <s v="29-756-7042"/>
    <s v="20-426-2191"/>
    <x v="296"/>
    <d v="2024-04-15T00:00:00"/>
    <d v="2026-05-07T00:00:00"/>
    <n v="90"/>
    <n v="52"/>
    <n v="50"/>
    <n v="4"/>
    <n v="63"/>
    <n v="14"/>
    <n v="-1.17"/>
    <n v="360"/>
    <n v="252"/>
    <s v="OK"/>
    <s v="Expired"/>
    <n v="777"/>
  </r>
  <r>
    <x v="120"/>
    <x v="3"/>
    <s v="Livepath"/>
    <s v="461 Bluejay Circle"/>
    <x v="1"/>
    <s v="92-551-8504"/>
    <s v="22-836-5101"/>
    <x v="296"/>
    <d v="2025-02-22T00:00:00"/>
    <d v="2026-12-24T00:00:00"/>
    <n v="19"/>
    <n v="81"/>
    <n v="33"/>
    <n v="1.5"/>
    <n v="39"/>
    <n v="85"/>
    <n v="0.78"/>
    <n v="28.5"/>
    <n v="58.5"/>
    <s v="REORDER"/>
    <s v="Ok"/>
    <n v="464"/>
  </r>
  <r>
    <x v="111"/>
    <x v="5"/>
    <s v="Skivee"/>
    <s v="21844 Artisan Trail"/>
    <x v="0"/>
    <s v="61-317-9944"/>
    <s v="03-220-5535"/>
    <x v="296"/>
    <d v="2024-05-17T00:00:00"/>
    <d v="2026-10-29T00:00:00"/>
    <n v="72"/>
    <n v="20"/>
    <n v="71"/>
    <n v="2.5"/>
    <n v="87"/>
    <n v="68"/>
    <n v="-1.18"/>
    <n v="180"/>
    <n v="217.5"/>
    <s v="OK"/>
    <s v="Ok"/>
    <n v="745"/>
  </r>
  <r>
    <x v="22"/>
    <x v="0"/>
    <s v="Oyoloo"/>
    <s v="081 Bellgrove Place"/>
    <x v="2"/>
    <s v="03-276-3931"/>
    <s v="42-224-8186"/>
    <x v="297"/>
    <d v="2024-09-18T00:00:00"/>
    <d v="2026-12-20T00:00:00"/>
    <n v="60"/>
    <n v="36"/>
    <n v="28"/>
    <n v="4.5"/>
    <n v="26"/>
    <n v="29"/>
    <n v="0.22"/>
    <n v="270"/>
    <n v="117"/>
    <s v="OK"/>
    <s v="Ok"/>
    <n v="621"/>
  </r>
  <r>
    <x v="99"/>
    <x v="0"/>
    <s v="Edgewire"/>
    <s v="6891 Mandrake Park"/>
    <x v="0"/>
    <s v="02-275-6061"/>
    <s v="21-829-0398"/>
    <x v="297"/>
    <d v="2024-03-26T00:00:00"/>
    <d v="2026-08-19T00:00:00"/>
    <n v="26"/>
    <n v="16"/>
    <n v="69"/>
    <n v="1.2"/>
    <n v="64"/>
    <n v="79"/>
    <n v="-0.12"/>
    <n v="31.2"/>
    <n v="76.8"/>
    <s v="OK"/>
    <s v="Ok"/>
    <n v="797"/>
  </r>
  <r>
    <x v="39"/>
    <x v="1"/>
    <s v="Divanoodle"/>
    <s v="73966 Pond Trail"/>
    <x v="1"/>
    <s v="72-970-0239"/>
    <s v="64-752-3122"/>
    <x v="297"/>
    <d v="2024-07-24T00:00:00"/>
    <d v="2026-07-18T00:00:00"/>
    <n v="85"/>
    <n v="86"/>
    <n v="21"/>
    <n v="6.5"/>
    <n v="78"/>
    <n v="53"/>
    <n v="-0.23"/>
    <n v="552.5"/>
    <n v="507"/>
    <s v="REORDER"/>
    <s v="Ok"/>
    <n v="677"/>
  </r>
  <r>
    <x v="0"/>
    <x v="0"/>
    <s v="Fatz"/>
    <s v="5 Warner Court"/>
    <x v="1"/>
    <s v="36-679-4670"/>
    <s v="60-508-7567"/>
    <x v="297"/>
    <d v="2025-02-22T00:00:00"/>
    <d v="2027-01-13T00:00:00"/>
    <n v="90"/>
    <n v="22"/>
    <n v="20"/>
    <n v="4.5"/>
    <n v="81"/>
    <n v="88"/>
    <n v="0.32"/>
    <n v="405"/>
    <n v="364.5"/>
    <s v="OK"/>
    <s v="Ok"/>
    <n v="464"/>
  </r>
  <r>
    <x v="71"/>
    <x v="6"/>
    <s v="Jazzy"/>
    <s v="9623 Cottonwood Park"/>
    <x v="0"/>
    <s v="13-409-9040"/>
    <s v="34-303-5097"/>
    <x v="297"/>
    <d v="2024-08-05T00:00:00"/>
    <d v="2027-01-08T00:00:00"/>
    <n v="35"/>
    <n v="20"/>
    <n v="42"/>
    <n v="25.25"/>
    <n v="53"/>
    <n v="56"/>
    <n v="-0.09"/>
    <n v="883.75"/>
    <n v="1338.25"/>
    <s v="OK"/>
    <s v="Ok"/>
    <n v="665"/>
  </r>
  <r>
    <x v="103"/>
    <x v="1"/>
    <s v="Flipopia"/>
    <s v="5 Mesta Center"/>
    <x v="2"/>
    <s v="88-408-0310"/>
    <s v="91-002-3027"/>
    <x v="297"/>
    <d v="2024-03-31T00:00:00"/>
    <d v="2026-08-26T00:00:00"/>
    <n v="50"/>
    <n v="40"/>
    <n v="69"/>
    <n v="2.5"/>
    <n v="28"/>
    <n v="98"/>
    <n v="-0.06"/>
    <n v="125"/>
    <n v="70"/>
    <s v="OK"/>
    <s v="Ok"/>
    <n v="792"/>
  </r>
  <r>
    <x v="4"/>
    <x v="0"/>
    <s v="Twiyo"/>
    <s v="81071 West Alley"/>
    <x v="2"/>
    <s v="57-359-3397"/>
    <s v="54-659-1177"/>
    <x v="298"/>
    <d v="2024-10-02T00:00:00"/>
    <d v="2026-12-19T00:00:00"/>
    <n v="43"/>
    <n v="40"/>
    <n v="30"/>
    <n v="7"/>
    <n v="95"/>
    <n v="26"/>
    <n v="-2.5"/>
    <n v="301"/>
    <n v="665"/>
    <s v="OK"/>
    <s v="Ok"/>
    <n v="607"/>
  </r>
  <r>
    <x v="59"/>
    <x v="0"/>
    <s v="Gabspot"/>
    <s v="38 Esch Pass"/>
    <x v="0"/>
    <s v="01-050-2246"/>
    <s v="80-462-5807"/>
    <x v="298"/>
    <d v="2024-02-25T00:00:00"/>
    <d v="2026-09-08T00:00:00"/>
    <n v="99"/>
    <n v="68"/>
    <n v="1"/>
    <n v="5.5"/>
    <n v="59"/>
    <n v="16"/>
    <n v="0.73"/>
    <n v="544.5"/>
    <n v="324.5"/>
    <s v="OK"/>
    <s v="Ok"/>
    <n v="827"/>
  </r>
  <r>
    <x v="2"/>
    <x v="2"/>
    <s v="Tagpad"/>
    <s v="8 Dawn Court"/>
    <x v="2"/>
    <s v="47-581-0363"/>
    <s v="08-359-2568"/>
    <x v="299"/>
    <d v="2024-12-05T00:00:00"/>
    <d v="2027-01-20T00:00:00"/>
    <n v="99"/>
    <n v="10"/>
    <n v="88"/>
    <n v="12"/>
    <n v="69"/>
    <n v="98"/>
    <n v="0.73"/>
    <n v="1188"/>
    <n v="828"/>
    <s v="OK"/>
    <s v="Ok"/>
    <n v="543"/>
  </r>
  <r>
    <x v="119"/>
    <x v="4"/>
    <s v="Wikido"/>
    <s v="2869 Hudson Drive"/>
    <x v="0"/>
    <s v="33-670-6797"/>
    <s v="74-032-7560"/>
    <x v="299"/>
    <d v="2024-08-26T00:00:00"/>
    <d v="2026-07-05T00:00:00"/>
    <n v="45"/>
    <n v="56"/>
    <n v="64"/>
    <n v="7.5"/>
    <n v="35"/>
    <n v="82"/>
    <n v="-0.42"/>
    <n v="337.5"/>
    <n v="262.5"/>
    <s v="REORDER"/>
    <s v="Ok"/>
    <n v="644"/>
  </r>
  <r>
    <x v="76"/>
    <x v="3"/>
    <s v="Flipbug"/>
    <s v="83291 Hansons Crossing"/>
    <x v="0"/>
    <s v="69-578-7930"/>
    <s v="37-728-5274"/>
    <x v="299"/>
    <d v="2024-03-18T00:00:00"/>
    <d v="2026-06-05T00:00:00"/>
    <n v="44"/>
    <n v="67"/>
    <n v="31"/>
    <n v="2.5"/>
    <n v="44"/>
    <n v="72"/>
    <n v="-1.34"/>
    <n v="110"/>
    <n v="110"/>
    <s v="REORDER"/>
    <s v="Expiring Soon"/>
    <n v="805"/>
  </r>
  <r>
    <x v="55"/>
    <x v="0"/>
    <s v="Eare"/>
    <s v="4 Esch Point"/>
    <x v="1"/>
    <s v="75-672-4378"/>
    <s v="20-103-9525"/>
    <x v="300"/>
    <d v="2024-11-16T00:00:00"/>
    <d v="2026-06-05T00:00:00"/>
    <n v="62"/>
    <n v="40"/>
    <n v="86"/>
    <n v="6"/>
    <n v="45"/>
    <n v="86"/>
    <n v="-0.64"/>
    <n v="372"/>
    <n v="270"/>
    <s v="OK"/>
    <s v="Expiring Soon"/>
    <n v="562"/>
  </r>
  <r>
    <x v="93"/>
    <x v="5"/>
    <s v="Gigazoom"/>
    <s v="492 Shoshone Road"/>
    <x v="1"/>
    <s v="31-211-5803"/>
    <s v="75-503-9347"/>
    <x v="301"/>
    <d v="2024-08-21T00:00:00"/>
    <d v="2027-02-07T00:00:00"/>
    <n v="16"/>
    <n v="9"/>
    <n v="32"/>
    <n v="5"/>
    <n v="50"/>
    <n v="98"/>
    <n v="-0.91"/>
    <n v="80"/>
    <n v="250"/>
    <s v="OK"/>
    <s v="Ok"/>
    <n v="649"/>
  </r>
  <r>
    <x v="64"/>
    <x v="0"/>
    <s v="Skippad"/>
    <s v="26 Graceland Circle"/>
    <x v="0"/>
    <s v="49-861-7823"/>
    <s v="22-152-0111"/>
    <x v="301"/>
    <d v="2024-07-13T00:00:00"/>
    <d v="2026-08-10T00:00:00"/>
    <n v="99"/>
    <n v="8"/>
    <n v="27"/>
    <n v="5"/>
    <n v="41"/>
    <n v="50"/>
    <n v="-0.96"/>
    <n v="495"/>
    <n v="205"/>
    <s v="OK"/>
    <s v="Ok"/>
    <n v="688"/>
  </r>
  <r>
    <x v="29"/>
    <x v="3"/>
    <s v="Skaboo"/>
    <s v="9 Eastlawn Crossing"/>
    <x v="1"/>
    <s v="84-624-0201"/>
    <s v="25-769-3792"/>
    <x v="302"/>
    <d v="2024-11-09T00:00:00"/>
    <d v="2027-01-20T00:00:00"/>
    <n v="71"/>
    <n v="77"/>
    <n v="30"/>
    <n v="1.5"/>
    <n v="34"/>
    <n v="57"/>
    <n v="-0.22"/>
    <n v="106.5"/>
    <n v="51"/>
    <s v="REORDER"/>
    <s v="Ok"/>
    <n v="569"/>
  </r>
  <r>
    <x v="30"/>
    <x v="0"/>
    <s v="Gigazoom"/>
    <s v="22 Dexter Trail"/>
    <x v="1"/>
    <s v="66-993-4234"/>
    <s v="15-852-0491"/>
    <x v="303"/>
    <d v="2025-01-16T00:00:00"/>
    <d v="2026-06-24T00:00:00"/>
    <n v="13"/>
    <n v="60"/>
    <n v="100"/>
    <n v="1.8"/>
    <n v="44"/>
    <n v="32"/>
    <n v="-0.68"/>
    <n v="23.400000000000002"/>
    <n v="79.2"/>
    <s v="REORDER"/>
    <s v="Expiring Soon"/>
    <n v="501"/>
  </r>
  <r>
    <x v="31"/>
    <x v="2"/>
    <s v="Thoughtsphere"/>
    <s v="5030 Moose Junction"/>
    <x v="0"/>
    <s v="00-963-2193"/>
    <s v="39-521-8484"/>
    <x v="304"/>
    <d v="2025-02-03T00:00:00"/>
    <d v="2026-12-23T00:00:00"/>
    <n v="43"/>
    <n v="88"/>
    <n v="33"/>
    <n v="1"/>
    <n v="84"/>
    <n v="75"/>
    <n v="0.27"/>
    <n v="43"/>
    <n v="84"/>
    <s v="REORDER"/>
    <s v="Ok"/>
    <n v="483"/>
  </r>
  <r>
    <x v="109"/>
    <x v="5"/>
    <s v="Quatz"/>
    <s v="206 Pine View Junction"/>
    <x v="2"/>
    <s v="99-420-3592"/>
    <s v="88-647-5082"/>
    <x v="304"/>
    <d v="2024-07-21T00:00:00"/>
    <d v="2026-11-13T00:00:00"/>
    <n v="22"/>
    <n v="24"/>
    <n v="94"/>
    <n v="6"/>
    <n v="47"/>
    <n v="71"/>
    <n v="0.11"/>
    <n v="132"/>
    <n v="282"/>
    <s v="REORDER"/>
    <s v="Ok"/>
    <n v="680"/>
  </r>
  <r>
    <x v="79"/>
    <x v="2"/>
    <s v="Vinte"/>
    <s v="868 Swallow Point"/>
    <x v="0"/>
    <s v="76-623-7844"/>
    <s v="84-498-3849"/>
    <x v="304"/>
    <d v="2024-08-23T00:00:00"/>
    <d v="2026-05-15T00:00:00"/>
    <n v="29"/>
    <n v="33"/>
    <n v="88"/>
    <n v="0.8"/>
    <n v="50"/>
    <n v="35"/>
    <n v="-0.51"/>
    <n v="23.200000000000003"/>
    <n v="40"/>
    <s v="REORDER"/>
    <s v="Expired"/>
    <n v="647"/>
  </r>
  <r>
    <x v="65"/>
    <x v="3"/>
    <s v="Voonte"/>
    <s v="65 Merry Circle"/>
    <x v="0"/>
    <s v="28-003-8065"/>
    <s v="42-579-7177"/>
    <x v="304"/>
    <d v="2025-02-16T00:00:00"/>
    <d v="2027-01-28T00:00:00"/>
    <n v="79"/>
    <n v="47"/>
    <n v="51"/>
    <n v="9.5"/>
    <n v="83"/>
    <n v="69"/>
    <n v="0.3"/>
    <n v="750.5"/>
    <n v="788.5"/>
    <s v="OK"/>
    <s v="Ok"/>
    <n v="470"/>
  </r>
  <r>
    <x v="102"/>
    <x v="0"/>
    <s v="Buzzster"/>
    <s v="26 Barnett Junction"/>
    <x v="0"/>
    <s v="28-008-2951"/>
    <s v="64-118-1480"/>
    <x v="305"/>
    <d v="2025-01-16T00:00:00"/>
    <d v="2026-05-20T00:00:00"/>
    <n v="95"/>
    <n v="29"/>
    <n v="28"/>
    <n v="4"/>
    <n v="52"/>
    <n v="46"/>
    <n v="0.17"/>
    <n v="380"/>
    <n v="208"/>
    <s v="OK"/>
    <s v="Expired"/>
    <n v="501"/>
  </r>
  <r>
    <x v="106"/>
    <x v="2"/>
    <s v="Quinu"/>
    <s v="36 Longview Street"/>
    <x v="2"/>
    <s v="45-402-0421"/>
    <s v="87-201-6047"/>
    <x v="305"/>
    <d v="2024-12-08T00:00:00"/>
    <d v="2026-07-14T00:00:00"/>
    <n v="70"/>
    <n v="84"/>
    <n v="72"/>
    <n v="8"/>
    <n v="71"/>
    <n v="20"/>
    <n v="0.12"/>
    <n v="560"/>
    <n v="568"/>
    <s v="REORDER"/>
    <s v="Ok"/>
    <n v="540"/>
  </r>
  <r>
    <x v="23"/>
    <x v="0"/>
    <s v="Brightbean"/>
    <s v="1034 2nd Point"/>
    <x v="1"/>
    <s v="73-942-0508"/>
    <s v="37-057-3553"/>
    <x v="305"/>
    <d v="2025-01-14T00:00:00"/>
    <d v="2026-10-04T00:00:00"/>
    <n v="61"/>
    <n v="100"/>
    <n v="94"/>
    <n v="4"/>
    <n v="76"/>
    <n v="2"/>
    <n v="0.72"/>
    <n v="244"/>
    <n v="304"/>
    <s v="REORDER"/>
    <s v="Ok"/>
    <n v="503"/>
  </r>
  <r>
    <x v="50"/>
    <x v="4"/>
    <s v="Vinder"/>
    <s v="111 David Hill"/>
    <x v="1"/>
    <s v="22-266-9291"/>
    <s v="15-550-0171"/>
    <x v="305"/>
    <d v="2024-03-27T00:00:00"/>
    <d v="2026-04-08T00:00:00"/>
    <n v="11"/>
    <n v="17"/>
    <n v="59"/>
    <n v="6"/>
    <n v="69"/>
    <n v="100"/>
    <n v="0.97"/>
    <n v="66"/>
    <n v="414"/>
    <s v="REORDER"/>
    <s v="Expired"/>
    <n v="796"/>
  </r>
  <r>
    <x v="82"/>
    <x v="2"/>
    <s v="Twitterbeat"/>
    <s v="25 Nancy Place"/>
    <x v="0"/>
    <s v="06-068-6793"/>
    <s v="94-958-6101"/>
    <x v="305"/>
    <d v="2024-08-06T00:00:00"/>
    <d v="2026-08-15T00:00:00"/>
    <n v="39"/>
    <n v="80"/>
    <n v="68"/>
    <n v="2.5"/>
    <n v="46"/>
    <n v="54"/>
    <n v="-0.45"/>
    <n v="97.5"/>
    <n v="115"/>
    <s v="REORDER"/>
    <s v="Ok"/>
    <n v="664"/>
  </r>
  <r>
    <x v="0"/>
    <x v="0"/>
    <s v="Skimia"/>
    <s v="33424 Express Avenue"/>
    <x v="0"/>
    <s v="58-063-8633"/>
    <s v="21-932-5200"/>
    <x v="306"/>
    <d v="2024-06-30T00:00:00"/>
    <d v="2026-09-22T00:00:00"/>
    <n v="50"/>
    <n v="3"/>
    <n v="88"/>
    <n v="4.5"/>
    <n v="69"/>
    <n v="73"/>
    <n v="-0.17"/>
    <n v="225"/>
    <n v="310.5"/>
    <s v="OK"/>
    <s v="Ok"/>
    <n v="701"/>
  </r>
  <r>
    <x v="80"/>
    <x v="6"/>
    <s v="Yoveo"/>
    <s v="67677 Lakewood Gardens Way"/>
    <x v="2"/>
    <s v="27-442-3654"/>
    <s v="57-544-2465"/>
    <x v="306"/>
    <d v="2024-08-26T00:00:00"/>
    <d v="2026-12-03T00:00:00"/>
    <n v="59"/>
    <n v="17"/>
    <n v="1"/>
    <n v="30"/>
    <n v="69"/>
    <n v="82"/>
    <n v="-0.06"/>
    <n v="1770"/>
    <n v="2070"/>
    <s v="OK"/>
    <s v="Ok"/>
    <n v="644"/>
  </r>
  <r>
    <x v="104"/>
    <x v="0"/>
    <s v="Yombu"/>
    <s v="884 Fieldstone Plaza"/>
    <x v="1"/>
    <s v="03-043-9933"/>
    <s v="48-450-4126"/>
    <x v="306"/>
    <d v="2025-02-09T00:00:00"/>
    <d v="2027-02-08T00:00:00"/>
    <n v="16"/>
    <n v="23"/>
    <n v="76"/>
    <n v="6.1"/>
    <n v="50"/>
    <n v="27"/>
    <n v="-0.19"/>
    <n v="97.6"/>
    <n v="305"/>
    <s v="REORDER"/>
    <s v="Ok"/>
    <n v="477"/>
  </r>
  <r>
    <x v="29"/>
    <x v="3"/>
    <s v="Skyndu"/>
    <s v="4105 Fair Oaks Parkway"/>
    <x v="2"/>
    <s v="99-137-1730"/>
    <s v="65-797-3468"/>
    <x v="307"/>
    <d v="2024-02-28T00:00:00"/>
    <d v="2026-10-18T00:00:00"/>
    <n v="62"/>
    <n v="79"/>
    <n v="23"/>
    <n v="1.5"/>
    <n v="32"/>
    <n v="80"/>
    <n v="0.46"/>
    <n v="93"/>
    <n v="48"/>
    <s v="REORDER"/>
    <s v="Ok"/>
    <n v="824"/>
  </r>
  <r>
    <x v="87"/>
    <x v="4"/>
    <s v="Youtags"/>
    <s v="665 Sommers Circle"/>
    <x v="1"/>
    <s v="09-622-7119"/>
    <s v="59-781-3399"/>
    <x v="307"/>
    <d v="2025-01-30T00:00:00"/>
    <d v="2026-06-15T00:00:00"/>
    <n v="30"/>
    <n v="81"/>
    <n v="99"/>
    <n v="9"/>
    <n v="99"/>
    <n v="3"/>
    <n v="-1.5"/>
    <n v="270"/>
    <n v="891"/>
    <s v="REORDER"/>
    <s v="Expiring Soon"/>
    <n v="487"/>
  </r>
  <r>
    <x v="59"/>
    <x v="0"/>
    <s v="Rhynyx"/>
    <s v="622 Buena Vista Trail"/>
    <x v="1"/>
    <s v="95-356-1566"/>
    <s v="57-204-2098"/>
    <x v="307"/>
    <d v="2025-02-21T00:00:00"/>
    <d v="2027-01-29T00:00:00"/>
    <n v="13"/>
    <n v="61"/>
    <n v="77"/>
    <n v="5.5"/>
    <n v="42"/>
    <n v="18"/>
    <n v="0.97"/>
    <n v="71.5"/>
    <n v="231"/>
    <s v="REORDER"/>
    <s v="Ok"/>
    <n v="465"/>
  </r>
  <r>
    <x v="78"/>
    <x v="3"/>
    <s v="Skyba"/>
    <s v="083 Gulseth Pass"/>
    <x v="2"/>
    <s v="22-319-1377"/>
    <s v="82-266-1796"/>
    <x v="308"/>
    <d v="2024-03-03T00:00:00"/>
    <d v="2026-06-21T00:00:00"/>
    <n v="14"/>
    <n v="16"/>
    <n v="93"/>
    <n v="2"/>
    <n v="39"/>
    <n v="30"/>
    <n v="0.56999999999999995"/>
    <n v="28"/>
    <n v="78"/>
    <s v="REORDER"/>
    <s v="Expiring Soon"/>
    <n v="820"/>
  </r>
  <r>
    <x v="54"/>
    <x v="3"/>
    <s v="Devbug"/>
    <s v="022 Prairie Rose Drive"/>
    <x v="0"/>
    <s v="89-181-4523"/>
    <s v="54-749-3622"/>
    <x v="308"/>
    <d v="2024-06-23T00:00:00"/>
    <d v="2026-12-22T00:00:00"/>
    <n v="46"/>
    <n v="6"/>
    <n v="64"/>
    <n v="10"/>
    <n v="63"/>
    <n v="29"/>
    <n v="0.23"/>
    <n v="460"/>
    <n v="630"/>
    <s v="OK"/>
    <s v="Ok"/>
    <n v="708"/>
  </r>
  <r>
    <x v="77"/>
    <x v="6"/>
    <s v="Aimbu"/>
    <s v="0 Oneill Hill"/>
    <x v="0"/>
    <s v="38-555-9147"/>
    <s v="35-370-7603"/>
    <x v="308"/>
    <d v="2024-04-29T00:00:00"/>
    <d v="2026-03-08T00:00:00"/>
    <n v="62"/>
    <n v="23"/>
    <n v="25"/>
    <n v="15.5"/>
    <n v="34"/>
    <n v="68"/>
    <n v="0.54"/>
    <n v="961"/>
    <n v="527"/>
    <s v="OK"/>
    <s v="Expired"/>
    <n v="763"/>
  </r>
  <r>
    <x v="48"/>
    <x v="0"/>
    <s v="Voolith"/>
    <s v="992 East Point"/>
    <x v="2"/>
    <s v="53-667-4109"/>
    <s v="40-800-4739"/>
    <x v="308"/>
    <d v="2024-03-21T00:00:00"/>
    <d v="2026-05-24T00:00:00"/>
    <n v="16"/>
    <n v="75"/>
    <n v="42"/>
    <n v="2"/>
    <n v="22"/>
    <n v="46"/>
    <n v="-1"/>
    <n v="32"/>
    <n v="44"/>
    <s v="REORDER"/>
    <s v="Expired"/>
    <n v="802"/>
  </r>
  <r>
    <x v="57"/>
    <x v="3"/>
    <s v="Wikibox"/>
    <s v="21629 Burrows Pass"/>
    <x v="0"/>
    <s v="14-489-8669"/>
    <s v="28-436-5158"/>
    <x v="309"/>
    <d v="2024-11-05T00:00:00"/>
    <d v="2026-05-13T00:00:00"/>
    <n v="54"/>
    <n v="69"/>
    <n v="68"/>
    <n v="1.75"/>
    <n v="77"/>
    <n v="56"/>
    <n v="-1.0900000000000001"/>
    <n v="94.5"/>
    <n v="134.75"/>
    <s v="REORDER"/>
    <s v="Expired"/>
    <n v="573"/>
  </r>
  <r>
    <x v="1"/>
    <x v="1"/>
    <s v="Trudeo"/>
    <s v="5414 Linden Point"/>
    <x v="1"/>
    <s v="26-031-8070"/>
    <s v="11-096-4003"/>
    <x v="310"/>
    <d v="2024-05-25T00:00:00"/>
    <d v="2026-04-19T00:00:00"/>
    <n v="57"/>
    <n v="99"/>
    <n v="23"/>
    <n v="2"/>
    <n v="89"/>
    <n v="21"/>
    <n v="0.27"/>
    <n v="114"/>
    <n v="178"/>
    <s v="REORDER"/>
    <s v="Expired"/>
    <n v="737"/>
  </r>
  <r>
    <x v="55"/>
    <x v="0"/>
    <s v="Teklist"/>
    <s v="60 Messerschmidt Pass"/>
    <x v="2"/>
    <s v="47-221-2470"/>
    <s v="30-780-7583"/>
    <x v="310"/>
    <d v="2024-04-03T00:00:00"/>
    <d v="2026-10-10T00:00:00"/>
    <n v="17"/>
    <n v="45"/>
    <n v="44"/>
    <n v="6"/>
    <n v="37"/>
    <n v="16"/>
    <n v="0.76"/>
    <n v="102"/>
    <n v="222"/>
    <s v="REORDER"/>
    <s v="Ok"/>
    <n v="789"/>
  </r>
  <r>
    <x v="94"/>
    <x v="0"/>
    <s v="Fivespan"/>
    <s v="92 Bartelt Terrace"/>
    <x v="2"/>
    <s v="67-382-4435"/>
    <s v="49-901-0828"/>
    <x v="310"/>
    <d v="2024-12-21T00:00:00"/>
    <d v="2026-03-02T00:00:00"/>
    <n v="99"/>
    <n v="37"/>
    <n v="74"/>
    <n v="2.1"/>
    <n v="46"/>
    <n v="46"/>
    <n v="0.56999999999999995"/>
    <n v="207.9"/>
    <n v="96.600000000000009"/>
    <s v="OK"/>
    <s v="Expired"/>
    <n v="527"/>
  </r>
  <r>
    <x v="102"/>
    <x v="0"/>
    <s v="Jetpulse"/>
    <s v="071 Nobel Circle"/>
    <x v="0"/>
    <s v="94-029-2717"/>
    <s v="37-878-9392"/>
    <x v="311"/>
    <d v="2025-02-06T00:00:00"/>
    <d v="2026-06-09T00:00:00"/>
    <n v="40"/>
    <n v="8"/>
    <n v="98"/>
    <n v="4"/>
    <n v="86"/>
    <n v="12"/>
    <n v="0"/>
    <n v="160"/>
    <n v="344"/>
    <s v="OK"/>
    <s v="Expiring Soon"/>
    <n v="480"/>
  </r>
  <r>
    <x v="45"/>
    <x v="2"/>
    <s v="Dynazzy"/>
    <s v="30880 Barnett Junction"/>
    <x v="0"/>
    <s v="47-866-6589"/>
    <s v="78-203-1075"/>
    <x v="311"/>
    <d v="2025-02-03T00:00:00"/>
    <d v="2026-07-27T00:00:00"/>
    <n v="41"/>
    <n v="61"/>
    <n v="69"/>
    <n v="1"/>
    <n v="30"/>
    <n v="100"/>
    <n v="0.86"/>
    <n v="41"/>
    <n v="30"/>
    <s v="REORDER"/>
    <s v="Ok"/>
    <n v="483"/>
  </r>
  <r>
    <x v="27"/>
    <x v="4"/>
    <s v="Jabbercube"/>
    <s v="116 Spaight Park"/>
    <x v="0"/>
    <s v="94-355-3070"/>
    <s v="73-393-9432"/>
    <x v="311"/>
    <d v="2024-07-13T00:00:00"/>
    <d v="2026-07-23T00:00:00"/>
    <n v="14"/>
    <n v="52"/>
    <n v="80"/>
    <n v="6.8"/>
    <n v="64"/>
    <n v="17"/>
    <n v="-2.33"/>
    <n v="95.2"/>
    <n v="435.2"/>
    <s v="REORDER"/>
    <s v="Ok"/>
    <n v="688"/>
  </r>
  <r>
    <x v="113"/>
    <x v="5"/>
    <s v="Yozio"/>
    <s v="317 Anniversary Pass"/>
    <x v="1"/>
    <s v="82-342-7339"/>
    <s v="14-325-9173"/>
    <x v="312"/>
    <d v="2024-07-31T00:00:00"/>
    <d v="2026-03-04T00:00:00"/>
    <n v="80"/>
    <n v="61"/>
    <n v="23"/>
    <n v="5.5"/>
    <n v="63"/>
    <n v="75"/>
    <n v="0.73"/>
    <n v="440"/>
    <n v="346.5"/>
    <s v="OK"/>
    <s v="Expired"/>
    <n v="670"/>
  </r>
  <r>
    <x v="20"/>
    <x v="6"/>
    <s v="Rhyzio"/>
    <s v="5 Killdeer Trail"/>
    <x v="1"/>
    <s v="80-459-5950"/>
    <s v="04-866-2231"/>
    <x v="312"/>
    <d v="2024-10-02T00:00:00"/>
    <d v="2026-03-20T00:00:00"/>
    <n v="74"/>
    <n v="10"/>
    <n v="74"/>
    <n v="20"/>
    <n v="100"/>
    <n v="66"/>
    <n v="-0.19"/>
    <n v="1480"/>
    <n v="2000"/>
    <s v="OK"/>
    <s v="Expired"/>
    <n v="607"/>
  </r>
  <r>
    <x v="14"/>
    <x v="0"/>
    <s v="Avamm"/>
    <s v="05 Bartelt Street"/>
    <x v="2"/>
    <s v="67-248-6306"/>
    <s v="86-173-6891"/>
    <x v="312"/>
    <d v="2024-10-02T00:00:00"/>
    <d v="2026-12-22T00:00:00"/>
    <n v="77"/>
    <n v="54"/>
    <n v="10"/>
    <n v="2.5"/>
    <n v="64"/>
    <n v="73"/>
    <n v="0.34"/>
    <n v="192.5"/>
    <n v="160"/>
    <s v="OK"/>
    <s v="Ok"/>
    <n v="607"/>
  </r>
  <r>
    <x v="21"/>
    <x v="0"/>
    <s v="Yodo"/>
    <s v="55 Cherokee Circle"/>
    <x v="0"/>
    <s v="68-973-8812"/>
    <s v="31-955-7362"/>
    <x v="312"/>
    <d v="2024-06-22T00:00:00"/>
    <d v="2026-05-24T00:00:00"/>
    <n v="44"/>
    <n v="77"/>
    <n v="45"/>
    <n v="2"/>
    <n v="89"/>
    <n v="64"/>
    <n v="-0.14000000000000001"/>
    <n v="88"/>
    <n v="178"/>
    <s v="REORDER"/>
    <s v="Expired"/>
    <n v="709"/>
  </r>
  <r>
    <x v="22"/>
    <x v="0"/>
    <s v="Skipfire"/>
    <s v="387 Jay Point"/>
    <x v="0"/>
    <s v="11-325-7396"/>
    <s v="98-940-7545"/>
    <x v="313"/>
    <d v="2024-10-18T00:00:00"/>
    <d v="2026-03-26T00:00:00"/>
    <n v="92"/>
    <n v="46"/>
    <n v="13"/>
    <n v="5"/>
    <n v="24"/>
    <n v="75"/>
    <n v="0.28000000000000003"/>
    <n v="460"/>
    <n v="120"/>
    <s v="OK"/>
    <s v="Expired"/>
    <n v="591"/>
  </r>
  <r>
    <x v="108"/>
    <x v="0"/>
    <s v="Brainverse"/>
    <s v="9695 Alpine Trail"/>
    <x v="0"/>
    <s v="68-761-6907"/>
    <s v="31-199-3683"/>
    <x v="313"/>
    <d v="2024-07-21T00:00:00"/>
    <d v="2027-02-02T00:00:00"/>
    <n v="26"/>
    <n v="18"/>
    <n v="62"/>
    <n v="2.5"/>
    <n v="57"/>
    <n v="86"/>
    <n v="-2.13"/>
    <n v="65"/>
    <n v="142.5"/>
    <s v="OK"/>
    <s v="Ok"/>
    <n v="680"/>
  </r>
  <r>
    <x v="65"/>
    <x v="3"/>
    <s v="Brainverse"/>
    <s v="1468 Meadow Vale Court"/>
    <x v="1"/>
    <s v="62-509-0666"/>
    <s v="16-419-1419"/>
    <x v="313"/>
    <d v="2024-05-15T00:00:00"/>
    <d v="2026-07-03T00:00:00"/>
    <n v="13"/>
    <n v="88"/>
    <n v="7"/>
    <n v="9.5"/>
    <n v="24"/>
    <n v="21"/>
    <n v="-0.51"/>
    <n v="123.5"/>
    <n v="228"/>
    <s v="REORDER"/>
    <s v="Ok"/>
    <n v="747"/>
  </r>
  <r>
    <x v="5"/>
    <x v="0"/>
    <s v="Flashspan"/>
    <s v="022 Pierstorff Point"/>
    <x v="2"/>
    <s v="44-476-0390"/>
    <s v="48-562-3582"/>
    <x v="313"/>
    <d v="2024-04-27T00:00:00"/>
    <d v="2026-03-14T00:00:00"/>
    <n v="90"/>
    <n v="92"/>
    <n v="56"/>
    <n v="2.5"/>
    <n v="71"/>
    <n v="13"/>
    <n v="0.13"/>
    <n v="225"/>
    <n v="177.5"/>
    <s v="REORDER"/>
    <s v="Expired"/>
    <n v="765"/>
  </r>
  <r>
    <x v="34"/>
    <x v="2"/>
    <s v="Babblestorm"/>
    <s v="33 Clarendon Hill"/>
    <x v="2"/>
    <s v="08-213-2058"/>
    <s v="13-179-9553"/>
    <x v="313"/>
    <d v="2024-09-07T00:00:00"/>
    <d v="2026-08-26T00:00:00"/>
    <n v="43"/>
    <n v="73"/>
    <n v="14"/>
    <n v="4"/>
    <n v="59"/>
    <n v="65"/>
    <n v="0.82"/>
    <n v="172"/>
    <n v="236"/>
    <s v="REORDER"/>
    <s v="Ok"/>
    <n v="632"/>
  </r>
  <r>
    <x v="102"/>
    <x v="0"/>
    <s v="Jabbersphere"/>
    <s v="2 School Drive"/>
    <x v="0"/>
    <s v="35-529-2933"/>
    <s v="57-591-6452"/>
    <x v="313"/>
    <d v="2024-10-23T00:00:00"/>
    <d v="2026-07-13T00:00:00"/>
    <n v="85"/>
    <n v="54"/>
    <n v="18"/>
    <n v="4"/>
    <n v="85"/>
    <n v="44"/>
    <n v="-0.1"/>
    <n v="340"/>
    <n v="340"/>
    <s v="OK"/>
    <s v="Ok"/>
    <n v="586"/>
  </r>
  <r>
    <x v="16"/>
    <x v="2"/>
    <s v="Topiclounge"/>
    <s v="120 Gale Circle"/>
    <x v="0"/>
    <s v="24-364-3341"/>
    <s v="13-290-8513"/>
    <x v="314"/>
    <d v="2024-04-11T00:00:00"/>
    <d v="2026-09-25T00:00:00"/>
    <n v="44"/>
    <n v="84"/>
    <n v="63"/>
    <n v="2.5"/>
    <n v="51"/>
    <n v="67"/>
    <n v="0.48"/>
    <n v="110"/>
    <n v="127.5"/>
    <s v="REORDER"/>
    <s v="Ok"/>
    <n v="781"/>
  </r>
  <r>
    <x v="15"/>
    <x v="0"/>
    <s v="Lazz"/>
    <s v="582 Dahle Center"/>
    <x v="2"/>
    <s v="65-644-1394"/>
    <s v="23-280-1300"/>
    <x v="314"/>
    <d v="2025-01-06T00:00:00"/>
    <d v="2027-02-10T00:00:00"/>
    <n v="26"/>
    <n v="95"/>
    <n v="36"/>
    <n v="4.5"/>
    <n v="92"/>
    <n v="14"/>
    <n v="-0.31"/>
    <n v="117"/>
    <n v="414"/>
    <s v="REORDER"/>
    <s v="Ok"/>
    <n v="511"/>
  </r>
  <r>
    <x v="14"/>
    <x v="0"/>
    <s v="Jabberstorm"/>
    <s v="39014 Randy Court"/>
    <x v="0"/>
    <s v="88-401-3700"/>
    <s v="39-299-6093"/>
    <x v="314"/>
    <d v="2025-02-04T00:00:00"/>
    <d v="2027-01-20T00:00:00"/>
    <n v="86"/>
    <n v="66"/>
    <n v="24"/>
    <n v="2.5"/>
    <n v="30"/>
    <n v="6"/>
    <n v="0.85"/>
    <n v="215"/>
    <n v="75"/>
    <s v="OK"/>
    <s v="Ok"/>
    <n v="482"/>
  </r>
  <r>
    <x v="13"/>
    <x v="5"/>
    <s v="Vimbo"/>
    <s v="4247 David Crossing"/>
    <x v="0"/>
    <s v="47-441-7682"/>
    <s v="90-998-1236"/>
    <x v="314"/>
    <d v="2024-12-12T00:00:00"/>
    <d v="2026-11-30T00:00:00"/>
    <n v="40"/>
    <n v="91"/>
    <n v="24"/>
    <n v="4"/>
    <n v="28"/>
    <n v="47"/>
    <n v="0.8"/>
    <n v="160"/>
    <n v="112"/>
    <s v="REORDER"/>
    <s v="Ok"/>
    <n v="536"/>
  </r>
  <r>
    <x v="59"/>
    <x v="0"/>
    <s v="Skinix"/>
    <s v="6482 Ramsey Alley"/>
    <x v="1"/>
    <s v="68-977-2498"/>
    <s v="26-222-1156"/>
    <x v="315"/>
    <d v="2024-05-20T00:00:00"/>
    <d v="2026-07-21T00:00:00"/>
    <n v="88"/>
    <n v="99"/>
    <n v="41"/>
    <n v="5.5"/>
    <n v="93"/>
    <n v="99"/>
    <n v="-0.68"/>
    <n v="484"/>
    <n v="511.5"/>
    <s v="REORDER"/>
    <s v="Ok"/>
    <n v="742"/>
  </r>
  <r>
    <x v="65"/>
    <x v="3"/>
    <s v="Trilia"/>
    <s v="153 Caliangt Plaza"/>
    <x v="1"/>
    <s v="37-567-3218"/>
    <s v="03-257-4437"/>
    <x v="315"/>
    <d v="2024-10-31T00:00:00"/>
    <d v="2026-07-20T00:00:00"/>
    <n v="37"/>
    <n v="47"/>
    <n v="34"/>
    <n v="9.5"/>
    <n v="38"/>
    <n v="89"/>
    <n v="-0.06"/>
    <n v="351.5"/>
    <n v="361"/>
    <s v="REORDER"/>
    <s v="Ok"/>
    <n v="578"/>
  </r>
  <r>
    <x v="43"/>
    <x v="1"/>
    <s v="Twitterbeat"/>
    <s v="99 Twin Pines Alley"/>
    <x v="2"/>
    <s v="87-903-3486"/>
    <s v="90-378-8463"/>
    <x v="315"/>
    <d v="2024-09-10T00:00:00"/>
    <d v="2026-03-01T00:00:00"/>
    <n v="21"/>
    <n v="25"/>
    <n v="39"/>
    <n v="4"/>
    <n v="79"/>
    <n v="30"/>
    <n v="-1.34"/>
    <n v="84"/>
    <n v="316"/>
    <s v="REORDER"/>
    <s v="Expired"/>
    <n v="629"/>
  </r>
  <r>
    <x v="0"/>
    <x v="0"/>
    <s v="Linklinks"/>
    <s v="6 Swallow Crossing"/>
    <x v="0"/>
    <s v="96-316-7600"/>
    <s v="76-671-7104"/>
    <x v="316"/>
    <d v="2024-07-27T00:00:00"/>
    <d v="2026-07-07T00:00:00"/>
    <n v="70"/>
    <n v="31"/>
    <n v="55"/>
    <n v="4.5"/>
    <n v="23"/>
    <n v="80"/>
    <n v="0.62"/>
    <n v="315"/>
    <n v="103.5"/>
    <s v="OK"/>
    <s v="Ok"/>
    <n v="674"/>
  </r>
  <r>
    <x v="75"/>
    <x v="2"/>
    <s v="Oba"/>
    <s v="53894 Myrtle Place"/>
    <x v="1"/>
    <s v="00-842-9790"/>
    <s v="37-079-2530"/>
    <x v="316"/>
    <d v="2025-01-30T00:00:00"/>
    <d v="2026-12-28T00:00:00"/>
    <n v="65"/>
    <n v="94"/>
    <n v="4"/>
    <n v="2.5"/>
    <n v="66"/>
    <n v="36"/>
    <n v="-2.48"/>
    <n v="162.5"/>
    <n v="165"/>
    <s v="REORDER"/>
    <s v="Ok"/>
    <n v="487"/>
  </r>
  <r>
    <x v="81"/>
    <x v="1"/>
    <s v="Browsezoom"/>
    <s v="1275 Lawn Center"/>
    <x v="0"/>
    <s v="96-164-0607"/>
    <s v="15-655-3923"/>
    <x v="316"/>
    <d v="2024-12-20T00:00:00"/>
    <d v="2026-10-17T00:00:00"/>
    <n v="89"/>
    <n v="79"/>
    <n v="66"/>
    <n v="5"/>
    <n v="91"/>
    <n v="31"/>
    <n v="0.45"/>
    <n v="445"/>
    <n v="455"/>
    <s v="OK"/>
    <s v="Ok"/>
    <n v="528"/>
  </r>
  <r>
    <x v="44"/>
    <x v="1"/>
    <s v="Kamba"/>
    <s v="504 Green Park"/>
    <x v="0"/>
    <s v="04-240-2226"/>
    <s v="65-842-6819"/>
    <x v="317"/>
    <d v="2024-06-28T00:00:00"/>
    <d v="2026-03-05T00:00:00"/>
    <n v="47"/>
    <n v="48"/>
    <n v="73"/>
    <n v="6"/>
    <n v="42"/>
    <n v="51"/>
    <n v="0.66"/>
    <n v="282"/>
    <n v="252"/>
    <s v="REORDER"/>
    <s v="Expired"/>
    <n v="703"/>
  </r>
  <r>
    <x v="46"/>
    <x v="0"/>
    <s v="Rooxo"/>
    <s v="9 Bartillon Trail"/>
    <x v="0"/>
    <s v="97-772-2336"/>
    <s v="19-704-4404"/>
    <x v="317"/>
    <d v="2025-02-03T00:00:00"/>
    <d v="2026-07-14T00:00:00"/>
    <n v="70"/>
    <n v="30"/>
    <n v="69"/>
    <n v="3.5"/>
    <n v="44"/>
    <n v="42"/>
    <n v="-0.21"/>
    <n v="245"/>
    <n v="154"/>
    <s v="OK"/>
    <s v="Ok"/>
    <n v="483"/>
  </r>
  <r>
    <x v="55"/>
    <x v="0"/>
    <s v="Kamba"/>
    <s v="5900 Vahlen Avenue"/>
    <x v="1"/>
    <s v="63-822-5278"/>
    <s v="27-636-1606"/>
    <x v="317"/>
    <d v="2024-12-13T00:00:00"/>
    <d v="2026-02-27T00:00:00"/>
    <n v="14"/>
    <n v="66"/>
    <n v="1"/>
    <n v="6"/>
    <n v="86"/>
    <n v="15"/>
    <n v="0.05"/>
    <n v="84"/>
    <n v="516"/>
    <s v="REORDER"/>
    <s v="Expired"/>
    <n v="535"/>
  </r>
  <r>
    <x v="61"/>
    <x v="3"/>
    <s v="Yombu"/>
    <s v="6990 Kings Place"/>
    <x v="0"/>
    <s v="19-967-0632"/>
    <s v="90-445-1753"/>
    <x v="318"/>
    <d v="2025-02-04T00:00:00"/>
    <d v="2026-11-06T00:00:00"/>
    <n v="53"/>
    <n v="86"/>
    <n v="54"/>
    <n v="3"/>
    <n v="44"/>
    <n v="3"/>
    <n v="0.83"/>
    <n v="159"/>
    <n v="132"/>
    <s v="REORDER"/>
    <s v="Ok"/>
    <n v="482"/>
  </r>
  <r>
    <x v="55"/>
    <x v="0"/>
    <s v="Kwideo"/>
    <s v="4 Old Shore Avenue"/>
    <x v="2"/>
    <s v="28-986-8001"/>
    <s v="37-281-2537"/>
    <x v="318"/>
    <d v="2024-06-15T00:00:00"/>
    <d v="2026-10-13T00:00:00"/>
    <n v="65"/>
    <n v="69"/>
    <n v="4"/>
    <n v="6"/>
    <n v="80"/>
    <n v="26"/>
    <n v="0.93"/>
    <n v="390"/>
    <n v="480"/>
    <s v="REORDER"/>
    <s v="Ok"/>
    <n v="716"/>
  </r>
  <r>
    <x v="24"/>
    <x v="3"/>
    <s v="Katz"/>
    <s v="012 Mockingbird Court"/>
    <x v="1"/>
    <s v="44-128-2185"/>
    <s v="79-091-7381"/>
    <x v="318"/>
    <d v="2024-07-10T00:00:00"/>
    <d v="2026-12-30T00:00:00"/>
    <n v="98"/>
    <n v="20"/>
    <n v="81"/>
    <n v="4.75"/>
    <n v="51"/>
    <n v="23"/>
    <n v="0.68"/>
    <n v="465.5"/>
    <n v="242.25"/>
    <s v="OK"/>
    <s v="Ok"/>
    <n v="691"/>
  </r>
  <r>
    <x v="110"/>
    <x v="2"/>
    <s v="Bubblemix"/>
    <s v="739 Rowland Way"/>
    <x v="0"/>
    <s v="84-327-7787"/>
    <s v="97-571-0561"/>
    <x v="318"/>
    <d v="2024-08-26T00:00:00"/>
    <d v="2026-09-06T00:00:00"/>
    <n v="83"/>
    <n v="35"/>
    <n v="43"/>
    <n v="0.2"/>
    <n v="94"/>
    <n v="68"/>
    <n v="0.55000000000000004"/>
    <n v="16.600000000000001"/>
    <n v="18.8"/>
    <s v="OK"/>
    <s v="Ok"/>
    <n v="644"/>
  </r>
  <r>
    <x v="64"/>
    <x v="0"/>
    <s v="Mydo"/>
    <s v="772 Golf Course Junction"/>
    <x v="2"/>
    <s v="50-364-5828"/>
    <s v="17-239-6309"/>
    <x v="319"/>
    <d v="2024-06-14T00:00:00"/>
    <d v="2026-12-23T00:00:00"/>
    <n v="89"/>
    <n v="57"/>
    <n v="92"/>
    <n v="5"/>
    <n v="38"/>
    <n v="16"/>
    <n v="0.28000000000000003"/>
    <n v="445"/>
    <n v="190"/>
    <s v="OK"/>
    <s v="Ok"/>
    <n v="717"/>
  </r>
  <r>
    <x v="16"/>
    <x v="2"/>
    <s v="Browsedrive"/>
    <s v="231 Merry Pass"/>
    <x v="2"/>
    <s v="65-368-2479"/>
    <s v="99-570-8162"/>
    <x v="319"/>
    <d v="2024-03-10T00:00:00"/>
    <d v="2026-10-07T00:00:00"/>
    <n v="23"/>
    <n v="21"/>
    <n v="59"/>
    <n v="2.4"/>
    <n v="81"/>
    <n v="8"/>
    <n v="0.57999999999999996"/>
    <n v="55.199999999999996"/>
    <n v="194.4"/>
    <s v="OK"/>
    <s v="Ok"/>
    <n v="813"/>
  </r>
  <r>
    <x v="66"/>
    <x v="2"/>
    <s v="Shufflester"/>
    <s v="7 Hooker Way"/>
    <x v="1"/>
    <s v="17-253-5688"/>
    <s v="42-638-2086"/>
    <x v="319"/>
    <d v="2024-07-07T00:00:00"/>
    <d v="2026-06-20T00:00:00"/>
    <n v="39"/>
    <n v="55"/>
    <n v="39"/>
    <n v="3"/>
    <n v="47"/>
    <n v="59"/>
    <n v="0.9"/>
    <n v="117"/>
    <n v="141"/>
    <s v="REORDER"/>
    <s v="Expiring Soon"/>
    <n v="694"/>
  </r>
  <r>
    <x v="52"/>
    <x v="3"/>
    <s v="Jaxnation"/>
    <s v="48 Del Sol Trail"/>
    <x v="0"/>
    <s v="29-205-1132"/>
    <s v="38-037-1699"/>
    <x v="320"/>
    <d v="2024-06-29T00:00:00"/>
    <d v="2026-09-19T00:00:00"/>
    <n v="22"/>
    <n v="72"/>
    <n v="70"/>
    <n v="4.5"/>
    <n v="32"/>
    <n v="19"/>
    <n v="-0.26"/>
    <n v="99"/>
    <n v="144"/>
    <s v="REORDER"/>
    <s v="Ok"/>
    <n v="702"/>
  </r>
  <r>
    <x v="43"/>
    <x v="1"/>
    <s v="Pixoboo"/>
    <s v="76 Independence Drive"/>
    <x v="0"/>
    <s v="64-854-8664"/>
    <s v="19-893-7698"/>
    <x v="320"/>
    <d v="2025-01-25T00:00:00"/>
    <d v="2026-08-30T00:00:00"/>
    <n v="79"/>
    <n v="3"/>
    <n v="36"/>
    <n v="4"/>
    <n v="46"/>
    <n v="29"/>
    <n v="0.41"/>
    <n v="316"/>
    <n v="184"/>
    <s v="OK"/>
    <s v="Ok"/>
    <n v="492"/>
  </r>
  <r>
    <x v="47"/>
    <x v="4"/>
    <s v="Jabbertype"/>
    <s v="08 Randy Junction"/>
    <x v="2"/>
    <s v="66-627-9752"/>
    <s v="87-839-6400"/>
    <x v="321"/>
    <d v="2024-10-01T00:00:00"/>
    <d v="2026-09-03T00:00:00"/>
    <n v="49"/>
    <n v="73"/>
    <n v="48"/>
    <n v="12"/>
    <n v="52"/>
    <n v="62"/>
    <n v="0.37"/>
    <n v="588"/>
    <n v="624"/>
    <s v="REORDER"/>
    <s v="Ok"/>
    <n v="608"/>
  </r>
  <r>
    <x v="38"/>
    <x v="1"/>
    <s v="Buzzshare"/>
    <s v="94451 Arkansas Park"/>
    <x v="1"/>
    <s v="62-795-7801"/>
    <s v="08-312-0872"/>
    <x v="321"/>
    <d v="2024-07-28T00:00:00"/>
    <d v="2026-11-23T00:00:00"/>
    <n v="35"/>
    <n v="41"/>
    <n v="84"/>
    <n v="1.8"/>
    <n v="62"/>
    <n v="14"/>
    <n v="-0.19"/>
    <n v="63"/>
    <n v="111.60000000000001"/>
    <s v="REORDER"/>
    <s v="Ok"/>
    <n v="673"/>
  </r>
  <r>
    <x v="78"/>
    <x v="3"/>
    <s v="Topicshots"/>
    <s v="322 Birchwood Center"/>
    <x v="2"/>
    <s v="40-683-0283"/>
    <s v="27-060-9944"/>
    <x v="321"/>
    <d v="2024-05-04T00:00:00"/>
    <d v="2026-05-23T00:00:00"/>
    <n v="27"/>
    <n v="64"/>
    <n v="78"/>
    <n v="2"/>
    <n v="57"/>
    <n v="4"/>
    <n v="0.77"/>
    <n v="54"/>
    <n v="114"/>
    <s v="REORDER"/>
    <s v="Expired"/>
    <n v="758"/>
  </r>
  <r>
    <x v="84"/>
    <x v="3"/>
    <s v="Mybuzz"/>
    <s v="5 Homewood Street"/>
    <x v="0"/>
    <s v="87-423-8486"/>
    <s v="12-947-4739"/>
    <x v="321"/>
    <d v="2024-03-21T00:00:00"/>
    <d v="2026-03-09T00:00:00"/>
    <n v="63"/>
    <n v="4"/>
    <n v="46"/>
    <n v="2.5"/>
    <n v="40"/>
    <n v="69"/>
    <n v="0.93"/>
    <n v="157.5"/>
    <n v="100"/>
    <s v="OK"/>
    <s v="Expired"/>
    <n v="802"/>
  </r>
  <r>
    <x v="15"/>
    <x v="0"/>
    <s v="Centizu"/>
    <s v="3 Hooker Way"/>
    <x v="0"/>
    <s v="16-499-5059"/>
    <s v="09-090-6360"/>
    <x v="322"/>
    <d v="2024-11-19T00:00:00"/>
    <d v="2026-12-20T00:00:00"/>
    <n v="77"/>
    <n v="20"/>
    <n v="5"/>
    <n v="4.5"/>
    <n v="61"/>
    <n v="62"/>
    <n v="-0.73"/>
    <n v="346.5"/>
    <n v="274.5"/>
    <s v="OK"/>
    <s v="Ok"/>
    <n v="559"/>
  </r>
  <r>
    <x v="29"/>
    <x v="3"/>
    <s v="Browsezoom"/>
    <s v="8 Surrey Pass"/>
    <x v="0"/>
    <s v="05-334-2923"/>
    <s v="41-772-6271"/>
    <x v="322"/>
    <d v="2024-11-22T00:00:00"/>
    <d v="2026-05-16T00:00:00"/>
    <n v="14"/>
    <n v="74"/>
    <n v="71"/>
    <n v="1.5"/>
    <n v="37"/>
    <n v="22"/>
    <n v="-0.02"/>
    <n v="21"/>
    <n v="55.5"/>
    <s v="REORDER"/>
    <s v="Expired"/>
    <n v="556"/>
  </r>
  <r>
    <x v="105"/>
    <x v="6"/>
    <s v="Oyoyo"/>
    <s v="2 Petterle Road"/>
    <x v="2"/>
    <s v="74-845-3299"/>
    <s v="21-792-1000"/>
    <x v="322"/>
    <d v="2025-02-12T00:00:00"/>
    <d v="2026-04-29T00:00:00"/>
    <n v="63"/>
    <n v="92"/>
    <n v="26"/>
    <n v="8"/>
    <n v="93"/>
    <n v="99"/>
    <n v="0.41"/>
    <n v="504"/>
    <n v="744"/>
    <s v="REORDER"/>
    <s v="Expired"/>
    <n v="474"/>
  </r>
  <r>
    <x v="53"/>
    <x v="3"/>
    <s v="Voomm"/>
    <s v="57598 Russell Center"/>
    <x v="1"/>
    <s v="10-249-7928"/>
    <s v="69-861-0313"/>
    <x v="322"/>
    <d v="2024-04-03T00:00:00"/>
    <d v="2026-11-03T00:00:00"/>
    <n v="85"/>
    <n v="4"/>
    <n v="75"/>
    <n v="6.5"/>
    <n v="95"/>
    <n v="70"/>
    <n v="-0.06"/>
    <n v="552.5"/>
    <n v="617.5"/>
    <s v="OK"/>
    <s v="Ok"/>
    <n v="789"/>
  </r>
  <r>
    <x v="27"/>
    <x v="4"/>
    <s v="Flipopia"/>
    <s v="73397 Steensland Circle"/>
    <x v="2"/>
    <s v="08-725-8156"/>
    <s v="32-196-4714"/>
    <x v="322"/>
    <d v="2024-11-10T00:00:00"/>
    <d v="2026-03-15T00:00:00"/>
    <n v="59"/>
    <n v="59"/>
    <n v="10"/>
    <n v="7"/>
    <n v="57"/>
    <n v="50"/>
    <n v="0.26"/>
    <n v="413"/>
    <n v="399"/>
    <s v="REORDER"/>
    <s v="Expired"/>
    <n v="568"/>
  </r>
  <r>
    <x v="87"/>
    <x v="4"/>
    <s v="Snaptags"/>
    <s v="8 Autumn Leaf Drive"/>
    <x v="0"/>
    <s v="41-240-8856"/>
    <s v="28-162-7486"/>
    <x v="322"/>
    <d v="2024-05-29T00:00:00"/>
    <d v="2027-01-10T00:00:00"/>
    <n v="79"/>
    <n v="53"/>
    <n v="12"/>
    <n v="9"/>
    <n v="45"/>
    <n v="95"/>
    <n v="0.12"/>
    <n v="711"/>
    <n v="405"/>
    <s v="OK"/>
    <s v="Ok"/>
    <n v="733"/>
  </r>
  <r>
    <x v="2"/>
    <x v="2"/>
    <s v="Photospace"/>
    <s v="9463 Northland Court"/>
    <x v="1"/>
    <s v="35-257-9312"/>
    <s v="35-927-4986"/>
    <x v="322"/>
    <d v="2024-10-12T00:00:00"/>
    <d v="2026-04-06T00:00:00"/>
    <n v="80"/>
    <n v="100"/>
    <n v="48"/>
    <n v="12"/>
    <n v="100"/>
    <n v="28"/>
    <n v="-1.1100000000000001"/>
    <n v="960"/>
    <n v="1200"/>
    <s v="REORDER"/>
    <s v="Expired"/>
    <n v="597"/>
  </r>
  <r>
    <x v="21"/>
    <x v="0"/>
    <s v="Photospace"/>
    <s v="41 Nelson Center"/>
    <x v="1"/>
    <s v="13-980-8804"/>
    <s v="20-608-1290"/>
    <x v="323"/>
    <d v="2024-10-01T00:00:00"/>
    <d v="2027-02-10T00:00:00"/>
    <n v="100"/>
    <n v="3"/>
    <n v="32"/>
    <n v="2"/>
    <n v="98"/>
    <n v="91"/>
    <n v="0.72"/>
    <n v="200"/>
    <n v="196"/>
    <s v="OK"/>
    <s v="Ok"/>
    <n v="608"/>
  </r>
  <r>
    <x v="42"/>
    <x v="0"/>
    <s v="Blognation"/>
    <s v="2633 Shasta Alley"/>
    <x v="1"/>
    <s v="68-977-6854"/>
    <s v="73-830-9633"/>
    <x v="323"/>
    <d v="2024-07-29T00:00:00"/>
    <d v="2026-03-02T00:00:00"/>
    <n v="90"/>
    <n v="30"/>
    <n v="42"/>
    <n v="5"/>
    <n v="76"/>
    <n v="69"/>
    <n v="7.0000000000000007E-2"/>
    <n v="450"/>
    <n v="380"/>
    <s v="OK"/>
    <s v="Expired"/>
    <n v="672"/>
  </r>
  <r>
    <x v="115"/>
    <x v="2"/>
    <s v="Npath"/>
    <s v="904 Del Mar Crossing"/>
    <x v="2"/>
    <s v="90-773-9557"/>
    <s v="02-165-5779"/>
    <x v="324"/>
    <d v="2024-06-30T00:00:00"/>
    <d v="2026-06-12T00:00:00"/>
    <n v="85"/>
    <n v="28"/>
    <n v="21"/>
    <n v="3"/>
    <n v="45"/>
    <n v="89"/>
    <n v="0.09"/>
    <n v="255"/>
    <n v="135"/>
    <s v="OK"/>
    <s v="Expiring Soon"/>
    <n v="701"/>
  </r>
  <r>
    <x v="29"/>
    <x v="3"/>
    <s v="Jazzy"/>
    <s v="33774 Carberry Circle"/>
    <x v="2"/>
    <s v="89-328-9019"/>
    <s v="63-057-0462"/>
    <x v="324"/>
    <d v="2024-04-20T00:00:00"/>
    <d v="2026-12-08T00:00:00"/>
    <n v="63"/>
    <n v="43"/>
    <n v="8"/>
    <n v="1.5"/>
    <n v="55"/>
    <n v="72"/>
    <n v="-0.98"/>
    <n v="94.5"/>
    <n v="82.5"/>
    <s v="OK"/>
    <s v="Ok"/>
    <n v="772"/>
  </r>
  <r>
    <x v="75"/>
    <x v="2"/>
    <s v="Dynava"/>
    <s v="2 Barby Lane"/>
    <x v="0"/>
    <s v="59-075-2457"/>
    <s v="18-733-2453"/>
    <x v="325"/>
    <d v="2025-02-03T00:00:00"/>
    <d v="2026-11-10T00:00:00"/>
    <n v="97"/>
    <n v="26"/>
    <n v="15"/>
    <n v="2.5"/>
    <n v="33"/>
    <n v="58"/>
    <n v="-0.31"/>
    <n v="242.5"/>
    <n v="82.5"/>
    <s v="OK"/>
    <s v="Ok"/>
    <n v="483"/>
  </r>
  <r>
    <x v="111"/>
    <x v="5"/>
    <s v="Ozu"/>
    <s v="44638 Corscot Lane"/>
    <x v="1"/>
    <s v="31-627-6025"/>
    <s v="17-084-8551"/>
    <x v="326"/>
    <d v="2024-09-03T00:00:00"/>
    <d v="2027-01-20T00:00:00"/>
    <n v="56"/>
    <n v="62"/>
    <n v="64"/>
    <n v="2.5"/>
    <n v="56"/>
    <n v="73"/>
    <n v="-0.76"/>
    <n v="140"/>
    <n v="140"/>
    <s v="REORDER"/>
    <s v="Ok"/>
    <n v="636"/>
  </r>
  <r>
    <x v="47"/>
    <x v="4"/>
    <s v="Flipbug"/>
    <s v="4 Jay Terrace"/>
    <x v="0"/>
    <s v="28-824-9017"/>
    <s v="93-712-3934"/>
    <x v="326"/>
    <d v="2024-06-08T00:00:00"/>
    <d v="2026-06-14T00:00:00"/>
    <n v="19"/>
    <n v="94"/>
    <n v="17"/>
    <n v="11.5"/>
    <n v="96"/>
    <n v="74"/>
    <n v="-0.3"/>
    <n v="218.5"/>
    <n v="1104"/>
    <s v="REORDER"/>
    <s v="Expiring Soon"/>
    <n v="723"/>
  </r>
  <r>
    <x v="39"/>
    <x v="1"/>
    <s v="Miboo"/>
    <s v="49476 Tony Hill"/>
    <x v="0"/>
    <s v="06-858-5680"/>
    <s v="63-231-2829"/>
    <x v="326"/>
    <d v="2025-01-12T00:00:00"/>
    <d v="2027-01-16T00:00:00"/>
    <n v="15"/>
    <n v="34"/>
    <n v="57"/>
    <n v="6.5"/>
    <n v="49"/>
    <n v="96"/>
    <n v="0.23"/>
    <n v="97.5"/>
    <n v="318.5"/>
    <s v="REORDER"/>
    <s v="Ok"/>
    <n v="505"/>
  </r>
  <r>
    <x v="46"/>
    <x v="0"/>
    <s v="Photojam"/>
    <s v="3645 Ridge Oak Drive"/>
    <x v="1"/>
    <s v="38-732-7667"/>
    <s v="88-663-3393"/>
    <x v="327"/>
    <d v="2024-10-13T00:00:00"/>
    <d v="2026-09-28T00:00:00"/>
    <n v="18"/>
    <n v="52"/>
    <n v="22"/>
    <n v="3.5"/>
    <n v="42"/>
    <n v="32"/>
    <n v="-0.96"/>
    <n v="63"/>
    <n v="147"/>
    <s v="REORDER"/>
    <s v="Ok"/>
    <n v="596"/>
  </r>
  <r>
    <x v="105"/>
    <x v="6"/>
    <s v="Thoughtsphere"/>
    <s v="20073 Northfield Way"/>
    <x v="0"/>
    <s v="85-237-3505"/>
    <s v="92-296-1266"/>
    <x v="327"/>
    <d v="2024-11-13T00:00:00"/>
    <d v="2026-11-03T00:00:00"/>
    <n v="88"/>
    <n v="50"/>
    <n v="88"/>
    <n v="8"/>
    <n v="78"/>
    <n v="28"/>
    <n v="0.24"/>
    <n v="704"/>
    <n v="624"/>
    <s v="OK"/>
    <s v="Ok"/>
    <n v="565"/>
  </r>
  <r>
    <x v="76"/>
    <x v="3"/>
    <s v="Skipfire"/>
    <s v="955 4th Road"/>
    <x v="0"/>
    <s v="73-117-6105"/>
    <s v="74-729-7466"/>
    <x v="327"/>
    <d v="2024-09-17T00:00:00"/>
    <d v="2027-01-23T00:00:00"/>
    <n v="44"/>
    <n v="48"/>
    <n v="77"/>
    <n v="2.5"/>
    <n v="67"/>
    <n v="79"/>
    <n v="0.64"/>
    <n v="110"/>
    <n v="167.5"/>
    <s v="REORDER"/>
    <s v="Ok"/>
    <n v="622"/>
  </r>
  <r>
    <x v="105"/>
    <x v="6"/>
    <s v="Fiveclub"/>
    <s v="226 Calypso Road"/>
    <x v="2"/>
    <s v="46-436-5351"/>
    <s v="07-471-0050"/>
    <x v="328"/>
    <d v="2024-09-30T00:00:00"/>
    <d v="2026-04-16T00:00:00"/>
    <n v="80"/>
    <n v="54"/>
    <n v="21"/>
    <n v="8.5"/>
    <n v="81"/>
    <n v="37"/>
    <n v="-0.18"/>
    <n v="680"/>
    <n v="688.5"/>
    <s v="OK"/>
    <s v="Expired"/>
    <n v="609"/>
  </r>
  <r>
    <x v="54"/>
    <x v="3"/>
    <s v="Babbleopia"/>
    <s v="3 Hermina Circle"/>
    <x v="2"/>
    <s v="56-303-5256"/>
    <s v="29-821-5359"/>
    <x v="328"/>
    <d v="2024-11-17T00:00:00"/>
    <d v="2026-03-21T00:00:00"/>
    <n v="58"/>
    <n v="24"/>
    <n v="25"/>
    <n v="10"/>
    <n v="75"/>
    <n v="26"/>
    <n v="0.54"/>
    <n v="580"/>
    <n v="750"/>
    <s v="OK"/>
    <s v="Expired"/>
    <n v="561"/>
  </r>
  <r>
    <x v="29"/>
    <x v="3"/>
    <s v="Roomm"/>
    <s v="561 Blue Bill Park Road"/>
    <x v="0"/>
    <s v="57-394-1587"/>
    <s v="59-595-7531"/>
    <x v="329"/>
    <d v="2025-02-17T00:00:00"/>
    <d v="2026-10-30T00:00:00"/>
    <n v="57"/>
    <n v="63"/>
    <n v="41"/>
    <n v="1.5"/>
    <n v="53"/>
    <n v="94"/>
    <n v="0.65"/>
    <n v="85.5"/>
    <n v="79.5"/>
    <s v="REORDER"/>
    <s v="Ok"/>
    <n v="469"/>
  </r>
  <r>
    <x v="50"/>
    <x v="4"/>
    <s v="Linklinks"/>
    <s v="05944 Scott Parkway"/>
    <x v="2"/>
    <s v="51-934-9117"/>
    <s v="34-389-9922"/>
    <x v="329"/>
    <d v="2024-07-28T00:00:00"/>
    <d v="2027-01-31T00:00:00"/>
    <n v="30"/>
    <n v="55"/>
    <n v="4"/>
    <n v="6"/>
    <n v="56"/>
    <n v="31"/>
    <n v="-0.77"/>
    <n v="180"/>
    <n v="336"/>
    <s v="REORDER"/>
    <s v="Ok"/>
    <n v="673"/>
  </r>
  <r>
    <x v="65"/>
    <x v="3"/>
    <s v="Thoughtblab"/>
    <s v="6 Acker Street"/>
    <x v="2"/>
    <s v="77-377-1659"/>
    <s v="64-674-3902"/>
    <x v="329"/>
    <d v="2025-01-22T00:00:00"/>
    <d v="2026-06-19T00:00:00"/>
    <n v="74"/>
    <n v="22"/>
    <n v="91"/>
    <n v="9.5"/>
    <n v="24"/>
    <n v="12"/>
    <n v="0.45"/>
    <n v="703"/>
    <n v="228"/>
    <s v="OK"/>
    <s v="Expiring Soon"/>
    <n v="495"/>
  </r>
  <r>
    <x v="106"/>
    <x v="2"/>
    <s v="Skidoo"/>
    <s v="739 Swallow Road"/>
    <x v="2"/>
    <s v="27-262-2437"/>
    <s v="05-181-2682"/>
    <x v="330"/>
    <d v="2024-11-20T00:00:00"/>
    <d v="2026-10-09T00:00:00"/>
    <n v="80"/>
    <n v="9"/>
    <n v="29"/>
    <n v="8.1"/>
    <n v="54"/>
    <n v="62"/>
    <n v="0.5"/>
    <n v="648"/>
    <n v="437.4"/>
    <s v="OK"/>
    <s v="Ok"/>
    <n v="558"/>
  </r>
  <r>
    <x v="30"/>
    <x v="0"/>
    <s v="Eire"/>
    <s v="2 Basil Street"/>
    <x v="2"/>
    <s v="71-085-4290"/>
    <s v="26-593-3478"/>
    <x v="330"/>
    <d v="2024-10-07T00:00:00"/>
    <d v="2026-12-04T00:00:00"/>
    <n v="31"/>
    <n v="98"/>
    <n v="72"/>
    <n v="1.8"/>
    <n v="91"/>
    <n v="29"/>
    <n v="-0.15"/>
    <n v="55.800000000000004"/>
    <n v="163.80000000000001"/>
    <s v="REORDER"/>
    <s v="Ok"/>
    <n v="602"/>
  </r>
  <r>
    <x v="104"/>
    <x v="0"/>
    <s v="Skalith"/>
    <s v="60241 Portage Point"/>
    <x v="0"/>
    <s v="87-675-1506"/>
    <s v="21-697-8128"/>
    <x v="330"/>
    <d v="2024-12-07T00:00:00"/>
    <d v="2026-05-21T00:00:00"/>
    <n v="31"/>
    <n v="89"/>
    <n v="7"/>
    <n v="5.9"/>
    <n v="46"/>
    <n v="54"/>
    <n v="0.68"/>
    <n v="182.9"/>
    <n v="271.40000000000003"/>
    <s v="REORDER"/>
    <s v="Expired"/>
    <n v="541"/>
  </r>
  <r>
    <x v="65"/>
    <x v="3"/>
    <s v="Eimbee"/>
    <s v="5426 Fordem Pass"/>
    <x v="1"/>
    <s v="77-224-2227"/>
    <s v="89-226-5813"/>
    <x v="330"/>
    <d v="2024-09-30T00:00:00"/>
    <d v="2026-10-26T00:00:00"/>
    <n v="75"/>
    <n v="46"/>
    <n v="75"/>
    <n v="9.5"/>
    <n v="43"/>
    <n v="77"/>
    <n v="-0.17"/>
    <n v="712.5"/>
    <n v="408.5"/>
    <s v="OK"/>
    <s v="Ok"/>
    <n v="609"/>
  </r>
  <r>
    <x v="21"/>
    <x v="0"/>
    <s v="Skibox"/>
    <s v="15 Veith Circle"/>
    <x v="1"/>
    <s v="94-658-4945"/>
    <s v="09-153-0763"/>
    <x v="331"/>
    <d v="2025-02-12T00:00:00"/>
    <d v="2026-05-08T00:00:00"/>
    <n v="65"/>
    <n v="10"/>
    <n v="81"/>
    <n v="2"/>
    <n v="71"/>
    <n v="61"/>
    <n v="-0.79"/>
    <n v="130"/>
    <n v="142"/>
    <s v="OK"/>
    <s v="Expired"/>
    <n v="474"/>
  </r>
  <r>
    <x v="14"/>
    <x v="0"/>
    <s v="Yakitri"/>
    <s v="1 Hudson Hill"/>
    <x v="0"/>
    <s v="15-562-3712"/>
    <s v="53-243-7800"/>
    <x v="331"/>
    <d v="2024-06-20T00:00:00"/>
    <d v="2026-10-28T00:00:00"/>
    <n v="33"/>
    <n v="89"/>
    <n v="15"/>
    <n v="2.5"/>
    <n v="90"/>
    <n v="52"/>
    <n v="0.14000000000000001"/>
    <n v="82.5"/>
    <n v="225"/>
    <s v="REORDER"/>
    <s v="Ok"/>
    <n v="711"/>
  </r>
  <r>
    <x v="9"/>
    <x v="2"/>
    <s v="Thoughtworks"/>
    <s v="15658 Talisman Lane"/>
    <x v="1"/>
    <s v="98-546-7398"/>
    <s v="37-921-2953"/>
    <x v="331"/>
    <d v="2024-05-03T00:00:00"/>
    <d v="2026-04-17T00:00:00"/>
    <n v="80"/>
    <n v="69"/>
    <n v="71"/>
    <n v="1.75"/>
    <n v="41"/>
    <n v="43"/>
    <n v="0.42"/>
    <n v="140"/>
    <n v="71.75"/>
    <s v="OK"/>
    <s v="Expired"/>
    <n v="759"/>
  </r>
  <r>
    <x v="16"/>
    <x v="2"/>
    <s v="Oyondu"/>
    <s v="35 Portage Road"/>
    <x v="0"/>
    <s v="36-177-0573"/>
    <s v="62-687-0951"/>
    <x v="331"/>
    <d v="2024-10-02T00:00:00"/>
    <d v="2026-04-13T00:00:00"/>
    <n v="92"/>
    <n v="1"/>
    <n v="23"/>
    <n v="2.5"/>
    <n v="78"/>
    <n v="36"/>
    <n v="-0.05"/>
    <n v="230"/>
    <n v="195"/>
    <s v="OK"/>
    <s v="Expired"/>
    <n v="607"/>
  </r>
  <r>
    <x v="92"/>
    <x v="3"/>
    <s v="Yamia"/>
    <s v="308 Doe Crossing Pass"/>
    <x v="0"/>
    <s v="39-358-3340"/>
    <s v="86-841-4440"/>
    <x v="331"/>
    <d v="2024-03-25T00:00:00"/>
    <d v="2026-03-14T00:00:00"/>
    <n v="71"/>
    <n v="60"/>
    <n v="62"/>
    <n v="4.5"/>
    <n v="60"/>
    <n v="63"/>
    <n v="0.54"/>
    <n v="319.5"/>
    <n v="270"/>
    <s v="OK"/>
    <s v="Expired"/>
    <n v="798"/>
  </r>
  <r>
    <x v="33"/>
    <x v="3"/>
    <s v="Mynte"/>
    <s v="127 Eliot Road"/>
    <x v="1"/>
    <s v="11-733-1756"/>
    <s v="27-970-8649"/>
    <x v="332"/>
    <d v="2024-11-27T00:00:00"/>
    <d v="2027-02-24T00:00:00"/>
    <n v="52"/>
    <n v="81"/>
    <n v="53"/>
    <n v="2"/>
    <n v="95"/>
    <n v="88"/>
    <n v="-0.05"/>
    <n v="104"/>
    <n v="190"/>
    <s v="REORDER"/>
    <s v="Ok"/>
    <n v="551"/>
  </r>
  <r>
    <x v="117"/>
    <x v="0"/>
    <s v="Buzzbean"/>
    <s v="3 Bunting Point"/>
    <x v="0"/>
    <s v="01-026-2772"/>
    <s v="20-532-0144"/>
    <x v="332"/>
    <d v="2024-06-11T00:00:00"/>
    <d v="2026-05-27T00:00:00"/>
    <n v="40"/>
    <n v="61"/>
    <n v="47"/>
    <n v="10"/>
    <n v="76"/>
    <n v="10"/>
    <n v="7.0000000000000007E-2"/>
    <n v="400"/>
    <n v="760"/>
    <s v="REORDER"/>
    <s v="Expired"/>
    <n v="720"/>
  </r>
  <r>
    <x v="43"/>
    <x v="1"/>
    <s v="Eidel"/>
    <s v="6 Harbort Hill"/>
    <x v="2"/>
    <s v="84-198-7276"/>
    <s v="34-158-6684"/>
    <x v="333"/>
    <d v="2025-01-16T00:00:00"/>
    <d v="2026-06-15T00:00:00"/>
    <n v="60"/>
    <n v="88"/>
    <n v="65"/>
    <n v="4"/>
    <n v="94"/>
    <n v="15"/>
    <n v="0.87"/>
    <n v="240"/>
    <n v="376"/>
    <s v="REORDER"/>
    <s v="Expiring Soon"/>
    <n v="501"/>
  </r>
  <r>
    <x v="119"/>
    <x v="4"/>
    <s v="Janyx"/>
    <s v="376 Reinke Court"/>
    <x v="1"/>
    <s v="56-810-0550"/>
    <s v="94-145-9423"/>
    <x v="333"/>
    <d v="2024-12-02T00:00:00"/>
    <d v="2026-09-04T00:00:00"/>
    <n v="71"/>
    <n v="7"/>
    <n v="6"/>
    <n v="7.5"/>
    <n v="52"/>
    <n v="68"/>
    <n v="0.84"/>
    <n v="532.5"/>
    <n v="390"/>
    <s v="OK"/>
    <s v="Ok"/>
    <n v="546"/>
  </r>
  <r>
    <x v="46"/>
    <x v="0"/>
    <s v="Yamia"/>
    <s v="3 Ronald Regan Center"/>
    <x v="0"/>
    <s v="40-751-8635"/>
    <s v="48-878-3021"/>
    <x v="334"/>
    <d v="2024-10-17T00:00:00"/>
    <d v="2026-03-05T00:00:00"/>
    <n v="44"/>
    <n v="80"/>
    <n v="84"/>
    <n v="3.4"/>
    <n v="96"/>
    <n v="68"/>
    <n v="-0.31"/>
    <n v="149.6"/>
    <n v="326.39999999999998"/>
    <s v="REORDER"/>
    <s v="Expired"/>
    <n v="592"/>
  </r>
  <r>
    <x v="52"/>
    <x v="3"/>
    <s v="Dabshots"/>
    <s v="43107 Schlimgen Circle"/>
    <x v="2"/>
    <s v="14-305-9690"/>
    <s v="13-457-9946"/>
    <x v="334"/>
    <d v="2024-06-29T00:00:00"/>
    <d v="2026-03-10T00:00:00"/>
    <n v="19"/>
    <n v="17"/>
    <n v="14"/>
    <n v="4.3"/>
    <n v="58"/>
    <n v="23"/>
    <n v="0.28999999999999998"/>
    <n v="81.7"/>
    <n v="249.39999999999998"/>
    <s v="OK"/>
    <s v="Expired"/>
    <n v="702"/>
  </r>
  <r>
    <x v="92"/>
    <x v="3"/>
    <s v="Yodo"/>
    <s v="28 Boyd Pass"/>
    <x v="2"/>
    <s v="83-727-0814"/>
    <s v="79-656-1990"/>
    <x v="334"/>
    <d v="2024-06-08T00:00:00"/>
    <d v="2026-06-05T00:00:00"/>
    <n v="11"/>
    <n v="87"/>
    <n v="64"/>
    <n v="4.5"/>
    <n v="29"/>
    <n v="6"/>
    <n v="0.6"/>
    <n v="49.5"/>
    <n v="130.5"/>
    <s v="REORDER"/>
    <s v="Expiring Soon"/>
    <n v="723"/>
  </r>
  <r>
    <x v="55"/>
    <x v="0"/>
    <s v="Tagopia"/>
    <s v="62238 Mallory Place"/>
    <x v="2"/>
    <s v="71-015-9181"/>
    <s v="56-196-9896"/>
    <x v="334"/>
    <d v="2024-08-27T00:00:00"/>
    <d v="2026-10-26T00:00:00"/>
    <n v="22"/>
    <n v="35"/>
    <n v="55"/>
    <n v="6"/>
    <n v="41"/>
    <n v="27"/>
    <n v="0.79"/>
    <n v="132"/>
    <n v="246"/>
    <s v="REORDER"/>
    <s v="Ok"/>
    <n v="643"/>
  </r>
  <r>
    <x v="12"/>
    <x v="0"/>
    <s v="Kanoodle"/>
    <s v="9516 Burrows Circle"/>
    <x v="0"/>
    <s v="51-572-5497"/>
    <s v="43-035-3382"/>
    <x v="335"/>
    <d v="2025-02-13T00:00:00"/>
    <d v="2026-04-28T00:00:00"/>
    <n v="15"/>
    <n v="44"/>
    <n v="88"/>
    <n v="3"/>
    <n v="56"/>
    <n v="12"/>
    <n v="0.34"/>
    <n v="45"/>
    <n v="168"/>
    <s v="REORDER"/>
    <s v="Expired"/>
    <n v="473"/>
  </r>
  <r>
    <x v="55"/>
    <x v="0"/>
    <s v="Innojam"/>
    <s v="1008 Welch Street"/>
    <x v="2"/>
    <s v="06-797-4963"/>
    <s v="41-821-0197"/>
    <x v="335"/>
    <d v="2024-08-15T00:00:00"/>
    <d v="2026-08-16T00:00:00"/>
    <n v="52"/>
    <n v="8"/>
    <n v="37"/>
    <n v="6"/>
    <n v="38"/>
    <n v="81"/>
    <n v="0.79"/>
    <n v="312"/>
    <n v="228"/>
    <s v="OK"/>
    <s v="Ok"/>
    <n v="655"/>
  </r>
  <r>
    <x v="8"/>
    <x v="2"/>
    <s v="Mydeo"/>
    <s v="1700 Briar Crest Parkway"/>
    <x v="1"/>
    <s v="42-141-5718"/>
    <s v="67-662-3444"/>
    <x v="336"/>
    <d v="2025-01-06T00:00:00"/>
    <d v="2026-12-26T00:00:00"/>
    <n v="100"/>
    <n v="31"/>
    <n v="43"/>
    <n v="9"/>
    <n v="88"/>
    <n v="52"/>
    <n v="-1.1299999999999999"/>
    <n v="900"/>
    <n v="792"/>
    <s v="OK"/>
    <s v="Ok"/>
    <n v="511"/>
  </r>
  <r>
    <x v="31"/>
    <x v="2"/>
    <s v="Jabbercube"/>
    <s v="53 Homewood Alley"/>
    <x v="2"/>
    <s v="37-606-0510"/>
    <s v="09-489-6314"/>
    <x v="336"/>
    <d v="2024-06-09T00:00:00"/>
    <d v="2026-11-09T00:00:00"/>
    <n v="18"/>
    <n v="64"/>
    <n v="86"/>
    <n v="1"/>
    <n v="73"/>
    <n v="38"/>
    <n v="0.41"/>
    <n v="18"/>
    <n v="73"/>
    <s v="REORDER"/>
    <s v="Ok"/>
    <n v="722"/>
  </r>
  <r>
    <x v="60"/>
    <x v="1"/>
    <s v="Aibox"/>
    <s v="43591 East Road"/>
    <x v="2"/>
    <s v="44-480-9446"/>
    <s v="35-000-6015"/>
    <x v="336"/>
    <d v="2025-02-19T00:00:00"/>
    <d v="2026-03-14T00:00:00"/>
    <n v="39"/>
    <n v="13"/>
    <n v="13"/>
    <n v="2.5"/>
    <n v="84"/>
    <n v="93"/>
    <n v="0.48"/>
    <n v="97.5"/>
    <n v="210"/>
    <s v="OK"/>
    <s v="Expired"/>
    <n v="467"/>
  </r>
  <r>
    <x v="70"/>
    <x v="6"/>
    <s v="Brainbox"/>
    <s v="79 Cardinal Court"/>
    <x v="2"/>
    <s v="78-237-0277"/>
    <s v="50-314-5433"/>
    <x v="337"/>
    <d v="2024-09-23T00:00:00"/>
    <d v="2027-01-13T00:00:00"/>
    <n v="46"/>
    <n v="27"/>
    <n v="76"/>
    <n v="5"/>
    <n v="64"/>
    <n v="96"/>
    <n v="-0.11"/>
    <n v="230"/>
    <n v="320"/>
    <s v="OK"/>
    <s v="Ok"/>
    <n v="616"/>
  </r>
  <r>
    <x v="112"/>
    <x v="0"/>
    <s v="Topicblab"/>
    <s v="26240 Maple Wood Place"/>
    <x v="0"/>
    <s v="87-997-0228"/>
    <s v="55-156-6528"/>
    <x v="337"/>
    <d v="2024-10-24T00:00:00"/>
    <d v="2026-12-27T00:00:00"/>
    <n v="71"/>
    <n v="4"/>
    <n v="37"/>
    <n v="3"/>
    <n v="81"/>
    <n v="25"/>
    <n v="-0.5"/>
    <n v="213"/>
    <n v="243"/>
    <s v="OK"/>
    <s v="Ok"/>
    <n v="585"/>
  </r>
  <r>
    <x v="19"/>
    <x v="3"/>
    <s v="Pixonyx"/>
    <s v="78 Forest Dale Road"/>
    <x v="1"/>
    <s v="42-674-3917"/>
    <s v="26-080-4944"/>
    <x v="337"/>
    <d v="2024-04-20T00:00:00"/>
    <d v="2026-06-06T00:00:00"/>
    <n v="41"/>
    <n v="76"/>
    <n v="47"/>
    <n v="2.65"/>
    <n v="50"/>
    <n v="50"/>
    <n v="0.69"/>
    <n v="108.64999999999999"/>
    <n v="132.5"/>
    <s v="REORDER"/>
    <s v="Expiring Soon"/>
    <n v="772"/>
  </r>
  <r>
    <x v="36"/>
    <x v="6"/>
    <s v="Yozio"/>
    <s v="25696 Westerfield Alley"/>
    <x v="2"/>
    <s v="28-185-7303"/>
    <s v="97-143-0641"/>
    <x v="337"/>
    <d v="2025-01-21T00:00:00"/>
    <d v="2026-10-22T00:00:00"/>
    <n v="59"/>
    <n v="31"/>
    <n v="3"/>
    <n v="10"/>
    <n v="48"/>
    <n v="51"/>
    <n v="0"/>
    <n v="590"/>
    <n v="480"/>
    <s v="OK"/>
    <s v="Ok"/>
    <n v="496"/>
  </r>
  <r>
    <x v="101"/>
    <x v="4"/>
    <s v="Fanoodle"/>
    <s v="56 Petterle Circle"/>
    <x v="2"/>
    <s v="45-852-2446"/>
    <s v="37-567-5710"/>
    <x v="337"/>
    <d v="2024-06-08T00:00:00"/>
    <d v="2026-11-29T00:00:00"/>
    <n v="73"/>
    <n v="12"/>
    <n v="28"/>
    <n v="15"/>
    <n v="89"/>
    <n v="92"/>
    <n v="-0.06"/>
    <n v="1095"/>
    <n v="1335"/>
    <s v="OK"/>
    <s v="Ok"/>
    <n v="723"/>
  </r>
  <r>
    <x v="101"/>
    <x v="4"/>
    <s v="Innojam"/>
    <s v="1247 Hoard Hill"/>
    <x v="2"/>
    <s v="56-831-6199"/>
    <s v="99-680-2351"/>
    <x v="338"/>
    <d v="2024-02-25T00:00:00"/>
    <d v="2026-08-14T00:00:00"/>
    <n v="49"/>
    <n v="48"/>
    <n v="62"/>
    <n v="15"/>
    <n v="96"/>
    <n v="37"/>
    <n v="-0.03"/>
    <n v="735"/>
    <n v="1440"/>
    <s v="OK"/>
    <s v="Ok"/>
    <n v="827"/>
  </r>
  <r>
    <x v="56"/>
    <x v="0"/>
    <s v="Twitternation"/>
    <s v="700 Northland Crossing"/>
    <x v="1"/>
    <s v="82-538-4809"/>
    <s v="74-357-2990"/>
    <x v="338"/>
    <d v="2024-11-05T00:00:00"/>
    <d v="2026-10-24T00:00:00"/>
    <n v="83"/>
    <n v="61"/>
    <n v="4"/>
    <n v="1"/>
    <n v="35"/>
    <n v="7"/>
    <n v="0.61"/>
    <n v="83"/>
    <n v="35"/>
    <s v="OK"/>
    <s v="Ok"/>
    <n v="573"/>
  </r>
  <r>
    <x v="63"/>
    <x v="0"/>
    <s v="Vinder"/>
    <s v="8 Heffernan Point"/>
    <x v="2"/>
    <s v="87-698-0944"/>
    <s v="73-717-0190"/>
    <x v="339"/>
    <d v="2024-08-27T00:00:00"/>
    <d v="2027-02-02T00:00:00"/>
    <n v="56"/>
    <n v="12"/>
    <n v="59"/>
    <n v="98.43"/>
    <n v="35"/>
    <n v="16"/>
    <n v="0.8"/>
    <n v="5512.08"/>
    <n v="3445.05"/>
    <s v="OK"/>
    <s v="Ok"/>
    <n v="643"/>
  </r>
  <r>
    <x v="96"/>
    <x v="0"/>
    <s v="Edgeclub"/>
    <s v="39 Dovetail Terrace"/>
    <x v="2"/>
    <s v="30-964-2694"/>
    <s v="42-976-2737"/>
    <x v="340"/>
    <d v="2024-05-12T00:00:00"/>
    <d v="2026-06-30T00:00:00"/>
    <n v="48"/>
    <n v="72"/>
    <n v="55"/>
    <n v="3"/>
    <n v="51"/>
    <n v="41"/>
    <n v="0.54"/>
    <n v="144"/>
    <n v="153"/>
    <s v="REORDER"/>
    <s v="Expiring Soon"/>
    <n v="750"/>
  </r>
  <r>
    <x v="84"/>
    <x v="3"/>
    <s v="Topicshots"/>
    <s v="5649 Vidon Plaza"/>
    <x v="2"/>
    <s v="09-335-7793"/>
    <s v="96-918-7047"/>
    <x v="340"/>
    <d v="2024-09-07T00:00:00"/>
    <d v="2026-06-01T00:00:00"/>
    <n v="66"/>
    <n v="19"/>
    <n v="20"/>
    <n v="2.4"/>
    <n v="30"/>
    <n v="49"/>
    <n v="0.2"/>
    <n v="158.4"/>
    <n v="72"/>
    <s v="OK"/>
    <s v="Expiring Soon"/>
    <n v="632"/>
  </r>
  <r>
    <x v="33"/>
    <x v="3"/>
    <s v="Zava"/>
    <s v="289 Longview Point"/>
    <x v="2"/>
    <s v="99-033-5661"/>
    <s v="32-458-6452"/>
    <x v="341"/>
    <d v="2025-01-27T00:00:00"/>
    <d v="2026-09-25T00:00:00"/>
    <n v="42"/>
    <n v="3"/>
    <n v="21"/>
    <n v="2"/>
    <n v="35"/>
    <n v="22"/>
    <n v="-0.63"/>
    <n v="84"/>
    <n v="70"/>
    <s v="OK"/>
    <s v="Ok"/>
    <n v="490"/>
  </r>
  <r>
    <x v="53"/>
    <x v="3"/>
    <s v="Shuffletag"/>
    <s v="46989 Crescent Oaks Junction"/>
    <x v="1"/>
    <s v="90-128-7973"/>
    <s v="91-417-6283"/>
    <x v="341"/>
    <d v="2024-10-31T00:00:00"/>
    <d v="2026-03-13T00:00:00"/>
    <n v="49"/>
    <n v="3"/>
    <n v="7"/>
    <n v="6.25"/>
    <n v="75"/>
    <n v="46"/>
    <n v="0.37"/>
    <n v="306.25"/>
    <n v="468.75"/>
    <s v="OK"/>
    <s v="Expired"/>
    <n v="578"/>
  </r>
  <r>
    <x v="27"/>
    <x v="4"/>
    <s v="Plajo"/>
    <s v="13799 Quincy Park"/>
    <x v="0"/>
    <s v="52-797-6961"/>
    <s v="75-793-8978"/>
    <x v="341"/>
    <d v="2024-06-07T00:00:00"/>
    <d v="2026-06-17T00:00:00"/>
    <n v="46"/>
    <n v="80"/>
    <n v="88"/>
    <n v="7"/>
    <n v="62"/>
    <n v="22"/>
    <n v="0.39"/>
    <n v="322"/>
    <n v="434"/>
    <s v="REORDER"/>
    <s v="Expiring Soon"/>
    <n v="724"/>
  </r>
  <r>
    <x v="28"/>
    <x v="3"/>
    <s v="Feedmix"/>
    <s v="05433 Towne Terrace"/>
    <x v="0"/>
    <s v="39-232-5341"/>
    <s v="23-319-2681"/>
    <x v="342"/>
    <d v="2024-10-24T00:00:00"/>
    <d v="2027-02-15T00:00:00"/>
    <n v="20"/>
    <n v="34"/>
    <n v="74"/>
    <n v="4.5"/>
    <n v="50"/>
    <n v="83"/>
    <n v="0.65"/>
    <n v="90"/>
    <n v="225"/>
    <s v="REORDER"/>
    <s v="Ok"/>
    <n v="585"/>
  </r>
  <r>
    <x v="49"/>
    <x v="2"/>
    <s v="Meevee"/>
    <s v="44 Kensington Road"/>
    <x v="0"/>
    <s v="46-931-6897"/>
    <s v="22-946-8052"/>
    <x v="342"/>
    <d v="2024-06-15T00:00:00"/>
    <d v="2026-09-15T00:00:00"/>
    <n v="29"/>
    <n v="32"/>
    <n v="26"/>
    <n v="2.5"/>
    <n v="64"/>
    <n v="85"/>
    <n v="-0.66"/>
    <n v="72.5"/>
    <n v="160"/>
    <s v="REORDER"/>
    <s v="Ok"/>
    <n v="716"/>
  </r>
  <r>
    <x v="49"/>
    <x v="2"/>
    <s v="Trilith"/>
    <s v="668 Claremont Place"/>
    <x v="0"/>
    <s v="56-937-8675"/>
    <s v="37-996-3243"/>
    <x v="342"/>
    <d v="2024-05-31T00:00:00"/>
    <d v="2026-12-08T00:00:00"/>
    <n v="62"/>
    <n v="91"/>
    <n v="14"/>
    <n v="2.5"/>
    <n v="41"/>
    <n v="77"/>
    <n v="-0.33"/>
    <n v="155"/>
    <n v="102.5"/>
    <s v="REORDER"/>
    <s v="Ok"/>
    <n v="731"/>
  </r>
  <r>
    <x v="27"/>
    <x v="4"/>
    <s v="Dynava"/>
    <s v="674 Ryan Alley"/>
    <x v="1"/>
    <s v="54-830-6971"/>
    <s v="94-006-6480"/>
    <x v="342"/>
    <d v="2024-12-25T00:00:00"/>
    <d v="2026-05-18T00:00:00"/>
    <n v="100"/>
    <n v="61"/>
    <n v="21"/>
    <n v="7"/>
    <n v="85"/>
    <n v="79"/>
    <n v="-0.88"/>
    <n v="700"/>
    <n v="595"/>
    <s v="OK"/>
    <s v="Expired"/>
    <n v="523"/>
  </r>
  <r>
    <x v="84"/>
    <x v="3"/>
    <s v="Kazu"/>
    <s v="00029 Fisk Point"/>
    <x v="0"/>
    <s v="90-865-9150"/>
    <s v="58-053-4926"/>
    <x v="343"/>
    <d v="2024-05-12T00:00:00"/>
    <d v="2026-07-09T00:00:00"/>
    <n v="28"/>
    <n v="24"/>
    <n v="97"/>
    <n v="2.5"/>
    <n v="82"/>
    <n v="5"/>
    <n v="7.0000000000000007E-2"/>
    <n v="70"/>
    <n v="205"/>
    <s v="OK"/>
    <s v="Ok"/>
    <n v="750"/>
  </r>
  <r>
    <x v="73"/>
    <x v="3"/>
    <s v="Geba"/>
    <s v="61224 Northridge Avenue"/>
    <x v="2"/>
    <s v="42-887-6557"/>
    <s v="49-092-2735"/>
    <x v="344"/>
    <d v="2024-07-10T00:00:00"/>
    <d v="2026-03-30T00:00:00"/>
    <n v="26"/>
    <n v="82"/>
    <n v="19"/>
    <n v="1.5"/>
    <n v="76"/>
    <n v="88"/>
    <n v="0.94"/>
    <n v="39"/>
    <n v="114"/>
    <s v="REORDER"/>
    <s v="Expired"/>
    <n v="691"/>
  </r>
  <r>
    <x v="3"/>
    <x v="0"/>
    <s v="Quinu"/>
    <s v="24385 Prentice Plaza"/>
    <x v="0"/>
    <s v="94-190-5193"/>
    <s v="95-778-2888"/>
    <x v="344"/>
    <d v="2024-11-21T00:00:00"/>
    <d v="2026-04-09T00:00:00"/>
    <n v="67"/>
    <n v="68"/>
    <n v="50"/>
    <n v="1.5"/>
    <n v="67"/>
    <n v="82"/>
    <n v="-0.16"/>
    <n v="100.5"/>
    <n v="100.5"/>
    <s v="REORDER"/>
    <s v="Expired"/>
    <n v="557"/>
  </r>
  <r>
    <x v="117"/>
    <x v="0"/>
    <s v="Kamba"/>
    <s v="052 Northland Trail"/>
    <x v="2"/>
    <s v="00-440-9568"/>
    <s v="43-605-2448"/>
    <x v="344"/>
    <d v="2024-09-04T00:00:00"/>
    <d v="2026-12-20T00:00:00"/>
    <n v="53"/>
    <n v="98"/>
    <n v="25"/>
    <n v="10"/>
    <n v="55"/>
    <n v="51"/>
    <n v="-0.22"/>
    <n v="530"/>
    <n v="550"/>
    <s v="REORDER"/>
    <s v="Ok"/>
    <n v="635"/>
  </r>
  <r>
    <x v="43"/>
    <x v="1"/>
    <s v="Babblestorm"/>
    <s v="0109 Stang Terrace"/>
    <x v="0"/>
    <s v="74-294-3760"/>
    <s v="81-233-6894"/>
    <x v="344"/>
    <d v="2024-11-30T00:00:00"/>
    <d v="2026-11-27T00:00:00"/>
    <n v="49"/>
    <n v="17"/>
    <n v="54"/>
    <n v="4"/>
    <n v="45"/>
    <n v="96"/>
    <n v="7.0000000000000007E-2"/>
    <n v="196"/>
    <n v="180"/>
    <s v="OK"/>
    <s v="Ok"/>
    <n v="548"/>
  </r>
  <r>
    <x v="9"/>
    <x v="2"/>
    <s v="Devpulse"/>
    <s v="8 Kensington Place"/>
    <x v="1"/>
    <s v="66-806-6051"/>
    <s v="19-875-5642"/>
    <x v="344"/>
    <d v="2024-07-01T00:00:00"/>
    <d v="2026-05-23T00:00:00"/>
    <n v="63"/>
    <n v="12"/>
    <n v="82"/>
    <n v="1.7"/>
    <n v="56"/>
    <n v="31"/>
    <n v="-1.1299999999999999"/>
    <n v="107.1"/>
    <n v="95.2"/>
    <s v="OK"/>
    <s v="Expired"/>
    <n v="700"/>
  </r>
  <r>
    <x v="102"/>
    <x v="0"/>
    <s v="Realblab"/>
    <s v="16 Elgar Point"/>
    <x v="0"/>
    <s v="81-844-2979"/>
    <s v="02-575-7332"/>
    <x v="345"/>
    <d v="2025-01-15T00:00:00"/>
    <d v="2026-05-11T00:00:00"/>
    <n v="73"/>
    <n v="87"/>
    <n v="46"/>
    <n v="4"/>
    <n v="47"/>
    <n v="67"/>
    <n v="0.45"/>
    <n v="292"/>
    <n v="188"/>
    <s v="REORDER"/>
    <s v="Expired"/>
    <n v="502"/>
  </r>
  <r>
    <x v="62"/>
    <x v="4"/>
    <s v="Viva"/>
    <s v="239 Anderson Court"/>
    <x v="0"/>
    <s v="80-072-8774"/>
    <s v="61-222-8413"/>
    <x v="345"/>
    <d v="2024-07-06T00:00:00"/>
    <d v="2026-10-15T00:00:00"/>
    <n v="89"/>
    <n v="95"/>
    <n v="41"/>
    <n v="18"/>
    <n v="76"/>
    <n v="96"/>
    <n v="-0.43"/>
    <n v="1602"/>
    <n v="1368"/>
    <s v="REORDER"/>
    <s v="Ok"/>
    <n v="695"/>
  </r>
  <r>
    <x v="104"/>
    <x v="0"/>
    <s v="Skimia"/>
    <s v="1 Havey Park"/>
    <x v="0"/>
    <s v="80-039-1261"/>
    <s v="37-994-7932"/>
    <x v="346"/>
    <d v="2024-11-28T00:00:00"/>
    <d v="2026-06-12T00:00:00"/>
    <n v="26"/>
    <n v="97"/>
    <n v="12"/>
    <n v="6"/>
    <n v="94"/>
    <n v="58"/>
    <n v="-0.26"/>
    <n v="156"/>
    <n v="564"/>
    <s v="REORDER"/>
    <s v="Expiring Soon"/>
    <n v="550"/>
  </r>
  <r>
    <x v="11"/>
    <x v="1"/>
    <s v="Twitterwire"/>
    <s v="938 Garrison Court"/>
    <x v="0"/>
    <s v="58-219-0241"/>
    <s v="42-523-1857"/>
    <x v="347"/>
    <d v="2024-05-12T00:00:00"/>
    <d v="2026-06-04T00:00:00"/>
    <n v="50"/>
    <n v="36"/>
    <n v="81"/>
    <n v="10"/>
    <n v="27"/>
    <n v="6"/>
    <n v="0.38"/>
    <n v="500"/>
    <n v="270"/>
    <s v="OK"/>
    <s v="Expiring Soon"/>
    <n v="750"/>
  </r>
  <r>
    <x v="87"/>
    <x v="4"/>
    <s v="Zoovu"/>
    <s v="21379 Stoughton Junction"/>
    <x v="2"/>
    <s v="94-528-8088"/>
    <s v="68-885-5553"/>
    <x v="347"/>
    <d v="2024-07-24T00:00:00"/>
    <d v="2026-03-08T00:00:00"/>
    <n v="43"/>
    <n v="7"/>
    <n v="63"/>
    <n v="9"/>
    <n v="66"/>
    <n v="71"/>
    <n v="0.78"/>
    <n v="387"/>
    <n v="594"/>
    <s v="OK"/>
    <s v="Expired"/>
    <n v="677"/>
  </r>
  <r>
    <x v="41"/>
    <x v="2"/>
    <s v="Avaveo"/>
    <s v="60 Towne Hill"/>
    <x v="2"/>
    <s v="95-349-0828"/>
    <s v="43-977-2343"/>
    <x v="348"/>
    <d v="2024-08-29T00:00:00"/>
    <d v="2027-02-06T00:00:00"/>
    <n v="97"/>
    <n v="57"/>
    <n v="84"/>
    <n v="7"/>
    <n v="95"/>
    <n v="28"/>
    <n v="-0.08"/>
    <n v="679"/>
    <n v="665"/>
    <s v="OK"/>
    <s v="Ok"/>
    <n v="641"/>
  </r>
  <r>
    <x v="47"/>
    <x v="4"/>
    <s v="Izio"/>
    <s v="96420 Briar Crest Lane"/>
    <x v="2"/>
    <s v="03-061-1344"/>
    <s v="85-211-5357"/>
    <x v="348"/>
    <d v="2024-07-19T00:00:00"/>
    <d v="2026-06-27T00:00:00"/>
    <n v="98"/>
    <n v="65"/>
    <n v="76"/>
    <n v="12"/>
    <n v="62"/>
    <n v="47"/>
    <n v="0.71"/>
    <n v="1176"/>
    <n v="744"/>
    <s v="OK"/>
    <s v="Expiring Soon"/>
    <n v="682"/>
  </r>
  <r>
    <x v="2"/>
    <x v="2"/>
    <s v="Yakidoo"/>
    <s v="0 Fordem Place"/>
    <x v="1"/>
    <s v="67-984-5368"/>
    <s v="39-714-7313"/>
    <x v="348"/>
    <d v="2024-10-04T00:00:00"/>
    <d v="2026-07-28T00:00:00"/>
    <n v="52"/>
    <n v="56"/>
    <n v="34"/>
    <n v="12"/>
    <n v="31"/>
    <n v="69"/>
    <n v="0.24"/>
    <n v="624"/>
    <n v="372"/>
    <s v="REORDER"/>
    <s v="Ok"/>
    <n v="605"/>
  </r>
  <r>
    <x v="120"/>
    <x v="3"/>
    <s v="Flipopia"/>
    <s v="365 Vera Terrace"/>
    <x v="2"/>
    <s v="44-782-1395"/>
    <s v="54-132-9762"/>
    <x v="349"/>
    <d v="2024-06-26T00:00:00"/>
    <d v="2026-11-17T00:00:00"/>
    <n v="72"/>
    <n v="72"/>
    <n v="68"/>
    <n v="1.5"/>
    <n v="39"/>
    <n v="78"/>
    <n v="-1.23"/>
    <n v="108"/>
    <n v="58.5"/>
    <s v="REORDER"/>
    <s v="Ok"/>
    <n v="705"/>
  </r>
  <r>
    <x v="56"/>
    <x v="0"/>
    <s v="Topdrive"/>
    <s v="43 Washington Street"/>
    <x v="0"/>
    <s v="75-927-9108"/>
    <s v="27-406-7972"/>
    <x v="349"/>
    <d v="2024-06-17T00:00:00"/>
    <d v="2026-07-02T00:00:00"/>
    <n v="24"/>
    <n v="32"/>
    <n v="17"/>
    <n v="1"/>
    <n v="55"/>
    <n v="72"/>
    <n v="-1"/>
    <n v="24"/>
    <n v="55"/>
    <s v="REORDER"/>
    <s v="Ok"/>
    <n v="714"/>
  </r>
  <r>
    <x v="94"/>
    <x v="0"/>
    <s v="Gigazoom"/>
    <s v="37 Browning Trail"/>
    <x v="0"/>
    <s v="78-614-4402"/>
    <s v="51-014-4287"/>
    <x v="350"/>
    <d v="2025-02-14T00:00:00"/>
    <d v="2026-04-25T00:00:00"/>
    <n v="81"/>
    <n v="99"/>
    <n v="28"/>
    <n v="2"/>
    <n v="20"/>
    <n v="85"/>
    <n v="-0.31"/>
    <n v="162"/>
    <n v="40"/>
    <s v="REORDER"/>
    <s v="Expired"/>
    <n v="4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AB06C-1290-4859-A4EF-0AFC7F8D6C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4" firstHeaderRow="1" firstDataRow="1" firstDataCol="1"/>
  <pivotFields count="24">
    <pivotField showAll="0"/>
    <pivotField axis="axisRow" showAll="0">
      <items count="8">
        <item x="5"/>
        <item x="6"/>
        <item x="2"/>
        <item x="0"/>
        <item x="3"/>
        <item x="1"/>
        <item x="4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numFmtId="14" showAll="0">
      <items count="3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22"/>
        <item x="223"/>
        <item x="224"/>
        <item x="225"/>
        <item x="226"/>
        <item x="19"/>
        <item x="20"/>
        <item x="21"/>
        <item x="22"/>
        <item x="23"/>
        <item x="24"/>
        <item x="25"/>
        <item x="26"/>
        <item x="27"/>
        <item x="2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9"/>
        <item x="30"/>
        <item x="31"/>
        <item x="32"/>
        <item x="33"/>
        <item x="34"/>
        <item x="35"/>
        <item x="36"/>
        <item x="37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8"/>
        <item x="39"/>
        <item x="40"/>
        <item x="41"/>
        <item x="42"/>
        <item x="43"/>
        <item x="44"/>
        <item x="45"/>
        <item x="46"/>
        <item x="4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48"/>
        <item x="49"/>
        <item x="50"/>
        <item x="51"/>
        <item x="52"/>
        <item x="53"/>
        <item x="54"/>
        <item x="55"/>
        <item x="56"/>
        <item x="57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58"/>
        <item x="59"/>
        <item x="60"/>
        <item x="61"/>
        <item x="62"/>
        <item x="63"/>
        <item x="64"/>
        <item x="65"/>
        <item x="66"/>
        <item x="6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68"/>
        <item x="69"/>
        <item x="70"/>
        <item x="71"/>
        <item x="72"/>
        <item x="73"/>
        <item x="74"/>
        <item x="75"/>
        <item x="76"/>
        <item x="77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78"/>
        <item x="79"/>
        <item x="80"/>
        <item x="81"/>
        <item x="82"/>
        <item x="83"/>
        <item x="84"/>
        <item x="85"/>
        <item x="86"/>
        <item x="87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88"/>
        <item x="89"/>
        <item x="90"/>
        <item x="91"/>
        <item x="92"/>
        <item x="93"/>
        <item x="94"/>
        <item x="95"/>
        <item x="96"/>
        <item x="97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98"/>
        <item x="99"/>
        <item x="100"/>
        <item x="101"/>
        <item x="102"/>
        <item x="103"/>
        <item x="104"/>
        <item x="105"/>
        <item x="106"/>
        <item x="107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08"/>
        <item x="109"/>
        <item x="110"/>
        <item x="111"/>
        <item x="112"/>
        <item x="113"/>
        <item x="114"/>
        <item x="115"/>
        <item x="116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11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1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umFmtId="14" showAll="0"/>
    <pivotField numFmtId="1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8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FD440-19A6-422B-BAE2-99EE84F266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2" firstDataCol="1"/>
  <pivotFields count="24">
    <pivotField dataField="1" showAll="0"/>
    <pivotField axis="axisRow" showAll="0">
      <items count="8">
        <item x="5"/>
        <item x="6"/>
        <item x="2"/>
        <item x="0"/>
        <item x="3"/>
        <item x="1"/>
        <item x="4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numFmtId="14" showAll="0">
      <items count="3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22"/>
        <item x="223"/>
        <item x="224"/>
        <item x="225"/>
        <item x="226"/>
        <item x="19"/>
        <item x="20"/>
        <item x="21"/>
        <item x="22"/>
        <item x="23"/>
        <item x="24"/>
        <item x="25"/>
        <item x="26"/>
        <item x="27"/>
        <item x="2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9"/>
        <item x="30"/>
        <item x="31"/>
        <item x="32"/>
        <item x="33"/>
        <item x="34"/>
        <item x="35"/>
        <item x="36"/>
        <item x="37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8"/>
        <item x="39"/>
        <item x="40"/>
        <item x="41"/>
        <item x="42"/>
        <item x="43"/>
        <item x="44"/>
        <item x="45"/>
        <item x="46"/>
        <item x="4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48"/>
        <item x="49"/>
        <item x="50"/>
        <item x="51"/>
        <item x="52"/>
        <item x="53"/>
        <item x="54"/>
        <item x="55"/>
        <item x="56"/>
        <item x="57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58"/>
        <item x="59"/>
        <item x="60"/>
        <item x="61"/>
        <item x="62"/>
        <item x="63"/>
        <item x="64"/>
        <item x="65"/>
        <item x="66"/>
        <item x="6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68"/>
        <item x="69"/>
        <item x="70"/>
        <item x="71"/>
        <item x="72"/>
        <item x="73"/>
        <item x="74"/>
        <item x="75"/>
        <item x="76"/>
        <item x="77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78"/>
        <item x="79"/>
        <item x="80"/>
        <item x="81"/>
        <item x="82"/>
        <item x="83"/>
        <item x="84"/>
        <item x="85"/>
        <item x="86"/>
        <item x="87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88"/>
        <item x="89"/>
        <item x="90"/>
        <item x="91"/>
        <item x="92"/>
        <item x="93"/>
        <item x="94"/>
        <item x="95"/>
        <item x="96"/>
        <item x="97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98"/>
        <item x="99"/>
        <item x="100"/>
        <item x="101"/>
        <item x="102"/>
        <item x="103"/>
        <item x="104"/>
        <item x="105"/>
        <item x="106"/>
        <item x="107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08"/>
        <item x="109"/>
        <item x="110"/>
        <item x="111"/>
        <item x="112"/>
        <item x="113"/>
        <item x="114"/>
        <item x="115"/>
        <item x="116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11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1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umFmtId="14" showAll="0"/>
    <pivotField numFmtId="1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Product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3C99C-A0DD-403C-B52C-117ACF45DBB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C55" firstHeaderRow="0" firstDataRow="1" firstDataCol="1"/>
  <pivotFields count="24">
    <pivotField dataField="1" showAll="0">
      <items count="122">
        <item x="57"/>
        <item x="65"/>
        <item x="7"/>
        <item x="95"/>
        <item x="42"/>
        <item x="20"/>
        <item x="28"/>
        <item x="68"/>
        <item x="11"/>
        <item x="63"/>
        <item x="92"/>
        <item x="0"/>
        <item x="77"/>
        <item x="53"/>
        <item x="70"/>
        <item x="117"/>
        <item x="29"/>
        <item x="102"/>
        <item x="76"/>
        <item x="115"/>
        <item x="109"/>
        <item x="82"/>
        <item x="56"/>
        <item x="91"/>
        <item x="3"/>
        <item x="14"/>
        <item x="10"/>
        <item x="8"/>
        <item x="107"/>
        <item x="37"/>
        <item x="64"/>
        <item x="81"/>
        <item x="6"/>
        <item x="85"/>
        <item x="103"/>
        <item x="97"/>
        <item x="49"/>
        <item x="30"/>
        <item x="13"/>
        <item x="110"/>
        <item x="45"/>
        <item x="75"/>
        <item x="79"/>
        <item x="16"/>
        <item x="18"/>
        <item x="83"/>
        <item x="41"/>
        <item x="4"/>
        <item x="89"/>
        <item x="59"/>
        <item x="66"/>
        <item x="94"/>
        <item x="26"/>
        <item x="105"/>
        <item x="87"/>
        <item x="100"/>
        <item x="116"/>
        <item x="80"/>
        <item x="24"/>
        <item x="23"/>
        <item x="86"/>
        <item x="5"/>
        <item x="40"/>
        <item x="32"/>
        <item x="73"/>
        <item x="119"/>
        <item x="22"/>
        <item x="31"/>
        <item x="118"/>
        <item x="98"/>
        <item x="69"/>
        <item x="93"/>
        <item x="44"/>
        <item x="48"/>
        <item x="12"/>
        <item x="38"/>
        <item x="114"/>
        <item x="2"/>
        <item x="67"/>
        <item x="43"/>
        <item x="15"/>
        <item x="96"/>
        <item x="46"/>
        <item x="51"/>
        <item x="55"/>
        <item x="99"/>
        <item x="84"/>
        <item x="120"/>
        <item x="33"/>
        <item x="17"/>
        <item x="36"/>
        <item x="74"/>
        <item x="101"/>
        <item x="50"/>
        <item x="39"/>
        <item x="61"/>
        <item x="34"/>
        <item x="25"/>
        <item x="90"/>
        <item x="104"/>
        <item x="60"/>
        <item x="52"/>
        <item x="21"/>
        <item x="106"/>
        <item x="27"/>
        <item x="88"/>
        <item x="47"/>
        <item x="62"/>
        <item x="113"/>
        <item x="1"/>
        <item x="112"/>
        <item x="58"/>
        <item x="111"/>
        <item x="72"/>
        <item x="78"/>
        <item x="71"/>
        <item x="35"/>
        <item x="19"/>
        <item x="54"/>
        <item x="9"/>
        <item x="108"/>
        <item t="default"/>
      </items>
    </pivotField>
    <pivotField showAll="0">
      <items count="8">
        <item x="5"/>
        <item x="6"/>
        <item x="2"/>
        <item x="0"/>
        <item x="3"/>
        <item x="1"/>
        <item x="4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numFmtId="14" showAll="0">
      <items count="3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22"/>
        <item x="223"/>
        <item x="224"/>
        <item x="225"/>
        <item x="226"/>
        <item x="19"/>
        <item x="20"/>
        <item x="21"/>
        <item x="22"/>
        <item x="23"/>
        <item x="24"/>
        <item x="25"/>
        <item x="26"/>
        <item x="27"/>
        <item x="2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9"/>
        <item x="30"/>
        <item x="31"/>
        <item x="32"/>
        <item x="33"/>
        <item x="34"/>
        <item x="35"/>
        <item x="36"/>
        <item x="37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8"/>
        <item x="39"/>
        <item x="40"/>
        <item x="41"/>
        <item x="42"/>
        <item x="43"/>
        <item x="44"/>
        <item x="45"/>
        <item x="46"/>
        <item x="4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48"/>
        <item x="49"/>
        <item x="50"/>
        <item x="51"/>
        <item x="52"/>
        <item x="53"/>
        <item x="54"/>
        <item x="55"/>
        <item x="56"/>
        <item x="57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58"/>
        <item x="59"/>
        <item x="60"/>
        <item x="61"/>
        <item x="62"/>
        <item x="63"/>
        <item x="64"/>
        <item x="65"/>
        <item x="66"/>
        <item x="6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68"/>
        <item x="69"/>
        <item x="70"/>
        <item x="71"/>
        <item x="72"/>
        <item x="73"/>
        <item x="74"/>
        <item x="75"/>
        <item x="76"/>
        <item x="77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78"/>
        <item x="79"/>
        <item x="80"/>
        <item x="81"/>
        <item x="82"/>
        <item x="83"/>
        <item x="84"/>
        <item x="85"/>
        <item x="86"/>
        <item x="87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88"/>
        <item x="89"/>
        <item x="90"/>
        <item x="91"/>
        <item x="92"/>
        <item x="93"/>
        <item x="94"/>
        <item x="95"/>
        <item x="96"/>
        <item x="97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98"/>
        <item x="99"/>
        <item x="100"/>
        <item x="101"/>
        <item x="102"/>
        <item x="103"/>
        <item x="104"/>
        <item x="105"/>
        <item x="106"/>
        <item x="107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08"/>
        <item x="109"/>
        <item x="110"/>
        <item x="111"/>
        <item x="112"/>
        <item x="113"/>
        <item x="114"/>
        <item x="115"/>
        <item x="116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11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1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umFmtId="14" showAll="0"/>
    <pivotField numFmtId="14" showAll="0"/>
    <pivotField showAll="0"/>
    <pivotField showAll="0"/>
    <pivotField showAll="0"/>
    <pivotField numFmtId="2"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3"/>
    <field x="22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_Name" fld="0" subtotal="count" baseField="0" baseItem="0"/>
    <dataField name="Sum of Stock_Value" fld="17" baseField="0" baseItem="0" numFmtId="164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C1CBF-E34C-496C-87E3-77F6C296C6DB}" name="Inventory_Table" displayName="Inventory_Table" ref="A1:V991" totalsRowShown="0" headerRowDxfId="22">
  <autoFilter ref="A1:V991" xr:uid="{731C1CBF-E34C-496C-87E3-77F6C296C6DB}"/>
  <tableColumns count="22">
    <tableColumn id="1" xr3:uid="{496A7323-FABE-4CCE-9C9E-24B77D714A1E}" name="Product_Name"/>
    <tableColumn id="2" xr3:uid="{83806C87-0020-43B6-8EF8-BC999ACAA9FC}" name="Catagory"/>
    <tableColumn id="3" xr3:uid="{D7CC085A-D6BD-4093-9FD4-C100FECD40DC}" name="Supplier_Name"/>
    <tableColumn id="4" xr3:uid="{FD8AFE3B-2131-4875-B545-A27E5927E642}" name="Warehouse_Location"/>
    <tableColumn id="5" xr3:uid="{B0752BD5-2FEA-4DED-B9EF-C2BADDB9E3FE}" name="Status"/>
    <tableColumn id="6" xr3:uid="{90D96519-D518-419B-895D-92AB1D69AD65}" name="Product_ID"/>
    <tableColumn id="7" xr3:uid="{AE02910C-A70F-48BD-87DE-DC72BBA12905}" name="Supplier_ID"/>
    <tableColumn id="27" xr3:uid="{29E48371-DD7C-4D24-9BDE-01455C8F0A2C}" name="1_Date_Received3" dataDxfId="21" totalsRowDxfId="20"/>
    <tableColumn id="9" xr3:uid="{1B0EA69D-7DA0-45F4-AA44-7F448AA5A442}" name="Last_Order_Date" dataDxfId="19" totalsRowDxfId="18"/>
    <tableColumn id="28" xr3:uid="{A49A06F0-5025-4148-8F81-68E88EBCF0DE}" name="1_Expiration_Date3" dataDxfId="17" totalsRowDxfId="16"/>
    <tableColumn id="11" xr3:uid="{99C03C22-7A94-41C0-B305-03A529B1C8C1}" name="Stock_Quantity"/>
    <tableColumn id="12" xr3:uid="{2EB23AC1-9163-4959-92F2-5225C2A13F63}" name="Reorder_Level"/>
    <tableColumn id="13" xr3:uid="{0F6BC5FF-2953-4372-9ACB-7ABC5F98E0F7}" name="Reorder_Quantity"/>
    <tableColumn id="14" xr3:uid="{5073D8B6-917F-4C76-91BD-BF1C3E67C1E4}" name="Unit_Price" dataDxfId="15" totalsRowDxfId="14"/>
    <tableColumn id="15" xr3:uid="{75937E58-24F7-442E-86AA-8296405D6777}" name="Sales_Volume"/>
    <tableColumn id="16" xr3:uid="{9BE12850-B06E-4997-BEF4-B59987663B1B}" name="Inventory_Turnover_Rate"/>
    <tableColumn id="17" xr3:uid="{A792F2BF-8795-4CE2-9121-F6FF39C672FE}" name="percentage" dataDxfId="13" totalsRowDxfId="12"/>
    <tableColumn id="18" xr3:uid="{1A396365-C3C3-4287-8809-ED86A8C64F5F}" name="Stock_Value" dataDxfId="11" totalsRowDxfId="10">
      <calculatedColumnFormula>Inventory_Table[[#This Row],[Stock_Quantity]]*Inventory_Table[[#This Row],[Unit_Price]]</calculatedColumnFormula>
    </tableColumn>
    <tableColumn id="19" xr3:uid="{D588F144-86A6-426D-AD31-C2237FE75A63}" name="Revenue" dataDxfId="9" totalsRowDxfId="8">
      <calculatedColumnFormula>Inventory_Table[[#This Row],[Sales_Volume]]*Inventory_Table[[#This Row],[Unit_Price]]</calculatedColumnFormula>
    </tableColumn>
    <tableColumn id="20" xr3:uid="{3B1A1F3D-A618-41D7-9E7E-C1136EA971D5}" name="Reorder_Flag" dataDxfId="7" totalsRowDxfId="6">
      <calculatedColumnFormula>IF(Inventory_Table[[#This Row],[Stock_Quantity]]&lt;=Inventory_Table[[#This Row],[Reorder_Level]],"REORDER","OK")</calculatedColumnFormula>
    </tableColumn>
    <tableColumn id="29" xr3:uid="{16136477-184D-45E5-B0BE-FC04B7A32F57}" name="1_Expiry_Status"/>
    <tableColumn id="26" xr3:uid="{32D94047-3D9E-4062-91DB-2A7CA238621C}" name="Days_Since_Last_Order" dataDxfId="5" totalsRowDxfId="4">
      <calculatedColumnFormula>TODAY()-Inventory_Table[[#This Row],[Last_Order_Date]]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8133-7F42-460E-9A6A-62420D6B33F7}">
  <dimension ref="A1:Q991"/>
  <sheetViews>
    <sheetView workbookViewId="0">
      <selection activeCell="B2" sqref="B2:B573"/>
    </sheetView>
  </sheetViews>
  <sheetFormatPr defaultRowHeight="14.5" x14ac:dyDescent="0.35"/>
  <cols>
    <col min="1" max="1" width="17.81640625" bestFit="1" customWidth="1"/>
    <col min="2" max="2" width="16.81640625" bestFit="1" customWidth="1"/>
    <col min="3" max="3" width="13.6328125" bestFit="1" customWidth="1"/>
    <col min="4" max="4" width="28" bestFit="1" customWidth="1"/>
    <col min="5" max="5" width="11.7265625" bestFit="1" customWidth="1"/>
    <col min="6" max="7" width="11.08984375" bestFit="1" customWidth="1"/>
    <col min="8" max="8" width="13.1796875" bestFit="1" customWidth="1"/>
    <col min="9" max="9" width="15" bestFit="1" customWidth="1"/>
    <col min="10" max="10" width="14.26953125" bestFit="1" customWidth="1"/>
    <col min="11" max="11" width="13.453125" bestFit="1" customWidth="1"/>
    <col min="12" max="12" width="12.7265625" bestFit="1" customWidth="1"/>
    <col min="13" max="13" width="15.81640625" bestFit="1" customWidth="1"/>
    <col min="14" max="14" width="9.26953125" bestFit="1" customWidth="1"/>
    <col min="15" max="15" width="12.36328125" bestFit="1" customWidth="1"/>
    <col min="16" max="16" width="22.453125" bestFit="1" customWidth="1"/>
    <col min="17" max="17" width="10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45294</v>
      </c>
      <c r="I2" s="1">
        <v>45809</v>
      </c>
      <c r="J2" t="s">
        <v>24</v>
      </c>
      <c r="K2">
        <v>46</v>
      </c>
      <c r="L2">
        <v>64</v>
      </c>
      <c r="M2">
        <v>17</v>
      </c>
      <c r="N2" t="s">
        <v>25</v>
      </c>
      <c r="O2">
        <v>96</v>
      </c>
      <c r="P2">
        <v>55</v>
      </c>
      <c r="Q2" s="2">
        <v>1.9599999999999999E-2</v>
      </c>
    </row>
    <row r="3" spans="1:17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s="1">
        <v>45295</v>
      </c>
      <c r="I3" t="s">
        <v>33</v>
      </c>
      <c r="J3" s="1">
        <v>45602</v>
      </c>
      <c r="K3">
        <v>51</v>
      </c>
      <c r="L3">
        <v>87</v>
      </c>
      <c r="M3">
        <v>86</v>
      </c>
      <c r="N3" t="s">
        <v>34</v>
      </c>
      <c r="O3">
        <v>24</v>
      </c>
      <c r="P3">
        <v>83</v>
      </c>
      <c r="Q3" s="2">
        <v>9.1000000000000004E-3</v>
      </c>
    </row>
    <row r="4" spans="1:17" x14ac:dyDescent="0.35">
      <c r="A4" t="s">
        <v>35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s="1">
        <v>45295</v>
      </c>
      <c r="I4" t="s">
        <v>41</v>
      </c>
      <c r="J4" s="1">
        <v>45508</v>
      </c>
      <c r="K4">
        <v>38</v>
      </c>
      <c r="L4">
        <v>67</v>
      </c>
      <c r="M4">
        <v>66</v>
      </c>
      <c r="N4" t="s">
        <v>42</v>
      </c>
      <c r="O4">
        <v>35</v>
      </c>
      <c r="P4">
        <v>24</v>
      </c>
      <c r="Q4" s="2">
        <v>1.3599999999999999E-2</v>
      </c>
    </row>
    <row r="5" spans="1:17" x14ac:dyDescent="0.35">
      <c r="A5" t="s">
        <v>43</v>
      </c>
      <c r="B5" t="s">
        <v>18</v>
      </c>
      <c r="C5" t="s">
        <v>44</v>
      </c>
      <c r="D5" t="s">
        <v>45</v>
      </c>
      <c r="E5" t="s">
        <v>21</v>
      </c>
      <c r="F5" t="s">
        <v>46</v>
      </c>
      <c r="G5" t="s">
        <v>47</v>
      </c>
      <c r="H5" s="1">
        <v>45296</v>
      </c>
      <c r="I5" s="1">
        <v>45638</v>
      </c>
      <c r="J5" t="s">
        <v>48</v>
      </c>
      <c r="K5">
        <v>51</v>
      </c>
      <c r="L5">
        <v>60</v>
      </c>
      <c r="M5">
        <v>98</v>
      </c>
      <c r="N5" t="s">
        <v>49</v>
      </c>
      <c r="O5">
        <v>44</v>
      </c>
      <c r="P5">
        <v>95</v>
      </c>
      <c r="Q5" s="2">
        <v>1.3599999999999999E-2</v>
      </c>
    </row>
    <row r="6" spans="1:17" x14ac:dyDescent="0.35">
      <c r="A6" t="s">
        <v>50</v>
      </c>
      <c r="B6" t="s">
        <v>18</v>
      </c>
      <c r="C6" t="s">
        <v>51</v>
      </c>
      <c r="D6" t="s">
        <v>52</v>
      </c>
      <c r="E6" t="s">
        <v>21</v>
      </c>
      <c r="F6" t="s">
        <v>53</v>
      </c>
      <c r="G6" t="s">
        <v>54</v>
      </c>
      <c r="H6" s="1">
        <v>45296</v>
      </c>
      <c r="I6" t="s">
        <v>55</v>
      </c>
      <c r="J6" t="s">
        <v>56</v>
      </c>
      <c r="K6">
        <v>27</v>
      </c>
      <c r="L6">
        <v>22</v>
      </c>
      <c r="M6">
        <v>89</v>
      </c>
      <c r="N6" t="s">
        <v>57</v>
      </c>
      <c r="O6">
        <v>91</v>
      </c>
      <c r="P6">
        <v>77</v>
      </c>
      <c r="Q6" s="2">
        <v>2.1700000000000001E-2</v>
      </c>
    </row>
    <row r="7" spans="1:17" x14ac:dyDescent="0.35">
      <c r="A7" t="s">
        <v>58</v>
      </c>
      <c r="B7" t="s">
        <v>18</v>
      </c>
      <c r="C7" t="s">
        <v>59</v>
      </c>
      <c r="D7" t="s">
        <v>60</v>
      </c>
      <c r="E7" t="s">
        <v>30</v>
      </c>
      <c r="F7" t="s">
        <v>61</v>
      </c>
      <c r="G7" t="s">
        <v>62</v>
      </c>
      <c r="H7" s="1">
        <v>45296</v>
      </c>
      <c r="I7" s="1">
        <v>45481</v>
      </c>
      <c r="J7" s="1">
        <v>45451</v>
      </c>
      <c r="K7">
        <v>91</v>
      </c>
      <c r="L7">
        <v>6</v>
      </c>
      <c r="M7">
        <v>37</v>
      </c>
      <c r="N7" t="s">
        <v>63</v>
      </c>
      <c r="O7">
        <v>38</v>
      </c>
      <c r="P7">
        <v>70</v>
      </c>
      <c r="Q7" s="2">
        <v>2.5600000000000001E-2</v>
      </c>
    </row>
    <row r="8" spans="1:17" x14ac:dyDescent="0.3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s="1">
        <v>45296</v>
      </c>
      <c r="I8" t="s">
        <v>71</v>
      </c>
      <c r="J8" t="s">
        <v>72</v>
      </c>
      <c r="K8">
        <v>17</v>
      </c>
      <c r="L8">
        <v>85</v>
      </c>
      <c r="M8">
        <v>74</v>
      </c>
      <c r="N8" t="s">
        <v>73</v>
      </c>
      <c r="O8">
        <v>76</v>
      </c>
      <c r="P8">
        <v>89</v>
      </c>
      <c r="Q8" s="2">
        <v>2.3400000000000001E-2</v>
      </c>
    </row>
    <row r="9" spans="1:17" x14ac:dyDescent="0.35">
      <c r="A9" t="s">
        <v>74</v>
      </c>
      <c r="B9" t="s">
        <v>75</v>
      </c>
      <c r="C9" t="s">
        <v>76</v>
      </c>
      <c r="D9" t="s">
        <v>77</v>
      </c>
      <c r="E9" t="s">
        <v>21</v>
      </c>
      <c r="F9" t="s">
        <v>78</v>
      </c>
      <c r="G9" t="s">
        <v>79</v>
      </c>
      <c r="H9" s="1">
        <v>45297</v>
      </c>
      <c r="I9" t="s">
        <v>80</v>
      </c>
      <c r="J9" t="s">
        <v>81</v>
      </c>
      <c r="K9">
        <v>81</v>
      </c>
      <c r="L9">
        <v>22</v>
      </c>
      <c r="M9">
        <v>20</v>
      </c>
      <c r="N9" t="s">
        <v>82</v>
      </c>
      <c r="O9">
        <v>95</v>
      </c>
      <c r="P9">
        <v>77</v>
      </c>
      <c r="Q9" s="2">
        <v>2.1299999999999999E-2</v>
      </c>
    </row>
    <row r="10" spans="1:17" x14ac:dyDescent="0.35">
      <c r="A10" t="s">
        <v>83</v>
      </c>
      <c r="B10" t="s">
        <v>36</v>
      </c>
      <c r="C10" t="s">
        <v>84</v>
      </c>
      <c r="D10" t="s">
        <v>85</v>
      </c>
      <c r="E10" t="s">
        <v>68</v>
      </c>
      <c r="F10" t="s">
        <v>86</v>
      </c>
      <c r="G10" t="s">
        <v>87</v>
      </c>
      <c r="H10" s="1">
        <v>45297</v>
      </c>
      <c r="I10" s="1">
        <v>45357</v>
      </c>
      <c r="J10" s="1">
        <v>45476</v>
      </c>
      <c r="K10">
        <v>78</v>
      </c>
      <c r="L10">
        <v>24</v>
      </c>
      <c r="M10">
        <v>31</v>
      </c>
      <c r="N10" t="s">
        <v>88</v>
      </c>
      <c r="O10">
        <v>60</v>
      </c>
      <c r="P10">
        <v>41</v>
      </c>
      <c r="Q10" s="2">
        <v>2.7400000000000001E-2</v>
      </c>
    </row>
    <row r="11" spans="1:17" x14ac:dyDescent="0.35">
      <c r="A11" t="s">
        <v>89</v>
      </c>
      <c r="B11" t="s">
        <v>36</v>
      </c>
      <c r="C11" t="s">
        <v>90</v>
      </c>
      <c r="D11" t="s">
        <v>91</v>
      </c>
      <c r="E11" t="s">
        <v>30</v>
      </c>
      <c r="F11" t="s">
        <v>92</v>
      </c>
      <c r="G11" t="s">
        <v>93</v>
      </c>
      <c r="H11" s="1">
        <v>45297</v>
      </c>
      <c r="I11" s="1">
        <v>45546</v>
      </c>
      <c r="J11" t="s">
        <v>94</v>
      </c>
      <c r="K11">
        <v>55</v>
      </c>
      <c r="L11">
        <v>50</v>
      </c>
      <c r="M11">
        <v>56</v>
      </c>
      <c r="N11" t="s">
        <v>95</v>
      </c>
      <c r="O11">
        <v>62</v>
      </c>
      <c r="P11">
        <v>26</v>
      </c>
      <c r="Q11" s="2">
        <v>2.5600000000000001E-2</v>
      </c>
    </row>
    <row r="12" spans="1:17" x14ac:dyDescent="0.35">
      <c r="A12" t="s">
        <v>96</v>
      </c>
      <c r="B12" t="s">
        <v>36</v>
      </c>
      <c r="C12" t="s">
        <v>97</v>
      </c>
      <c r="D12" t="s">
        <v>98</v>
      </c>
      <c r="E12" t="s">
        <v>68</v>
      </c>
      <c r="F12" t="s">
        <v>99</v>
      </c>
      <c r="G12" t="s">
        <v>100</v>
      </c>
      <c r="H12" s="1">
        <v>45297</v>
      </c>
      <c r="I12" s="1">
        <v>45328</v>
      </c>
      <c r="J12" s="1">
        <v>45422</v>
      </c>
      <c r="K12">
        <v>60</v>
      </c>
      <c r="L12">
        <v>9</v>
      </c>
      <c r="M12">
        <v>89</v>
      </c>
      <c r="N12" t="s">
        <v>88</v>
      </c>
      <c r="O12">
        <v>95</v>
      </c>
      <c r="P12">
        <v>63</v>
      </c>
      <c r="Q12" s="2">
        <v>2.8299999999999999E-2</v>
      </c>
    </row>
    <row r="13" spans="1:17" x14ac:dyDescent="0.35">
      <c r="A13" t="s">
        <v>101</v>
      </c>
      <c r="B13" t="s">
        <v>27</v>
      </c>
      <c r="C13" t="s">
        <v>102</v>
      </c>
      <c r="D13" t="s">
        <v>103</v>
      </c>
      <c r="E13" t="s">
        <v>30</v>
      </c>
      <c r="F13" t="s">
        <v>104</v>
      </c>
      <c r="G13" t="s">
        <v>105</v>
      </c>
      <c r="H13" s="1">
        <v>45298</v>
      </c>
      <c r="I13" s="1">
        <v>45447</v>
      </c>
      <c r="J13" s="1">
        <v>45453</v>
      </c>
      <c r="K13">
        <v>53</v>
      </c>
      <c r="L13">
        <v>89</v>
      </c>
      <c r="M13">
        <v>100</v>
      </c>
      <c r="N13" t="s">
        <v>82</v>
      </c>
      <c r="O13">
        <v>22</v>
      </c>
      <c r="P13">
        <v>83</v>
      </c>
      <c r="Q13" s="2">
        <v>2.7900000000000001E-2</v>
      </c>
    </row>
    <row r="14" spans="1:17" x14ac:dyDescent="0.35">
      <c r="A14" t="s">
        <v>106</v>
      </c>
      <c r="B14" t="s">
        <v>18</v>
      </c>
      <c r="C14" t="s">
        <v>107</v>
      </c>
      <c r="D14" t="s">
        <v>108</v>
      </c>
      <c r="E14" t="s">
        <v>30</v>
      </c>
      <c r="F14" t="s">
        <v>109</v>
      </c>
      <c r="G14" t="s">
        <v>110</v>
      </c>
      <c r="H14" s="1">
        <v>45299</v>
      </c>
      <c r="I14" s="1">
        <v>45419</v>
      </c>
      <c r="J14" t="s">
        <v>111</v>
      </c>
      <c r="K14">
        <v>94</v>
      </c>
      <c r="L14">
        <v>58</v>
      </c>
      <c r="M14">
        <v>17</v>
      </c>
      <c r="N14" t="s">
        <v>112</v>
      </c>
      <c r="O14">
        <v>57</v>
      </c>
      <c r="P14">
        <v>74</v>
      </c>
      <c r="Q14" s="2">
        <v>2.3599999999999999E-2</v>
      </c>
    </row>
    <row r="15" spans="1:17" x14ac:dyDescent="0.35">
      <c r="A15" t="s">
        <v>113</v>
      </c>
      <c r="B15" t="s">
        <v>114</v>
      </c>
      <c r="C15" t="s">
        <v>115</v>
      </c>
      <c r="D15" t="s">
        <v>116</v>
      </c>
      <c r="E15" t="s">
        <v>30</v>
      </c>
      <c r="F15" t="s">
        <v>117</v>
      </c>
      <c r="G15" t="s">
        <v>118</v>
      </c>
      <c r="H15" s="1">
        <v>45300</v>
      </c>
      <c r="I15" t="s">
        <v>119</v>
      </c>
      <c r="J15" t="s">
        <v>120</v>
      </c>
      <c r="K15">
        <v>77</v>
      </c>
      <c r="L15">
        <v>79</v>
      </c>
      <c r="M15">
        <v>65</v>
      </c>
      <c r="N15" t="s">
        <v>121</v>
      </c>
      <c r="O15">
        <v>62</v>
      </c>
      <c r="P15">
        <v>75</v>
      </c>
      <c r="Q15" s="2">
        <v>2.69E-2</v>
      </c>
    </row>
    <row r="16" spans="1:17" x14ac:dyDescent="0.35">
      <c r="A16" t="s">
        <v>122</v>
      </c>
      <c r="B16" t="s">
        <v>18</v>
      </c>
      <c r="C16" t="s">
        <v>123</v>
      </c>
      <c r="D16" t="s">
        <v>124</v>
      </c>
      <c r="E16" t="s">
        <v>68</v>
      </c>
      <c r="F16" t="s">
        <v>125</v>
      </c>
      <c r="G16" t="s">
        <v>126</v>
      </c>
      <c r="H16" s="1">
        <v>45300</v>
      </c>
      <c r="I16" s="1">
        <v>45569</v>
      </c>
      <c r="J16" t="s">
        <v>127</v>
      </c>
      <c r="K16">
        <v>34</v>
      </c>
      <c r="L16">
        <v>92</v>
      </c>
      <c r="M16">
        <v>26</v>
      </c>
      <c r="N16" t="s">
        <v>128</v>
      </c>
      <c r="O16">
        <v>28</v>
      </c>
      <c r="P16">
        <v>71</v>
      </c>
      <c r="Q16" s="2">
        <v>2.6100000000000002E-2</v>
      </c>
    </row>
    <row r="17" spans="1:17" x14ac:dyDescent="0.35">
      <c r="A17" t="s">
        <v>129</v>
      </c>
      <c r="B17" t="s">
        <v>18</v>
      </c>
      <c r="C17" t="s">
        <v>130</v>
      </c>
      <c r="D17" t="s">
        <v>131</v>
      </c>
      <c r="E17" t="s">
        <v>21</v>
      </c>
      <c r="F17" t="s">
        <v>132</v>
      </c>
      <c r="G17" t="s">
        <v>133</v>
      </c>
      <c r="H17" s="1">
        <v>45300</v>
      </c>
      <c r="I17" s="1">
        <v>45325</v>
      </c>
      <c r="J17" t="s">
        <v>72</v>
      </c>
      <c r="K17">
        <v>79</v>
      </c>
      <c r="L17">
        <v>37</v>
      </c>
      <c r="M17">
        <v>98</v>
      </c>
      <c r="N17" t="s">
        <v>134</v>
      </c>
      <c r="O17">
        <v>33</v>
      </c>
      <c r="P17">
        <v>20</v>
      </c>
      <c r="Q17" s="2">
        <v>2.5399999999999999E-2</v>
      </c>
    </row>
    <row r="18" spans="1:17" x14ac:dyDescent="0.35">
      <c r="A18" t="s">
        <v>135</v>
      </c>
      <c r="B18" t="s">
        <v>36</v>
      </c>
      <c r="C18" t="s">
        <v>136</v>
      </c>
      <c r="D18" t="s">
        <v>137</v>
      </c>
      <c r="E18" t="s">
        <v>30</v>
      </c>
      <c r="F18" t="s">
        <v>138</v>
      </c>
      <c r="G18" t="s">
        <v>139</v>
      </c>
      <c r="H18" s="1">
        <v>45301</v>
      </c>
      <c r="I18" t="s">
        <v>140</v>
      </c>
      <c r="J18" t="s">
        <v>141</v>
      </c>
      <c r="K18">
        <v>76</v>
      </c>
      <c r="L18">
        <v>54</v>
      </c>
      <c r="M18">
        <v>76</v>
      </c>
      <c r="N18" t="s">
        <v>128</v>
      </c>
      <c r="O18">
        <v>69</v>
      </c>
      <c r="P18">
        <v>27</v>
      </c>
      <c r="Q18" s="2">
        <v>2.58E-2</v>
      </c>
    </row>
    <row r="19" spans="1:17" x14ac:dyDescent="0.35">
      <c r="A19" t="s">
        <v>142</v>
      </c>
      <c r="B19" t="s">
        <v>36</v>
      </c>
      <c r="C19" t="s">
        <v>143</v>
      </c>
      <c r="D19" t="s">
        <v>144</v>
      </c>
      <c r="E19" t="s">
        <v>68</v>
      </c>
      <c r="F19" t="s">
        <v>145</v>
      </c>
      <c r="G19" t="s">
        <v>146</v>
      </c>
      <c r="H19" s="1">
        <v>45301</v>
      </c>
      <c r="I19" s="1">
        <v>45358</v>
      </c>
      <c r="J19" t="s">
        <v>120</v>
      </c>
      <c r="K19">
        <v>50</v>
      </c>
      <c r="L19">
        <v>46</v>
      </c>
      <c r="M19">
        <v>38</v>
      </c>
      <c r="N19" t="s">
        <v>147</v>
      </c>
      <c r="O19">
        <v>88</v>
      </c>
      <c r="P19">
        <v>70</v>
      </c>
      <c r="Q19" s="2">
        <v>2.3199999999999998E-2</v>
      </c>
    </row>
    <row r="20" spans="1:17" x14ac:dyDescent="0.35">
      <c r="A20" t="s">
        <v>148</v>
      </c>
      <c r="B20" t="s">
        <v>18</v>
      </c>
      <c r="C20" t="s">
        <v>149</v>
      </c>
      <c r="D20" t="s">
        <v>150</v>
      </c>
      <c r="E20" t="s">
        <v>30</v>
      </c>
      <c r="F20" t="s">
        <v>151</v>
      </c>
      <c r="G20" t="s">
        <v>152</v>
      </c>
      <c r="H20" s="1">
        <v>45301</v>
      </c>
      <c r="I20" s="1">
        <v>45303</v>
      </c>
      <c r="J20" s="1">
        <v>45482</v>
      </c>
      <c r="K20">
        <v>25</v>
      </c>
      <c r="L20">
        <v>62</v>
      </c>
      <c r="M20">
        <v>11</v>
      </c>
      <c r="N20" t="s">
        <v>153</v>
      </c>
      <c r="O20">
        <v>57</v>
      </c>
      <c r="P20">
        <v>98</v>
      </c>
      <c r="Q20" s="2">
        <v>2.6700000000000002E-2</v>
      </c>
    </row>
    <row r="21" spans="1:17" x14ac:dyDescent="0.35">
      <c r="A21" t="s">
        <v>154</v>
      </c>
      <c r="B21" t="s">
        <v>65</v>
      </c>
      <c r="C21" t="s">
        <v>155</v>
      </c>
      <c r="D21" t="s">
        <v>156</v>
      </c>
      <c r="E21" t="s">
        <v>30</v>
      </c>
      <c r="F21" t="s">
        <v>157</v>
      </c>
      <c r="G21" t="s">
        <v>158</v>
      </c>
      <c r="H21" s="1">
        <v>45301</v>
      </c>
      <c r="I21" t="s">
        <v>159</v>
      </c>
      <c r="J21" t="s">
        <v>160</v>
      </c>
      <c r="K21">
        <v>38</v>
      </c>
      <c r="L21">
        <v>43</v>
      </c>
      <c r="M21">
        <v>28</v>
      </c>
      <c r="N21" t="s">
        <v>161</v>
      </c>
      <c r="O21">
        <v>34</v>
      </c>
      <c r="P21">
        <v>54</v>
      </c>
      <c r="Q21" s="2">
        <v>2.6100000000000002E-2</v>
      </c>
    </row>
    <row r="22" spans="1:17" x14ac:dyDescent="0.35">
      <c r="A22" t="s">
        <v>162</v>
      </c>
      <c r="B22" t="s">
        <v>163</v>
      </c>
      <c r="C22" t="s">
        <v>164</v>
      </c>
      <c r="D22" t="s">
        <v>165</v>
      </c>
      <c r="E22" t="s">
        <v>21</v>
      </c>
      <c r="F22" t="s">
        <v>166</v>
      </c>
      <c r="G22" t="s">
        <v>167</v>
      </c>
      <c r="H22" s="1">
        <v>45302</v>
      </c>
      <c r="I22" t="s">
        <v>168</v>
      </c>
      <c r="J22" s="1">
        <v>45509</v>
      </c>
      <c r="K22">
        <v>45</v>
      </c>
      <c r="L22">
        <v>77</v>
      </c>
      <c r="M22">
        <v>2</v>
      </c>
      <c r="N22" t="s">
        <v>169</v>
      </c>
      <c r="O22">
        <v>85</v>
      </c>
      <c r="P22">
        <v>1</v>
      </c>
      <c r="Q22" s="2">
        <v>2.5499999999999998E-2</v>
      </c>
    </row>
    <row r="23" spans="1:17" x14ac:dyDescent="0.35">
      <c r="A23" t="s">
        <v>170</v>
      </c>
      <c r="B23" t="s">
        <v>18</v>
      </c>
      <c r="C23" t="s">
        <v>171</v>
      </c>
      <c r="D23" t="s">
        <v>172</v>
      </c>
      <c r="E23" t="s">
        <v>68</v>
      </c>
      <c r="F23" t="s">
        <v>173</v>
      </c>
      <c r="G23" t="s">
        <v>174</v>
      </c>
      <c r="H23" s="1">
        <v>45303</v>
      </c>
      <c r="I23" t="s">
        <v>175</v>
      </c>
      <c r="J23" t="s">
        <v>176</v>
      </c>
      <c r="K23">
        <v>49</v>
      </c>
      <c r="L23">
        <v>1</v>
      </c>
      <c r="M23">
        <v>28</v>
      </c>
      <c r="N23" t="s">
        <v>34</v>
      </c>
      <c r="O23">
        <v>97</v>
      </c>
      <c r="P23">
        <v>95</v>
      </c>
      <c r="Q23" s="2">
        <v>2.5600000000000001E-2</v>
      </c>
    </row>
    <row r="24" spans="1:17" x14ac:dyDescent="0.35">
      <c r="A24" t="s">
        <v>177</v>
      </c>
      <c r="B24" t="s">
        <v>18</v>
      </c>
      <c r="C24" t="s">
        <v>178</v>
      </c>
      <c r="D24" t="s">
        <v>179</v>
      </c>
      <c r="E24" t="s">
        <v>30</v>
      </c>
      <c r="F24" t="s">
        <v>180</v>
      </c>
      <c r="G24" t="s">
        <v>181</v>
      </c>
      <c r="H24" s="1">
        <v>45325</v>
      </c>
      <c r="I24" s="1">
        <v>45511</v>
      </c>
      <c r="J24" s="1">
        <v>45607</v>
      </c>
      <c r="K24">
        <v>89</v>
      </c>
      <c r="L24">
        <v>92</v>
      </c>
      <c r="M24">
        <v>62</v>
      </c>
      <c r="N24" t="s">
        <v>182</v>
      </c>
      <c r="O24">
        <v>46</v>
      </c>
      <c r="P24">
        <v>11</v>
      </c>
      <c r="Q24" s="2">
        <v>2.5700000000000001E-2</v>
      </c>
    </row>
    <row r="25" spans="1:17" x14ac:dyDescent="0.35">
      <c r="A25" t="s">
        <v>183</v>
      </c>
      <c r="B25" t="s">
        <v>18</v>
      </c>
      <c r="C25" t="s">
        <v>149</v>
      </c>
      <c r="D25" t="s">
        <v>184</v>
      </c>
      <c r="E25" t="s">
        <v>30</v>
      </c>
      <c r="F25" t="s">
        <v>185</v>
      </c>
      <c r="G25" t="s">
        <v>186</v>
      </c>
      <c r="H25" s="1">
        <v>45325</v>
      </c>
      <c r="I25" t="s">
        <v>187</v>
      </c>
      <c r="J25" s="1">
        <v>45357</v>
      </c>
      <c r="K25">
        <v>47</v>
      </c>
      <c r="L25">
        <v>22</v>
      </c>
      <c r="M25">
        <v>69</v>
      </c>
      <c r="N25" t="s">
        <v>121</v>
      </c>
      <c r="O25">
        <v>26</v>
      </c>
      <c r="P25">
        <v>59</v>
      </c>
      <c r="Q25" s="2">
        <v>2.6200000000000001E-2</v>
      </c>
    </row>
    <row r="26" spans="1:17" x14ac:dyDescent="0.35">
      <c r="A26" t="s">
        <v>188</v>
      </c>
      <c r="B26" t="s">
        <v>65</v>
      </c>
      <c r="C26" t="s">
        <v>189</v>
      </c>
      <c r="D26" t="s">
        <v>190</v>
      </c>
      <c r="E26" t="s">
        <v>68</v>
      </c>
      <c r="F26" t="s">
        <v>191</v>
      </c>
      <c r="G26" t="s">
        <v>192</v>
      </c>
      <c r="H26" s="1">
        <v>45325</v>
      </c>
      <c r="I26" s="1">
        <v>45389</v>
      </c>
      <c r="J26" s="1">
        <v>45446</v>
      </c>
      <c r="K26">
        <v>53</v>
      </c>
      <c r="L26">
        <v>26</v>
      </c>
      <c r="M26">
        <v>3</v>
      </c>
      <c r="N26" t="s">
        <v>193</v>
      </c>
      <c r="O26">
        <v>100</v>
      </c>
      <c r="P26">
        <v>94</v>
      </c>
      <c r="Q26" s="2">
        <v>2.53E-2</v>
      </c>
    </row>
    <row r="27" spans="1:17" x14ac:dyDescent="0.35">
      <c r="A27" t="s">
        <v>194</v>
      </c>
      <c r="B27" t="s">
        <v>114</v>
      </c>
      <c r="C27" t="s">
        <v>195</v>
      </c>
      <c r="D27" t="s">
        <v>196</v>
      </c>
      <c r="E27" t="s">
        <v>21</v>
      </c>
      <c r="F27" t="s">
        <v>197</v>
      </c>
      <c r="G27" t="s">
        <v>198</v>
      </c>
      <c r="H27" s="1">
        <v>45326</v>
      </c>
      <c r="I27" s="1">
        <v>45571</v>
      </c>
      <c r="J27" t="s">
        <v>199</v>
      </c>
      <c r="K27">
        <v>65</v>
      </c>
      <c r="L27">
        <v>79</v>
      </c>
      <c r="M27">
        <v>49</v>
      </c>
      <c r="N27" t="s">
        <v>121</v>
      </c>
      <c r="O27">
        <v>100</v>
      </c>
      <c r="P27">
        <v>9</v>
      </c>
      <c r="Q27" s="2">
        <v>2.5000000000000001E-2</v>
      </c>
    </row>
    <row r="28" spans="1:17" x14ac:dyDescent="0.35">
      <c r="A28" t="s">
        <v>200</v>
      </c>
      <c r="B28" t="s">
        <v>163</v>
      </c>
      <c r="C28" t="s">
        <v>201</v>
      </c>
      <c r="D28" t="s">
        <v>202</v>
      </c>
      <c r="E28" t="s">
        <v>30</v>
      </c>
      <c r="F28" t="s">
        <v>203</v>
      </c>
      <c r="G28" t="s">
        <v>204</v>
      </c>
      <c r="H28" s="1">
        <v>45326</v>
      </c>
      <c r="I28" t="s">
        <v>205</v>
      </c>
      <c r="J28" t="s">
        <v>206</v>
      </c>
      <c r="K28">
        <v>90</v>
      </c>
      <c r="L28">
        <v>68</v>
      </c>
      <c r="M28">
        <v>74</v>
      </c>
      <c r="N28" t="s">
        <v>42</v>
      </c>
      <c r="O28">
        <v>81</v>
      </c>
      <c r="P28">
        <v>26</v>
      </c>
      <c r="Q28" s="2">
        <v>2.4299999999999999E-2</v>
      </c>
    </row>
    <row r="29" spans="1:17" x14ac:dyDescent="0.35">
      <c r="A29" t="s">
        <v>162</v>
      </c>
      <c r="B29" t="s">
        <v>163</v>
      </c>
      <c r="C29" t="s">
        <v>207</v>
      </c>
      <c r="D29" t="s">
        <v>208</v>
      </c>
      <c r="E29" t="s">
        <v>30</v>
      </c>
      <c r="F29" t="s">
        <v>209</v>
      </c>
      <c r="G29" t="s">
        <v>210</v>
      </c>
      <c r="H29" s="1">
        <v>45326</v>
      </c>
      <c r="I29" s="1">
        <v>45839</v>
      </c>
      <c r="J29" t="s">
        <v>211</v>
      </c>
      <c r="K29">
        <v>65</v>
      </c>
      <c r="L29">
        <v>63</v>
      </c>
      <c r="M29">
        <v>41</v>
      </c>
      <c r="N29" t="s">
        <v>169</v>
      </c>
      <c r="O29">
        <v>28</v>
      </c>
      <c r="P29">
        <v>26</v>
      </c>
      <c r="Q29" s="2">
        <v>2.58E-2</v>
      </c>
    </row>
    <row r="30" spans="1:17" x14ac:dyDescent="0.35">
      <c r="A30" t="s">
        <v>212</v>
      </c>
      <c r="B30" t="s">
        <v>75</v>
      </c>
      <c r="C30" t="s">
        <v>213</v>
      </c>
      <c r="D30" t="s">
        <v>214</v>
      </c>
      <c r="E30" t="s">
        <v>68</v>
      </c>
      <c r="F30" t="s">
        <v>215</v>
      </c>
      <c r="G30" t="s">
        <v>216</v>
      </c>
      <c r="H30" s="1">
        <v>45327</v>
      </c>
      <c r="I30" s="1">
        <v>45809</v>
      </c>
      <c r="J30" s="1">
        <v>45603</v>
      </c>
      <c r="K30">
        <v>30</v>
      </c>
      <c r="L30">
        <v>42</v>
      </c>
      <c r="M30">
        <v>8</v>
      </c>
      <c r="N30" t="s">
        <v>57</v>
      </c>
      <c r="O30">
        <v>48</v>
      </c>
      <c r="P30">
        <v>23</v>
      </c>
      <c r="Q30" s="2">
        <v>2.5700000000000001E-2</v>
      </c>
    </row>
    <row r="31" spans="1:17" x14ac:dyDescent="0.35">
      <c r="A31" t="s">
        <v>217</v>
      </c>
      <c r="B31" t="s">
        <v>65</v>
      </c>
      <c r="C31" t="s">
        <v>218</v>
      </c>
      <c r="D31" t="s">
        <v>219</v>
      </c>
      <c r="E31" t="s">
        <v>68</v>
      </c>
      <c r="F31" t="s">
        <v>220</v>
      </c>
      <c r="G31" t="s">
        <v>221</v>
      </c>
      <c r="H31" s="1">
        <v>45327</v>
      </c>
      <c r="I31" s="1">
        <v>45333</v>
      </c>
      <c r="J31" s="1">
        <v>45840</v>
      </c>
      <c r="K31">
        <v>34</v>
      </c>
      <c r="L31">
        <v>32</v>
      </c>
      <c r="M31">
        <v>22</v>
      </c>
      <c r="N31" t="s">
        <v>134</v>
      </c>
      <c r="O31">
        <v>42</v>
      </c>
      <c r="P31">
        <v>27</v>
      </c>
      <c r="Q31" s="2">
        <v>2.4500000000000001E-2</v>
      </c>
    </row>
    <row r="32" spans="1:17" x14ac:dyDescent="0.35">
      <c r="A32" t="s">
        <v>222</v>
      </c>
      <c r="B32" t="s">
        <v>65</v>
      </c>
      <c r="C32" t="s">
        <v>223</v>
      </c>
      <c r="D32" t="s">
        <v>224</v>
      </c>
      <c r="E32" t="s">
        <v>30</v>
      </c>
      <c r="F32" t="s">
        <v>225</v>
      </c>
      <c r="G32" t="s">
        <v>226</v>
      </c>
      <c r="H32" s="1">
        <v>45327</v>
      </c>
      <c r="I32" t="s">
        <v>227</v>
      </c>
      <c r="J32" s="1">
        <v>45419</v>
      </c>
      <c r="K32">
        <v>54</v>
      </c>
      <c r="L32">
        <v>78</v>
      </c>
      <c r="M32">
        <v>81</v>
      </c>
      <c r="N32" t="s">
        <v>49</v>
      </c>
      <c r="O32">
        <v>41</v>
      </c>
      <c r="P32">
        <v>63</v>
      </c>
      <c r="Q32" s="2">
        <v>2.3599999999999999E-2</v>
      </c>
    </row>
    <row r="33" spans="1:17" x14ac:dyDescent="0.35">
      <c r="A33" t="s">
        <v>228</v>
      </c>
      <c r="B33" t="s">
        <v>18</v>
      </c>
      <c r="C33" t="s">
        <v>229</v>
      </c>
      <c r="D33" t="s">
        <v>230</v>
      </c>
      <c r="E33" t="s">
        <v>68</v>
      </c>
      <c r="F33" t="s">
        <v>231</v>
      </c>
      <c r="G33" t="s">
        <v>232</v>
      </c>
      <c r="H33" s="1">
        <v>45327</v>
      </c>
      <c r="I33" t="s">
        <v>233</v>
      </c>
      <c r="J33" t="s">
        <v>234</v>
      </c>
      <c r="K33">
        <v>67</v>
      </c>
      <c r="L33">
        <v>14</v>
      </c>
      <c r="M33">
        <v>25</v>
      </c>
      <c r="N33" t="s">
        <v>235</v>
      </c>
      <c r="O33">
        <v>81</v>
      </c>
      <c r="P33">
        <v>77</v>
      </c>
      <c r="Q33" s="2">
        <v>2.3400000000000001E-2</v>
      </c>
    </row>
    <row r="34" spans="1:17" x14ac:dyDescent="0.35">
      <c r="A34" t="s">
        <v>83</v>
      </c>
      <c r="B34" t="s">
        <v>36</v>
      </c>
      <c r="C34" t="s">
        <v>19</v>
      </c>
      <c r="D34" t="s">
        <v>236</v>
      </c>
      <c r="E34" t="s">
        <v>30</v>
      </c>
      <c r="F34" t="s">
        <v>237</v>
      </c>
      <c r="G34" t="s">
        <v>238</v>
      </c>
      <c r="H34" s="1">
        <v>45328</v>
      </c>
      <c r="I34" t="s">
        <v>111</v>
      </c>
      <c r="J34" s="1">
        <v>45513</v>
      </c>
      <c r="K34">
        <v>50</v>
      </c>
      <c r="L34">
        <v>14</v>
      </c>
      <c r="M34">
        <v>6</v>
      </c>
      <c r="N34" t="s">
        <v>239</v>
      </c>
      <c r="O34">
        <v>60</v>
      </c>
      <c r="P34">
        <v>72</v>
      </c>
      <c r="Q34" s="2">
        <v>2.2200000000000001E-2</v>
      </c>
    </row>
    <row r="35" spans="1:17" x14ac:dyDescent="0.35">
      <c r="A35" t="s">
        <v>240</v>
      </c>
      <c r="B35" t="s">
        <v>36</v>
      </c>
      <c r="C35" t="s">
        <v>241</v>
      </c>
      <c r="D35" t="s">
        <v>242</v>
      </c>
      <c r="E35" t="s">
        <v>30</v>
      </c>
      <c r="F35" t="s">
        <v>243</v>
      </c>
      <c r="G35" t="s">
        <v>244</v>
      </c>
      <c r="H35" s="1">
        <v>45328</v>
      </c>
      <c r="I35" s="1">
        <v>45423</v>
      </c>
      <c r="J35" t="s">
        <v>245</v>
      </c>
      <c r="K35">
        <v>13</v>
      </c>
      <c r="L35">
        <v>39</v>
      </c>
      <c r="M35">
        <v>98</v>
      </c>
      <c r="N35" t="s">
        <v>246</v>
      </c>
      <c r="O35">
        <v>46</v>
      </c>
      <c r="P35">
        <v>46</v>
      </c>
      <c r="Q35" s="2">
        <v>1.9900000000000001E-2</v>
      </c>
    </row>
    <row r="36" spans="1:17" x14ac:dyDescent="0.35">
      <c r="A36" t="s">
        <v>247</v>
      </c>
      <c r="B36" t="s">
        <v>18</v>
      </c>
      <c r="C36" t="s">
        <v>248</v>
      </c>
      <c r="D36" t="s">
        <v>249</v>
      </c>
      <c r="E36" t="s">
        <v>30</v>
      </c>
      <c r="F36" t="s">
        <v>250</v>
      </c>
      <c r="G36" t="s">
        <v>251</v>
      </c>
      <c r="H36" s="1">
        <v>45328</v>
      </c>
      <c r="I36" s="1">
        <v>45361</v>
      </c>
      <c r="J36" t="s">
        <v>252</v>
      </c>
      <c r="K36">
        <v>18</v>
      </c>
      <c r="L36">
        <v>8</v>
      </c>
      <c r="M36">
        <v>68</v>
      </c>
      <c r="N36" t="s">
        <v>34</v>
      </c>
      <c r="O36">
        <v>54</v>
      </c>
      <c r="P36">
        <v>45</v>
      </c>
      <c r="Q36" s="2">
        <v>1.9900000000000001E-2</v>
      </c>
    </row>
    <row r="37" spans="1:17" x14ac:dyDescent="0.35">
      <c r="A37" t="s">
        <v>253</v>
      </c>
      <c r="B37" t="s">
        <v>65</v>
      </c>
      <c r="C37" t="s">
        <v>254</v>
      </c>
      <c r="D37" t="s">
        <v>255</v>
      </c>
      <c r="E37" t="s">
        <v>68</v>
      </c>
      <c r="F37" t="s">
        <v>256</v>
      </c>
      <c r="G37" t="s">
        <v>257</v>
      </c>
      <c r="H37" s="1">
        <v>45328</v>
      </c>
      <c r="I37" t="s">
        <v>258</v>
      </c>
      <c r="J37" s="1">
        <v>45421</v>
      </c>
      <c r="K37">
        <v>24</v>
      </c>
      <c r="L37">
        <v>2</v>
      </c>
      <c r="M37">
        <v>49</v>
      </c>
      <c r="N37" t="s">
        <v>34</v>
      </c>
      <c r="O37">
        <v>98</v>
      </c>
      <c r="P37">
        <v>82</v>
      </c>
      <c r="Q37" s="2">
        <v>1.9E-2</v>
      </c>
    </row>
    <row r="38" spans="1:17" x14ac:dyDescent="0.35">
      <c r="A38" t="s">
        <v>194</v>
      </c>
      <c r="B38" t="s">
        <v>114</v>
      </c>
      <c r="C38" t="s">
        <v>259</v>
      </c>
      <c r="D38" t="s">
        <v>260</v>
      </c>
      <c r="E38" t="s">
        <v>68</v>
      </c>
      <c r="F38" t="s">
        <v>261</v>
      </c>
      <c r="G38" t="s">
        <v>262</v>
      </c>
      <c r="H38" s="1">
        <v>45329</v>
      </c>
      <c r="I38" t="s">
        <v>263</v>
      </c>
      <c r="J38" t="s">
        <v>264</v>
      </c>
      <c r="K38">
        <v>40</v>
      </c>
      <c r="L38">
        <v>30</v>
      </c>
      <c r="M38">
        <v>65</v>
      </c>
      <c r="N38" t="s">
        <v>134</v>
      </c>
      <c r="O38">
        <v>54</v>
      </c>
      <c r="P38">
        <v>29</v>
      </c>
      <c r="Q38" s="2">
        <v>1.84E-2</v>
      </c>
    </row>
    <row r="39" spans="1:17" x14ac:dyDescent="0.35">
      <c r="A39" t="s">
        <v>83</v>
      </c>
      <c r="B39" t="s">
        <v>36</v>
      </c>
      <c r="C39" t="s">
        <v>265</v>
      </c>
      <c r="D39" t="s">
        <v>266</v>
      </c>
      <c r="E39" t="s">
        <v>68</v>
      </c>
      <c r="F39" t="s">
        <v>267</v>
      </c>
      <c r="G39" t="s">
        <v>268</v>
      </c>
      <c r="H39" s="1">
        <v>45330</v>
      </c>
      <c r="I39" s="1">
        <v>45636</v>
      </c>
      <c r="J39" t="s">
        <v>269</v>
      </c>
      <c r="K39">
        <v>53</v>
      </c>
      <c r="L39">
        <v>63</v>
      </c>
      <c r="M39">
        <v>2</v>
      </c>
      <c r="N39" t="s">
        <v>88</v>
      </c>
      <c r="O39">
        <v>56</v>
      </c>
      <c r="P39">
        <v>95</v>
      </c>
      <c r="Q39" s="2">
        <v>1.83E-2</v>
      </c>
    </row>
    <row r="40" spans="1:17" x14ac:dyDescent="0.35">
      <c r="A40" t="s">
        <v>270</v>
      </c>
      <c r="B40" t="s">
        <v>36</v>
      </c>
      <c r="C40" t="s">
        <v>271</v>
      </c>
      <c r="D40" t="s">
        <v>272</v>
      </c>
      <c r="E40" t="s">
        <v>68</v>
      </c>
      <c r="F40" t="s">
        <v>273</v>
      </c>
      <c r="G40" t="s">
        <v>274</v>
      </c>
      <c r="H40" s="1">
        <v>45330</v>
      </c>
      <c r="I40" t="s">
        <v>275</v>
      </c>
      <c r="J40" t="s">
        <v>276</v>
      </c>
      <c r="K40">
        <v>11</v>
      </c>
      <c r="L40">
        <v>30</v>
      </c>
      <c r="M40">
        <v>4</v>
      </c>
      <c r="N40" t="s">
        <v>121</v>
      </c>
      <c r="O40">
        <v>84</v>
      </c>
      <c r="P40">
        <v>4</v>
      </c>
      <c r="Q40" s="2">
        <v>1.77E-2</v>
      </c>
    </row>
    <row r="41" spans="1:17" x14ac:dyDescent="0.35">
      <c r="A41" t="s">
        <v>277</v>
      </c>
      <c r="B41" t="s">
        <v>114</v>
      </c>
      <c r="C41" t="s">
        <v>66</v>
      </c>
      <c r="D41" t="s">
        <v>278</v>
      </c>
      <c r="E41" t="s">
        <v>30</v>
      </c>
      <c r="F41" t="s">
        <v>279</v>
      </c>
      <c r="G41" t="s">
        <v>280</v>
      </c>
      <c r="H41" s="1">
        <v>45330</v>
      </c>
      <c r="I41" t="s">
        <v>281</v>
      </c>
      <c r="J41" t="s">
        <v>127</v>
      </c>
      <c r="K41">
        <v>17</v>
      </c>
      <c r="L41">
        <v>63</v>
      </c>
      <c r="M41">
        <v>3</v>
      </c>
      <c r="N41" t="s">
        <v>282</v>
      </c>
      <c r="O41">
        <v>93</v>
      </c>
      <c r="P41">
        <v>26</v>
      </c>
      <c r="Q41" s="2">
        <v>1.66E-2</v>
      </c>
    </row>
    <row r="42" spans="1:17" x14ac:dyDescent="0.35">
      <c r="A42" t="s">
        <v>283</v>
      </c>
      <c r="B42" t="s">
        <v>163</v>
      </c>
      <c r="C42" t="s">
        <v>284</v>
      </c>
      <c r="D42" t="s">
        <v>285</v>
      </c>
      <c r="E42" t="s">
        <v>21</v>
      </c>
      <c r="F42" t="s">
        <v>286</v>
      </c>
      <c r="G42" t="s">
        <v>287</v>
      </c>
      <c r="H42" s="1">
        <v>45330</v>
      </c>
      <c r="I42" t="s">
        <v>288</v>
      </c>
      <c r="J42" s="1">
        <v>45300</v>
      </c>
      <c r="K42">
        <v>14</v>
      </c>
      <c r="L42">
        <v>77</v>
      </c>
      <c r="M42">
        <v>78</v>
      </c>
      <c r="N42" t="s">
        <v>82</v>
      </c>
      <c r="O42">
        <v>32</v>
      </c>
      <c r="P42">
        <v>24</v>
      </c>
      <c r="Q42" s="2">
        <v>1.52E-2</v>
      </c>
    </row>
    <row r="43" spans="1:17" x14ac:dyDescent="0.35">
      <c r="A43" t="s">
        <v>289</v>
      </c>
      <c r="B43" t="s">
        <v>114</v>
      </c>
      <c r="C43" t="s">
        <v>290</v>
      </c>
      <c r="D43" t="s">
        <v>291</v>
      </c>
      <c r="E43" t="s">
        <v>68</v>
      </c>
      <c r="F43" t="s">
        <v>292</v>
      </c>
      <c r="G43" t="s">
        <v>293</v>
      </c>
      <c r="H43" s="1">
        <v>45330</v>
      </c>
      <c r="I43" t="s">
        <v>294</v>
      </c>
      <c r="J43" t="s">
        <v>295</v>
      </c>
      <c r="K43">
        <v>100</v>
      </c>
      <c r="L43">
        <v>1</v>
      </c>
      <c r="M43">
        <v>26</v>
      </c>
      <c r="N43" t="s">
        <v>73</v>
      </c>
      <c r="O43">
        <v>47</v>
      </c>
      <c r="P43">
        <v>79</v>
      </c>
      <c r="Q43" s="2">
        <v>1.32E-2</v>
      </c>
    </row>
    <row r="44" spans="1:17" x14ac:dyDescent="0.35">
      <c r="A44" t="s">
        <v>296</v>
      </c>
      <c r="B44" t="s">
        <v>27</v>
      </c>
      <c r="C44" t="s">
        <v>297</v>
      </c>
      <c r="D44" t="s">
        <v>298</v>
      </c>
      <c r="E44" t="s">
        <v>68</v>
      </c>
      <c r="F44" t="s">
        <v>299</v>
      </c>
      <c r="G44" t="s">
        <v>300</v>
      </c>
      <c r="H44" s="1">
        <v>45330</v>
      </c>
      <c r="I44" s="1">
        <v>45569</v>
      </c>
      <c r="J44" t="s">
        <v>301</v>
      </c>
      <c r="K44">
        <v>67</v>
      </c>
      <c r="L44">
        <v>57</v>
      </c>
      <c r="M44">
        <v>36</v>
      </c>
      <c r="N44" t="s">
        <v>235</v>
      </c>
      <c r="O44">
        <v>78</v>
      </c>
      <c r="P44">
        <v>60</v>
      </c>
      <c r="Q44" s="2">
        <v>1.21E-2</v>
      </c>
    </row>
    <row r="45" spans="1:17" x14ac:dyDescent="0.35">
      <c r="A45" t="s">
        <v>74</v>
      </c>
      <c r="B45" t="s">
        <v>75</v>
      </c>
      <c r="C45" t="s">
        <v>302</v>
      </c>
      <c r="D45" t="s">
        <v>303</v>
      </c>
      <c r="E45" t="s">
        <v>21</v>
      </c>
      <c r="F45" t="s">
        <v>304</v>
      </c>
      <c r="G45" t="s">
        <v>305</v>
      </c>
      <c r="H45" s="1">
        <v>45331</v>
      </c>
      <c r="I45" t="s">
        <v>306</v>
      </c>
      <c r="J45" t="s">
        <v>307</v>
      </c>
      <c r="K45">
        <v>60</v>
      </c>
      <c r="L45">
        <v>64</v>
      </c>
      <c r="M45">
        <v>36</v>
      </c>
      <c r="N45" t="s">
        <v>82</v>
      </c>
      <c r="O45">
        <v>34</v>
      </c>
      <c r="P45">
        <v>48</v>
      </c>
      <c r="Q45" s="2">
        <v>1.14E-2</v>
      </c>
    </row>
    <row r="46" spans="1:17" x14ac:dyDescent="0.35">
      <c r="A46" t="s">
        <v>308</v>
      </c>
      <c r="B46" t="s">
        <v>27</v>
      </c>
      <c r="C46" t="s">
        <v>102</v>
      </c>
      <c r="D46" t="s">
        <v>309</v>
      </c>
      <c r="E46" t="s">
        <v>21</v>
      </c>
      <c r="F46" t="s">
        <v>310</v>
      </c>
      <c r="G46" t="s">
        <v>311</v>
      </c>
      <c r="H46" s="1">
        <v>45331</v>
      </c>
      <c r="I46" s="1">
        <v>45416</v>
      </c>
      <c r="J46" t="s">
        <v>312</v>
      </c>
      <c r="K46">
        <v>45</v>
      </c>
      <c r="L46">
        <v>7</v>
      </c>
      <c r="M46">
        <v>58</v>
      </c>
      <c r="N46" t="s">
        <v>313</v>
      </c>
      <c r="O46">
        <v>86</v>
      </c>
      <c r="P46">
        <v>77</v>
      </c>
      <c r="Q46" s="2">
        <v>9.9000000000000008E-3</v>
      </c>
    </row>
    <row r="47" spans="1:17" x14ac:dyDescent="0.35">
      <c r="A47" t="s">
        <v>314</v>
      </c>
      <c r="B47" t="s">
        <v>18</v>
      </c>
      <c r="C47" t="s">
        <v>315</v>
      </c>
      <c r="D47" t="s">
        <v>316</v>
      </c>
      <c r="E47" t="s">
        <v>68</v>
      </c>
      <c r="F47" t="s">
        <v>317</v>
      </c>
      <c r="G47" t="s">
        <v>318</v>
      </c>
      <c r="H47" s="1">
        <v>45332</v>
      </c>
      <c r="I47" t="s">
        <v>319</v>
      </c>
      <c r="J47" s="1">
        <v>45447</v>
      </c>
      <c r="K47">
        <v>58</v>
      </c>
      <c r="L47">
        <v>5</v>
      </c>
      <c r="M47">
        <v>1</v>
      </c>
      <c r="N47" t="s">
        <v>34</v>
      </c>
      <c r="O47">
        <v>53</v>
      </c>
      <c r="P47">
        <v>80</v>
      </c>
      <c r="Q47" s="2">
        <v>8.0000000000000002E-3</v>
      </c>
    </row>
    <row r="48" spans="1:17" x14ac:dyDescent="0.35">
      <c r="A48" t="s">
        <v>320</v>
      </c>
      <c r="B48" t="s">
        <v>36</v>
      </c>
      <c r="C48" t="s">
        <v>321</v>
      </c>
      <c r="D48" t="s">
        <v>322</v>
      </c>
      <c r="E48" t="s">
        <v>21</v>
      </c>
      <c r="F48" t="s">
        <v>323</v>
      </c>
      <c r="G48" t="s">
        <v>324</v>
      </c>
      <c r="H48" s="1">
        <v>45332</v>
      </c>
      <c r="I48" t="s">
        <v>325</v>
      </c>
      <c r="J48" s="1">
        <v>45420</v>
      </c>
      <c r="K48">
        <v>98</v>
      </c>
      <c r="L48">
        <v>77</v>
      </c>
      <c r="M48">
        <v>7</v>
      </c>
      <c r="N48" t="s">
        <v>57</v>
      </c>
      <c r="O48">
        <v>92</v>
      </c>
      <c r="P48">
        <v>29</v>
      </c>
      <c r="Q48" s="2">
        <v>6.1999999999999998E-3</v>
      </c>
    </row>
    <row r="49" spans="1:17" x14ac:dyDescent="0.35">
      <c r="A49" t="s">
        <v>326</v>
      </c>
      <c r="B49" t="s">
        <v>18</v>
      </c>
      <c r="C49" t="s">
        <v>327</v>
      </c>
      <c r="D49" t="s">
        <v>328</v>
      </c>
      <c r="E49" t="s">
        <v>30</v>
      </c>
      <c r="F49" t="s">
        <v>329</v>
      </c>
      <c r="G49" t="s">
        <v>330</v>
      </c>
      <c r="H49" s="1">
        <v>45334</v>
      </c>
      <c r="I49" t="s">
        <v>24</v>
      </c>
      <c r="J49" t="s">
        <v>275</v>
      </c>
      <c r="K49">
        <v>42</v>
      </c>
      <c r="L49">
        <v>61</v>
      </c>
      <c r="M49">
        <v>52</v>
      </c>
      <c r="N49" t="s">
        <v>73</v>
      </c>
      <c r="O49">
        <v>86</v>
      </c>
      <c r="P49">
        <v>99</v>
      </c>
      <c r="Q49" s="2">
        <v>4.7000000000000002E-3</v>
      </c>
    </row>
    <row r="50" spans="1:17" x14ac:dyDescent="0.35">
      <c r="A50" t="s">
        <v>331</v>
      </c>
      <c r="B50" t="s">
        <v>27</v>
      </c>
      <c r="C50" t="s">
        <v>332</v>
      </c>
      <c r="D50" t="s">
        <v>333</v>
      </c>
      <c r="E50" t="s">
        <v>21</v>
      </c>
      <c r="F50" t="s">
        <v>334</v>
      </c>
      <c r="G50" t="s">
        <v>335</v>
      </c>
      <c r="H50" s="1">
        <v>45334</v>
      </c>
      <c r="I50" s="1">
        <v>45638</v>
      </c>
      <c r="J50" t="s">
        <v>336</v>
      </c>
      <c r="K50">
        <v>38</v>
      </c>
      <c r="L50">
        <v>62</v>
      </c>
      <c r="M50">
        <v>47</v>
      </c>
      <c r="N50" t="s">
        <v>121</v>
      </c>
      <c r="O50">
        <v>41</v>
      </c>
      <c r="P50">
        <v>34</v>
      </c>
      <c r="Q50" s="2">
        <v>3.7000000000000002E-3</v>
      </c>
    </row>
    <row r="51" spans="1:17" x14ac:dyDescent="0.35">
      <c r="A51" t="s">
        <v>337</v>
      </c>
      <c r="B51" t="s">
        <v>27</v>
      </c>
      <c r="C51" t="s">
        <v>338</v>
      </c>
      <c r="D51" t="s">
        <v>339</v>
      </c>
      <c r="E51" t="s">
        <v>21</v>
      </c>
      <c r="F51" t="s">
        <v>340</v>
      </c>
      <c r="G51" t="s">
        <v>341</v>
      </c>
      <c r="H51" s="1">
        <v>45354</v>
      </c>
      <c r="I51" t="s">
        <v>342</v>
      </c>
      <c r="J51" t="s">
        <v>343</v>
      </c>
      <c r="K51">
        <v>36</v>
      </c>
      <c r="L51">
        <v>3</v>
      </c>
      <c r="M51">
        <v>54</v>
      </c>
      <c r="N51" t="s">
        <v>344</v>
      </c>
      <c r="O51">
        <v>74</v>
      </c>
      <c r="P51">
        <v>8</v>
      </c>
      <c r="Q51" s="2">
        <v>2.0999999999999999E-3</v>
      </c>
    </row>
    <row r="52" spans="1:17" x14ac:dyDescent="0.35">
      <c r="A52" t="s">
        <v>154</v>
      </c>
      <c r="B52" t="s">
        <v>65</v>
      </c>
      <c r="C52" t="s">
        <v>345</v>
      </c>
      <c r="D52" t="s">
        <v>346</v>
      </c>
      <c r="E52" t="s">
        <v>68</v>
      </c>
      <c r="F52" t="s">
        <v>347</v>
      </c>
      <c r="G52" t="s">
        <v>348</v>
      </c>
      <c r="H52" s="1">
        <v>45355</v>
      </c>
      <c r="I52" t="s">
        <v>56</v>
      </c>
      <c r="J52" s="1">
        <v>45452</v>
      </c>
      <c r="K52">
        <v>67</v>
      </c>
      <c r="L52">
        <v>60</v>
      </c>
      <c r="M52">
        <v>21</v>
      </c>
      <c r="N52" t="s">
        <v>349</v>
      </c>
      <c r="O52">
        <v>30</v>
      </c>
      <c r="P52">
        <v>6</v>
      </c>
      <c r="Q52" s="3">
        <v>0.89</v>
      </c>
    </row>
    <row r="53" spans="1:17" x14ac:dyDescent="0.35">
      <c r="A53" t="s">
        <v>350</v>
      </c>
      <c r="B53" t="s">
        <v>36</v>
      </c>
      <c r="C53" t="s">
        <v>51</v>
      </c>
      <c r="D53" t="s">
        <v>351</v>
      </c>
      <c r="E53" t="s">
        <v>30</v>
      </c>
      <c r="F53" t="s">
        <v>352</v>
      </c>
      <c r="G53" t="s">
        <v>353</v>
      </c>
      <c r="H53" s="1">
        <v>45355</v>
      </c>
      <c r="I53" t="s">
        <v>354</v>
      </c>
      <c r="J53" t="s">
        <v>294</v>
      </c>
      <c r="K53">
        <v>37</v>
      </c>
      <c r="L53">
        <v>53</v>
      </c>
      <c r="M53">
        <v>61</v>
      </c>
      <c r="N53" t="s">
        <v>355</v>
      </c>
      <c r="O53">
        <v>90</v>
      </c>
      <c r="P53">
        <v>89</v>
      </c>
      <c r="Q53" s="3">
        <v>0.8</v>
      </c>
    </row>
    <row r="54" spans="1:17" x14ac:dyDescent="0.35">
      <c r="A54" t="s">
        <v>356</v>
      </c>
      <c r="B54" t="s">
        <v>18</v>
      </c>
      <c r="C54" t="s">
        <v>357</v>
      </c>
      <c r="D54" t="s">
        <v>358</v>
      </c>
      <c r="E54" t="s">
        <v>68</v>
      </c>
      <c r="F54" t="s">
        <v>359</v>
      </c>
      <c r="G54" t="s">
        <v>360</v>
      </c>
      <c r="H54" s="1">
        <v>45355</v>
      </c>
      <c r="I54" t="s">
        <v>361</v>
      </c>
      <c r="J54" s="1">
        <v>45993</v>
      </c>
      <c r="K54">
        <v>20</v>
      </c>
      <c r="L54">
        <v>51</v>
      </c>
      <c r="M54">
        <v>33</v>
      </c>
      <c r="N54" t="s">
        <v>282</v>
      </c>
      <c r="O54">
        <v>80</v>
      </c>
      <c r="P54">
        <v>41</v>
      </c>
      <c r="Q54" s="3">
        <v>0.01</v>
      </c>
    </row>
    <row r="55" spans="1:17" x14ac:dyDescent="0.35">
      <c r="A55" t="s">
        <v>188</v>
      </c>
      <c r="B55" t="s">
        <v>65</v>
      </c>
      <c r="C55" t="s">
        <v>362</v>
      </c>
      <c r="D55" t="s">
        <v>363</v>
      </c>
      <c r="E55" t="s">
        <v>21</v>
      </c>
      <c r="F55" t="s">
        <v>364</v>
      </c>
      <c r="G55" t="s">
        <v>365</v>
      </c>
      <c r="H55" s="1">
        <v>45355</v>
      </c>
      <c r="I55" s="1">
        <v>45569</v>
      </c>
      <c r="J55" t="s">
        <v>301</v>
      </c>
      <c r="K55">
        <v>62</v>
      </c>
      <c r="L55">
        <v>36</v>
      </c>
      <c r="M55">
        <v>96</v>
      </c>
      <c r="N55" t="s">
        <v>193</v>
      </c>
      <c r="O55">
        <v>31</v>
      </c>
      <c r="P55">
        <v>25</v>
      </c>
      <c r="Q55" s="3">
        <v>0.49</v>
      </c>
    </row>
    <row r="56" spans="1:17" x14ac:dyDescent="0.35">
      <c r="A56" t="s">
        <v>228</v>
      </c>
      <c r="B56" t="s">
        <v>18</v>
      </c>
      <c r="C56" t="s">
        <v>357</v>
      </c>
      <c r="D56" t="s">
        <v>366</v>
      </c>
      <c r="E56" t="s">
        <v>30</v>
      </c>
      <c r="F56" t="s">
        <v>367</v>
      </c>
      <c r="G56" t="s">
        <v>368</v>
      </c>
      <c r="H56" s="1">
        <v>45356</v>
      </c>
      <c r="I56" t="s">
        <v>369</v>
      </c>
      <c r="J56" s="1">
        <v>45446</v>
      </c>
      <c r="K56">
        <v>19</v>
      </c>
      <c r="L56">
        <v>36</v>
      </c>
      <c r="M56">
        <v>72</v>
      </c>
      <c r="N56" t="s">
        <v>370</v>
      </c>
      <c r="O56">
        <v>31</v>
      </c>
      <c r="P56">
        <v>81</v>
      </c>
      <c r="Q56" s="3">
        <v>0.19</v>
      </c>
    </row>
    <row r="57" spans="1:17" x14ac:dyDescent="0.35">
      <c r="A57" t="s">
        <v>371</v>
      </c>
      <c r="B57" t="s">
        <v>75</v>
      </c>
      <c r="C57" t="s">
        <v>372</v>
      </c>
      <c r="D57" t="s">
        <v>373</v>
      </c>
      <c r="E57" t="s">
        <v>68</v>
      </c>
      <c r="F57" t="s">
        <v>374</v>
      </c>
      <c r="G57" t="s">
        <v>375</v>
      </c>
      <c r="H57" s="1">
        <v>45356</v>
      </c>
      <c r="I57" t="s">
        <v>205</v>
      </c>
      <c r="J57" s="1">
        <v>45901</v>
      </c>
      <c r="K57">
        <v>29</v>
      </c>
      <c r="L57">
        <v>72</v>
      </c>
      <c r="M57">
        <v>96</v>
      </c>
      <c r="N57" t="s">
        <v>42</v>
      </c>
      <c r="O57">
        <v>85</v>
      </c>
      <c r="P57">
        <v>52</v>
      </c>
      <c r="Q57" s="3">
        <v>-1.61</v>
      </c>
    </row>
    <row r="58" spans="1:17" x14ac:dyDescent="0.35">
      <c r="A58" t="s">
        <v>376</v>
      </c>
      <c r="B58" t="s">
        <v>18</v>
      </c>
      <c r="C58" t="s">
        <v>377</v>
      </c>
      <c r="D58" t="s">
        <v>378</v>
      </c>
      <c r="E58" t="s">
        <v>21</v>
      </c>
      <c r="F58" t="s">
        <v>379</v>
      </c>
      <c r="G58" t="s">
        <v>380</v>
      </c>
      <c r="H58" s="1">
        <v>45356</v>
      </c>
      <c r="I58" s="1">
        <v>45392</v>
      </c>
      <c r="J58" t="s">
        <v>381</v>
      </c>
      <c r="K58">
        <v>34</v>
      </c>
      <c r="L58">
        <v>29</v>
      </c>
      <c r="M58">
        <v>65</v>
      </c>
      <c r="N58" t="s">
        <v>34</v>
      </c>
      <c r="O58">
        <v>90</v>
      </c>
      <c r="P58">
        <v>23</v>
      </c>
      <c r="Q58" s="3">
        <v>0.39</v>
      </c>
    </row>
    <row r="59" spans="1:17" x14ac:dyDescent="0.35">
      <c r="A59" t="s">
        <v>382</v>
      </c>
      <c r="B59" t="s">
        <v>36</v>
      </c>
      <c r="C59" t="s">
        <v>383</v>
      </c>
      <c r="D59" t="s">
        <v>384</v>
      </c>
      <c r="E59" t="s">
        <v>21</v>
      </c>
      <c r="F59" t="s">
        <v>385</v>
      </c>
      <c r="G59" t="s">
        <v>386</v>
      </c>
      <c r="H59" s="1">
        <v>45357</v>
      </c>
      <c r="I59" t="s">
        <v>387</v>
      </c>
      <c r="J59" t="s">
        <v>294</v>
      </c>
      <c r="K59">
        <v>92</v>
      </c>
      <c r="L59">
        <v>52</v>
      </c>
      <c r="M59">
        <v>80</v>
      </c>
      <c r="N59" t="s">
        <v>128</v>
      </c>
      <c r="O59">
        <v>72</v>
      </c>
      <c r="P59">
        <v>96</v>
      </c>
      <c r="Q59" s="3">
        <v>0.74</v>
      </c>
    </row>
    <row r="60" spans="1:17" x14ac:dyDescent="0.35">
      <c r="A60" t="s">
        <v>388</v>
      </c>
      <c r="B60" t="s">
        <v>75</v>
      </c>
      <c r="C60" t="s">
        <v>389</v>
      </c>
      <c r="D60" t="s">
        <v>390</v>
      </c>
      <c r="E60" t="s">
        <v>21</v>
      </c>
      <c r="F60" t="s">
        <v>391</v>
      </c>
      <c r="G60" t="s">
        <v>392</v>
      </c>
      <c r="H60" s="1">
        <v>45357</v>
      </c>
      <c r="I60" t="s">
        <v>48</v>
      </c>
      <c r="J60" t="s">
        <v>393</v>
      </c>
      <c r="K60">
        <v>33</v>
      </c>
      <c r="L60">
        <v>18</v>
      </c>
      <c r="M60">
        <v>92</v>
      </c>
      <c r="N60" t="s">
        <v>344</v>
      </c>
      <c r="O60">
        <v>98</v>
      </c>
      <c r="P60">
        <v>56</v>
      </c>
      <c r="Q60" s="3">
        <v>-0.33</v>
      </c>
    </row>
    <row r="61" spans="1:17" x14ac:dyDescent="0.35">
      <c r="A61" t="s">
        <v>194</v>
      </c>
      <c r="B61" t="s">
        <v>114</v>
      </c>
      <c r="C61" t="s">
        <v>394</v>
      </c>
      <c r="D61" t="s">
        <v>395</v>
      </c>
      <c r="E61" t="s">
        <v>30</v>
      </c>
      <c r="F61" t="s">
        <v>396</v>
      </c>
      <c r="G61" t="s">
        <v>397</v>
      </c>
      <c r="H61" s="1">
        <v>45357</v>
      </c>
      <c r="I61" t="s">
        <v>398</v>
      </c>
      <c r="J61" s="1">
        <v>45420</v>
      </c>
      <c r="K61">
        <v>12</v>
      </c>
      <c r="L61">
        <v>59</v>
      </c>
      <c r="M61">
        <v>62</v>
      </c>
      <c r="N61" t="s">
        <v>134</v>
      </c>
      <c r="O61">
        <v>75</v>
      </c>
      <c r="P61">
        <v>92</v>
      </c>
      <c r="Q61" s="3">
        <v>0.43</v>
      </c>
    </row>
    <row r="62" spans="1:17" x14ac:dyDescent="0.35">
      <c r="A62" t="s">
        <v>74</v>
      </c>
      <c r="B62" t="s">
        <v>75</v>
      </c>
      <c r="C62" t="s">
        <v>399</v>
      </c>
      <c r="D62" t="s">
        <v>400</v>
      </c>
      <c r="E62" t="s">
        <v>68</v>
      </c>
      <c r="F62" t="s">
        <v>401</v>
      </c>
      <c r="G62" t="s">
        <v>402</v>
      </c>
      <c r="H62" s="1">
        <v>45357</v>
      </c>
      <c r="I62" s="1">
        <v>45603</v>
      </c>
      <c r="J62" t="s">
        <v>403</v>
      </c>
      <c r="K62">
        <v>83</v>
      </c>
      <c r="L62">
        <v>17</v>
      </c>
      <c r="M62">
        <v>39</v>
      </c>
      <c r="N62" t="s">
        <v>82</v>
      </c>
      <c r="O62">
        <v>33</v>
      </c>
      <c r="P62">
        <v>20</v>
      </c>
      <c r="Q62" s="3">
        <v>-0.23</v>
      </c>
    </row>
    <row r="63" spans="1:17" x14ac:dyDescent="0.35">
      <c r="A63" t="s">
        <v>331</v>
      </c>
      <c r="B63" t="s">
        <v>27</v>
      </c>
      <c r="C63" t="s">
        <v>404</v>
      </c>
      <c r="D63" t="s">
        <v>405</v>
      </c>
      <c r="E63" t="s">
        <v>30</v>
      </c>
      <c r="F63" t="s">
        <v>406</v>
      </c>
      <c r="G63" t="s">
        <v>407</v>
      </c>
      <c r="H63" s="1">
        <v>45357</v>
      </c>
      <c r="I63" s="1">
        <v>45393</v>
      </c>
      <c r="J63" s="1">
        <v>45658</v>
      </c>
      <c r="K63">
        <v>21</v>
      </c>
      <c r="L63">
        <v>52</v>
      </c>
      <c r="M63">
        <v>80</v>
      </c>
      <c r="N63" t="s">
        <v>121</v>
      </c>
      <c r="O63">
        <v>49</v>
      </c>
      <c r="P63">
        <v>37</v>
      </c>
      <c r="Q63" s="3">
        <v>0.39</v>
      </c>
    </row>
    <row r="64" spans="1:17" x14ac:dyDescent="0.35">
      <c r="A64" t="s">
        <v>408</v>
      </c>
      <c r="B64" t="s">
        <v>18</v>
      </c>
      <c r="C64" t="s">
        <v>409</v>
      </c>
      <c r="D64" t="s">
        <v>410</v>
      </c>
      <c r="E64" t="s">
        <v>30</v>
      </c>
      <c r="F64" t="s">
        <v>411</v>
      </c>
      <c r="G64" t="s">
        <v>412</v>
      </c>
      <c r="H64" s="1">
        <v>45358</v>
      </c>
      <c r="I64" s="1">
        <v>45606</v>
      </c>
      <c r="J64" s="1">
        <v>45422</v>
      </c>
      <c r="K64">
        <v>37</v>
      </c>
      <c r="L64">
        <v>30</v>
      </c>
      <c r="M64">
        <v>74</v>
      </c>
      <c r="N64" t="s">
        <v>121</v>
      </c>
      <c r="O64">
        <v>62</v>
      </c>
      <c r="P64">
        <v>25</v>
      </c>
      <c r="Q64" s="3">
        <v>0.24</v>
      </c>
    </row>
    <row r="65" spans="1:17" x14ac:dyDescent="0.35">
      <c r="A65" t="s">
        <v>413</v>
      </c>
      <c r="B65" t="s">
        <v>65</v>
      </c>
      <c r="C65" t="s">
        <v>51</v>
      </c>
      <c r="D65" t="s">
        <v>414</v>
      </c>
      <c r="E65" t="s">
        <v>30</v>
      </c>
      <c r="F65" t="s">
        <v>415</v>
      </c>
      <c r="G65" t="s">
        <v>416</v>
      </c>
      <c r="H65" s="1">
        <v>45358</v>
      </c>
      <c r="I65" s="1">
        <v>45446</v>
      </c>
      <c r="J65" s="1">
        <v>45423</v>
      </c>
      <c r="K65">
        <v>77</v>
      </c>
      <c r="L65">
        <v>20</v>
      </c>
      <c r="M65">
        <v>37</v>
      </c>
      <c r="N65" t="s">
        <v>417</v>
      </c>
      <c r="O65">
        <v>42</v>
      </c>
      <c r="P65">
        <v>19</v>
      </c>
      <c r="Q65" s="3">
        <v>0.6</v>
      </c>
    </row>
    <row r="66" spans="1:17" x14ac:dyDescent="0.35">
      <c r="A66" t="s">
        <v>418</v>
      </c>
      <c r="B66" t="s">
        <v>65</v>
      </c>
      <c r="C66" t="s">
        <v>213</v>
      </c>
      <c r="D66" t="s">
        <v>419</v>
      </c>
      <c r="E66" t="s">
        <v>30</v>
      </c>
      <c r="F66" t="s">
        <v>420</v>
      </c>
      <c r="G66" t="s">
        <v>421</v>
      </c>
      <c r="H66" s="1">
        <v>45359</v>
      </c>
      <c r="I66" s="1">
        <v>45571</v>
      </c>
      <c r="J66" t="s">
        <v>422</v>
      </c>
      <c r="K66">
        <v>30</v>
      </c>
      <c r="L66">
        <v>38</v>
      </c>
      <c r="M66">
        <v>83</v>
      </c>
      <c r="N66" t="s">
        <v>344</v>
      </c>
      <c r="O66">
        <v>31</v>
      </c>
      <c r="P66">
        <v>34</v>
      </c>
      <c r="Q66" s="3">
        <v>0.55000000000000004</v>
      </c>
    </row>
    <row r="67" spans="1:17" x14ac:dyDescent="0.35">
      <c r="A67" t="s">
        <v>423</v>
      </c>
      <c r="B67" t="s">
        <v>65</v>
      </c>
      <c r="C67" t="s">
        <v>424</v>
      </c>
      <c r="D67" t="s">
        <v>425</v>
      </c>
      <c r="E67" t="s">
        <v>21</v>
      </c>
      <c r="F67" t="s">
        <v>426</v>
      </c>
      <c r="G67" t="s">
        <v>427</v>
      </c>
      <c r="H67" s="1">
        <v>45359</v>
      </c>
      <c r="I67" t="s">
        <v>428</v>
      </c>
      <c r="J67" s="1">
        <v>45327</v>
      </c>
      <c r="K67">
        <v>26</v>
      </c>
      <c r="L67">
        <v>21</v>
      </c>
      <c r="M67">
        <v>47</v>
      </c>
      <c r="N67" t="s">
        <v>82</v>
      </c>
      <c r="O67">
        <v>40</v>
      </c>
      <c r="P67">
        <v>59</v>
      </c>
      <c r="Q67" s="3">
        <v>-0.1</v>
      </c>
    </row>
    <row r="68" spans="1:17" x14ac:dyDescent="0.35">
      <c r="A68" t="s">
        <v>423</v>
      </c>
      <c r="B68" t="s">
        <v>65</v>
      </c>
      <c r="C68" t="s">
        <v>429</v>
      </c>
      <c r="D68" t="s">
        <v>430</v>
      </c>
      <c r="E68" t="s">
        <v>30</v>
      </c>
      <c r="F68" t="s">
        <v>431</v>
      </c>
      <c r="G68" t="s">
        <v>432</v>
      </c>
      <c r="H68" s="1">
        <v>45359</v>
      </c>
      <c r="I68" s="1">
        <v>45542</v>
      </c>
      <c r="J68" t="s">
        <v>433</v>
      </c>
      <c r="K68">
        <v>72</v>
      </c>
      <c r="L68">
        <v>82</v>
      </c>
      <c r="M68">
        <v>52</v>
      </c>
      <c r="N68" t="s">
        <v>434</v>
      </c>
      <c r="O68">
        <v>51</v>
      </c>
      <c r="P68">
        <v>95</v>
      </c>
      <c r="Q68" s="3">
        <v>-0.48</v>
      </c>
    </row>
    <row r="69" spans="1:17" x14ac:dyDescent="0.35">
      <c r="A69" t="s">
        <v>435</v>
      </c>
      <c r="B69" t="s">
        <v>18</v>
      </c>
      <c r="C69" t="s">
        <v>436</v>
      </c>
      <c r="D69" t="s">
        <v>437</v>
      </c>
      <c r="E69" t="s">
        <v>68</v>
      </c>
      <c r="F69" t="s">
        <v>438</v>
      </c>
      <c r="G69" t="s">
        <v>439</v>
      </c>
      <c r="H69" s="1">
        <v>45360</v>
      </c>
      <c r="I69" s="1">
        <v>45361</v>
      </c>
      <c r="J69" t="s">
        <v>120</v>
      </c>
      <c r="K69">
        <v>59</v>
      </c>
      <c r="L69">
        <v>79</v>
      </c>
      <c r="M69">
        <v>87</v>
      </c>
      <c r="N69" t="s">
        <v>344</v>
      </c>
      <c r="O69">
        <v>47</v>
      </c>
      <c r="P69">
        <v>18</v>
      </c>
      <c r="Q69" s="3">
        <v>-0.86</v>
      </c>
    </row>
    <row r="70" spans="1:17" x14ac:dyDescent="0.35">
      <c r="A70" t="s">
        <v>418</v>
      </c>
      <c r="B70" t="s">
        <v>65</v>
      </c>
      <c r="C70" t="s">
        <v>440</v>
      </c>
      <c r="D70" t="s">
        <v>441</v>
      </c>
      <c r="E70" t="s">
        <v>21</v>
      </c>
      <c r="F70" t="s">
        <v>442</v>
      </c>
      <c r="G70" t="s">
        <v>443</v>
      </c>
      <c r="H70" s="1">
        <v>45361</v>
      </c>
      <c r="I70" s="1">
        <v>45455</v>
      </c>
      <c r="J70" t="s">
        <v>444</v>
      </c>
      <c r="K70">
        <v>34</v>
      </c>
      <c r="L70">
        <v>96</v>
      </c>
      <c r="M70">
        <v>76</v>
      </c>
      <c r="N70" t="s">
        <v>445</v>
      </c>
      <c r="O70">
        <v>90</v>
      </c>
      <c r="P70">
        <v>34</v>
      </c>
      <c r="Q70" s="3">
        <v>0.62</v>
      </c>
    </row>
    <row r="71" spans="1:17" x14ac:dyDescent="0.35">
      <c r="A71" t="s">
        <v>382</v>
      </c>
      <c r="B71" t="s">
        <v>36</v>
      </c>
      <c r="C71" t="s">
        <v>446</v>
      </c>
      <c r="D71" t="s">
        <v>447</v>
      </c>
      <c r="E71" t="s">
        <v>68</v>
      </c>
      <c r="F71" t="s">
        <v>448</v>
      </c>
      <c r="G71" t="s">
        <v>449</v>
      </c>
      <c r="H71" s="1">
        <v>45361</v>
      </c>
      <c r="I71" s="1">
        <v>45577</v>
      </c>
      <c r="J71" t="s">
        <v>312</v>
      </c>
      <c r="K71">
        <v>82</v>
      </c>
      <c r="L71">
        <v>3</v>
      </c>
      <c r="M71">
        <v>82</v>
      </c>
      <c r="N71" t="s">
        <v>63</v>
      </c>
      <c r="O71">
        <v>48</v>
      </c>
      <c r="P71">
        <v>31</v>
      </c>
      <c r="Q71" s="3">
        <v>0.62</v>
      </c>
    </row>
    <row r="72" spans="1:17" x14ac:dyDescent="0.35">
      <c r="A72" t="s">
        <v>450</v>
      </c>
      <c r="B72" t="s">
        <v>18</v>
      </c>
      <c r="C72" t="s">
        <v>451</v>
      </c>
      <c r="D72" t="s">
        <v>452</v>
      </c>
      <c r="E72" t="s">
        <v>68</v>
      </c>
      <c r="F72" t="s">
        <v>453</v>
      </c>
      <c r="G72" t="s">
        <v>454</v>
      </c>
      <c r="H72" s="1">
        <v>45361</v>
      </c>
      <c r="I72" t="s">
        <v>455</v>
      </c>
      <c r="J72" s="1">
        <v>45302</v>
      </c>
      <c r="K72">
        <v>94</v>
      </c>
      <c r="L72">
        <v>90</v>
      </c>
      <c r="M72">
        <v>12</v>
      </c>
      <c r="N72" t="s">
        <v>246</v>
      </c>
      <c r="O72">
        <v>98</v>
      </c>
      <c r="P72">
        <v>71</v>
      </c>
      <c r="Q72" s="3">
        <v>0.35</v>
      </c>
    </row>
    <row r="73" spans="1:17" x14ac:dyDescent="0.35">
      <c r="A73" t="s">
        <v>194</v>
      </c>
      <c r="B73" t="s">
        <v>114</v>
      </c>
      <c r="C73" t="s">
        <v>456</v>
      </c>
      <c r="D73" t="s">
        <v>457</v>
      </c>
      <c r="E73" t="s">
        <v>68</v>
      </c>
      <c r="F73" t="s">
        <v>458</v>
      </c>
      <c r="G73" t="s">
        <v>459</v>
      </c>
      <c r="H73" s="1">
        <v>45362</v>
      </c>
      <c r="I73" s="1">
        <v>45571</v>
      </c>
      <c r="J73" t="s">
        <v>205</v>
      </c>
      <c r="K73">
        <v>59</v>
      </c>
      <c r="L73">
        <v>78</v>
      </c>
      <c r="M73">
        <v>6</v>
      </c>
      <c r="N73" t="s">
        <v>134</v>
      </c>
      <c r="O73">
        <v>32</v>
      </c>
      <c r="P73">
        <v>3</v>
      </c>
      <c r="Q73" s="3">
        <v>0.28000000000000003</v>
      </c>
    </row>
    <row r="74" spans="1:17" x14ac:dyDescent="0.35">
      <c r="A74" t="s">
        <v>43</v>
      </c>
      <c r="B74" t="s">
        <v>18</v>
      </c>
      <c r="C74" t="s">
        <v>460</v>
      </c>
      <c r="D74" t="s">
        <v>461</v>
      </c>
      <c r="E74" t="s">
        <v>68</v>
      </c>
      <c r="F74" t="s">
        <v>462</v>
      </c>
      <c r="G74" t="s">
        <v>463</v>
      </c>
      <c r="H74" s="1">
        <v>45362</v>
      </c>
      <c r="I74" t="s">
        <v>464</v>
      </c>
      <c r="J74" t="s">
        <v>465</v>
      </c>
      <c r="K74">
        <v>18</v>
      </c>
      <c r="L74">
        <v>50</v>
      </c>
      <c r="M74">
        <v>77</v>
      </c>
      <c r="N74" t="s">
        <v>466</v>
      </c>
      <c r="O74">
        <v>44</v>
      </c>
      <c r="P74">
        <v>19</v>
      </c>
      <c r="Q74" s="3">
        <v>0.91</v>
      </c>
    </row>
    <row r="75" spans="1:17" x14ac:dyDescent="0.35">
      <c r="A75" t="s">
        <v>467</v>
      </c>
      <c r="B75" t="s">
        <v>65</v>
      </c>
      <c r="C75" t="s">
        <v>155</v>
      </c>
      <c r="D75" t="s">
        <v>468</v>
      </c>
      <c r="E75" t="s">
        <v>21</v>
      </c>
      <c r="F75" t="s">
        <v>469</v>
      </c>
      <c r="G75" t="s">
        <v>470</v>
      </c>
      <c r="H75" s="1">
        <v>45363</v>
      </c>
      <c r="I75" t="s">
        <v>141</v>
      </c>
      <c r="J75" s="1">
        <v>45421</v>
      </c>
      <c r="K75">
        <v>55</v>
      </c>
      <c r="L75">
        <v>33</v>
      </c>
      <c r="M75">
        <v>14</v>
      </c>
      <c r="N75" t="s">
        <v>370</v>
      </c>
      <c r="O75">
        <v>34</v>
      </c>
      <c r="P75">
        <v>62</v>
      </c>
      <c r="Q75" s="3">
        <v>0.56999999999999995</v>
      </c>
    </row>
    <row r="76" spans="1:17" x14ac:dyDescent="0.35">
      <c r="A76" t="s">
        <v>96</v>
      </c>
      <c r="B76" t="s">
        <v>36</v>
      </c>
      <c r="C76" t="s">
        <v>471</v>
      </c>
      <c r="D76" t="s">
        <v>472</v>
      </c>
      <c r="E76" t="s">
        <v>30</v>
      </c>
      <c r="F76" t="s">
        <v>473</v>
      </c>
      <c r="G76" t="s">
        <v>474</v>
      </c>
      <c r="H76" s="1">
        <v>45363</v>
      </c>
      <c r="I76" t="s">
        <v>199</v>
      </c>
      <c r="J76" s="1">
        <v>45446</v>
      </c>
      <c r="K76">
        <v>31</v>
      </c>
      <c r="L76">
        <v>65</v>
      </c>
      <c r="M76">
        <v>94</v>
      </c>
      <c r="N76" t="s">
        <v>88</v>
      </c>
      <c r="O76">
        <v>63</v>
      </c>
      <c r="P76">
        <v>7</v>
      </c>
      <c r="Q76" s="3">
        <v>-0.82</v>
      </c>
    </row>
    <row r="77" spans="1:17" x14ac:dyDescent="0.35">
      <c r="A77" t="s">
        <v>200</v>
      </c>
      <c r="B77" t="s">
        <v>163</v>
      </c>
      <c r="C77" t="s">
        <v>475</v>
      </c>
      <c r="D77" t="s">
        <v>476</v>
      </c>
      <c r="E77" t="s">
        <v>21</v>
      </c>
      <c r="F77" t="s">
        <v>477</v>
      </c>
      <c r="G77" t="s">
        <v>478</v>
      </c>
      <c r="H77" s="1">
        <v>45385</v>
      </c>
      <c r="I77" s="1">
        <v>45633</v>
      </c>
      <c r="J77" t="s">
        <v>479</v>
      </c>
      <c r="K77">
        <v>27</v>
      </c>
      <c r="L77">
        <v>12</v>
      </c>
      <c r="M77">
        <v>93</v>
      </c>
      <c r="N77" t="s">
        <v>42</v>
      </c>
      <c r="O77">
        <v>88</v>
      </c>
      <c r="P77">
        <v>83</v>
      </c>
      <c r="Q77" s="3">
        <v>0.89</v>
      </c>
    </row>
    <row r="78" spans="1:17" x14ac:dyDescent="0.35">
      <c r="A78" t="s">
        <v>480</v>
      </c>
      <c r="B78" t="s">
        <v>36</v>
      </c>
      <c r="C78" t="s">
        <v>481</v>
      </c>
      <c r="D78" t="s">
        <v>482</v>
      </c>
      <c r="E78" t="s">
        <v>68</v>
      </c>
      <c r="F78" t="s">
        <v>483</v>
      </c>
      <c r="G78" t="s">
        <v>484</v>
      </c>
      <c r="H78" s="1">
        <v>45385</v>
      </c>
      <c r="I78" s="1">
        <v>45577</v>
      </c>
      <c r="J78" s="1">
        <v>45513</v>
      </c>
      <c r="K78">
        <v>76</v>
      </c>
      <c r="L78">
        <v>81</v>
      </c>
      <c r="M78">
        <v>85</v>
      </c>
      <c r="N78" t="s">
        <v>121</v>
      </c>
      <c r="O78">
        <v>65</v>
      </c>
      <c r="P78">
        <v>68</v>
      </c>
      <c r="Q78" s="3">
        <v>0.06</v>
      </c>
    </row>
    <row r="79" spans="1:17" x14ac:dyDescent="0.35">
      <c r="A79" t="s">
        <v>408</v>
      </c>
      <c r="B79" t="s">
        <v>18</v>
      </c>
      <c r="C79" t="s">
        <v>399</v>
      </c>
      <c r="D79" t="s">
        <v>485</v>
      </c>
      <c r="E79" t="s">
        <v>21</v>
      </c>
      <c r="F79" t="s">
        <v>486</v>
      </c>
      <c r="G79" t="s">
        <v>487</v>
      </c>
      <c r="H79" s="1">
        <v>45385</v>
      </c>
      <c r="I79" t="s">
        <v>488</v>
      </c>
      <c r="J79" t="s">
        <v>489</v>
      </c>
      <c r="K79">
        <v>40</v>
      </c>
      <c r="L79">
        <v>3</v>
      </c>
      <c r="M79">
        <v>5</v>
      </c>
      <c r="N79" t="s">
        <v>121</v>
      </c>
      <c r="O79">
        <v>45</v>
      </c>
      <c r="P79">
        <v>69</v>
      </c>
      <c r="Q79" s="3">
        <v>-0.05</v>
      </c>
    </row>
    <row r="80" spans="1:17" x14ac:dyDescent="0.35">
      <c r="A80" t="s">
        <v>356</v>
      </c>
      <c r="B80" t="s">
        <v>18</v>
      </c>
      <c r="C80" t="s">
        <v>490</v>
      </c>
      <c r="D80" t="s">
        <v>491</v>
      </c>
      <c r="E80" t="s">
        <v>68</v>
      </c>
      <c r="F80" t="s">
        <v>492</v>
      </c>
      <c r="G80" t="s">
        <v>493</v>
      </c>
      <c r="H80" s="1">
        <v>45386</v>
      </c>
      <c r="I80" t="s">
        <v>494</v>
      </c>
      <c r="J80" t="s">
        <v>495</v>
      </c>
      <c r="K80">
        <v>68</v>
      </c>
      <c r="L80">
        <v>25</v>
      </c>
      <c r="M80">
        <v>16</v>
      </c>
      <c r="N80" t="s">
        <v>282</v>
      </c>
      <c r="O80">
        <v>25</v>
      </c>
      <c r="P80">
        <v>83</v>
      </c>
      <c r="Q80" s="3">
        <v>-0.53</v>
      </c>
    </row>
    <row r="81" spans="1:17" x14ac:dyDescent="0.35">
      <c r="A81" t="s">
        <v>496</v>
      </c>
      <c r="B81" t="s">
        <v>18</v>
      </c>
      <c r="C81" t="s">
        <v>497</v>
      </c>
      <c r="D81" t="s">
        <v>498</v>
      </c>
      <c r="E81" t="s">
        <v>21</v>
      </c>
      <c r="F81" t="s">
        <v>499</v>
      </c>
      <c r="G81" t="s">
        <v>500</v>
      </c>
      <c r="H81" s="1">
        <v>45386</v>
      </c>
      <c r="I81" t="s">
        <v>501</v>
      </c>
      <c r="J81" s="1">
        <v>45658</v>
      </c>
      <c r="K81">
        <v>59</v>
      </c>
      <c r="L81">
        <v>29</v>
      </c>
      <c r="M81">
        <v>100</v>
      </c>
      <c r="N81" t="s">
        <v>502</v>
      </c>
      <c r="O81">
        <v>74</v>
      </c>
      <c r="P81">
        <v>16</v>
      </c>
      <c r="Q81" s="3">
        <v>-2.3199999999999998</v>
      </c>
    </row>
    <row r="82" spans="1:17" x14ac:dyDescent="0.35">
      <c r="A82" t="s">
        <v>503</v>
      </c>
      <c r="B82" t="s">
        <v>27</v>
      </c>
      <c r="C82" t="s">
        <v>504</v>
      </c>
      <c r="D82" t="s">
        <v>505</v>
      </c>
      <c r="E82" t="s">
        <v>30</v>
      </c>
      <c r="F82" t="s">
        <v>506</v>
      </c>
      <c r="G82" t="s">
        <v>507</v>
      </c>
      <c r="H82" s="1">
        <v>45387</v>
      </c>
      <c r="I82" t="s">
        <v>489</v>
      </c>
      <c r="J82" s="1">
        <v>45303</v>
      </c>
      <c r="K82">
        <v>24</v>
      </c>
      <c r="L82">
        <v>35</v>
      </c>
      <c r="M82">
        <v>14</v>
      </c>
      <c r="N82" t="s">
        <v>128</v>
      </c>
      <c r="O82">
        <v>91</v>
      </c>
      <c r="P82">
        <v>71</v>
      </c>
      <c r="Q82" s="3">
        <v>0.78</v>
      </c>
    </row>
    <row r="83" spans="1:17" x14ac:dyDescent="0.35">
      <c r="A83" t="s">
        <v>58</v>
      </c>
      <c r="B83" t="s">
        <v>18</v>
      </c>
      <c r="C83" t="s">
        <v>241</v>
      </c>
      <c r="D83" t="s">
        <v>508</v>
      </c>
      <c r="E83" t="s">
        <v>21</v>
      </c>
      <c r="F83" t="s">
        <v>509</v>
      </c>
      <c r="G83" t="s">
        <v>510</v>
      </c>
      <c r="H83" s="1">
        <v>45387</v>
      </c>
      <c r="I83" t="s">
        <v>511</v>
      </c>
      <c r="J83" s="1">
        <v>45354</v>
      </c>
      <c r="K83">
        <v>59</v>
      </c>
      <c r="L83">
        <v>82</v>
      </c>
      <c r="M83">
        <v>69</v>
      </c>
      <c r="N83" t="s">
        <v>512</v>
      </c>
      <c r="O83">
        <v>30</v>
      </c>
      <c r="P83">
        <v>34</v>
      </c>
      <c r="Q83" s="3">
        <v>0.22</v>
      </c>
    </row>
    <row r="84" spans="1:17" x14ac:dyDescent="0.35">
      <c r="A84" t="s">
        <v>58</v>
      </c>
      <c r="B84" t="s">
        <v>18</v>
      </c>
      <c r="C84" t="s">
        <v>513</v>
      </c>
      <c r="D84" t="s">
        <v>514</v>
      </c>
      <c r="E84" t="s">
        <v>68</v>
      </c>
      <c r="F84" t="s">
        <v>515</v>
      </c>
      <c r="G84" t="s">
        <v>516</v>
      </c>
      <c r="H84" s="1">
        <v>45388</v>
      </c>
      <c r="I84" t="s">
        <v>517</v>
      </c>
      <c r="J84" t="s">
        <v>325</v>
      </c>
      <c r="K84">
        <v>63</v>
      </c>
      <c r="L84">
        <v>81</v>
      </c>
      <c r="M84">
        <v>94</v>
      </c>
      <c r="N84" t="s">
        <v>128</v>
      </c>
      <c r="O84">
        <v>56</v>
      </c>
      <c r="P84">
        <v>2</v>
      </c>
      <c r="Q84" s="3">
        <v>-0.13</v>
      </c>
    </row>
    <row r="85" spans="1:17" x14ac:dyDescent="0.35">
      <c r="A85" t="s">
        <v>331</v>
      </c>
      <c r="B85" t="s">
        <v>27</v>
      </c>
      <c r="C85" t="s">
        <v>518</v>
      </c>
      <c r="D85" t="s">
        <v>519</v>
      </c>
      <c r="E85" t="s">
        <v>30</v>
      </c>
      <c r="F85" t="s">
        <v>520</v>
      </c>
      <c r="G85" t="s">
        <v>521</v>
      </c>
      <c r="H85" s="1">
        <v>45388</v>
      </c>
      <c r="I85" t="s">
        <v>522</v>
      </c>
      <c r="J85" t="s">
        <v>369</v>
      </c>
      <c r="K85">
        <v>57</v>
      </c>
      <c r="L85">
        <v>36</v>
      </c>
      <c r="M85">
        <v>53</v>
      </c>
      <c r="N85" t="s">
        <v>121</v>
      </c>
      <c r="O85">
        <v>56</v>
      </c>
      <c r="P85">
        <v>32</v>
      </c>
      <c r="Q85" s="3">
        <v>0.96</v>
      </c>
    </row>
    <row r="86" spans="1:17" x14ac:dyDescent="0.35">
      <c r="A86" t="s">
        <v>135</v>
      </c>
      <c r="B86" t="s">
        <v>36</v>
      </c>
      <c r="C86" t="s">
        <v>490</v>
      </c>
      <c r="D86" t="s">
        <v>523</v>
      </c>
      <c r="E86" t="s">
        <v>30</v>
      </c>
      <c r="F86" t="s">
        <v>524</v>
      </c>
      <c r="G86" t="s">
        <v>525</v>
      </c>
      <c r="H86" s="1">
        <v>45388</v>
      </c>
      <c r="I86" t="s">
        <v>526</v>
      </c>
      <c r="J86" s="1">
        <v>45717</v>
      </c>
      <c r="K86">
        <v>39</v>
      </c>
      <c r="L86">
        <v>93</v>
      </c>
      <c r="M86">
        <v>57</v>
      </c>
      <c r="N86" t="s">
        <v>128</v>
      </c>
      <c r="O86">
        <v>26</v>
      </c>
      <c r="P86">
        <v>44</v>
      </c>
      <c r="Q86" s="3">
        <v>0.43</v>
      </c>
    </row>
    <row r="87" spans="1:17" x14ac:dyDescent="0.35">
      <c r="A87" t="s">
        <v>527</v>
      </c>
      <c r="B87" t="s">
        <v>65</v>
      </c>
      <c r="C87" t="s">
        <v>51</v>
      </c>
      <c r="D87" t="s">
        <v>528</v>
      </c>
      <c r="E87" t="s">
        <v>30</v>
      </c>
      <c r="F87" t="s">
        <v>529</v>
      </c>
      <c r="G87" t="s">
        <v>530</v>
      </c>
      <c r="H87" s="1">
        <v>45389</v>
      </c>
      <c r="I87" s="1">
        <v>45392</v>
      </c>
      <c r="J87" t="s">
        <v>531</v>
      </c>
      <c r="K87">
        <v>41</v>
      </c>
      <c r="L87">
        <v>36</v>
      </c>
      <c r="M87">
        <v>78</v>
      </c>
      <c r="N87" t="s">
        <v>134</v>
      </c>
      <c r="O87">
        <v>38</v>
      </c>
      <c r="P87">
        <v>75</v>
      </c>
      <c r="Q87" s="3">
        <v>-0.69</v>
      </c>
    </row>
    <row r="88" spans="1:17" x14ac:dyDescent="0.35">
      <c r="A88" t="s">
        <v>532</v>
      </c>
      <c r="B88" t="s">
        <v>75</v>
      </c>
      <c r="C88" t="s">
        <v>533</v>
      </c>
      <c r="D88" t="s">
        <v>534</v>
      </c>
      <c r="E88" t="s">
        <v>68</v>
      </c>
      <c r="F88" t="s">
        <v>535</v>
      </c>
      <c r="G88" t="s">
        <v>536</v>
      </c>
      <c r="H88" s="1">
        <v>45389</v>
      </c>
      <c r="I88" s="1">
        <v>45538</v>
      </c>
      <c r="J88" s="1">
        <v>45300</v>
      </c>
      <c r="K88">
        <v>25</v>
      </c>
      <c r="L88">
        <v>44</v>
      </c>
      <c r="M88">
        <v>96</v>
      </c>
      <c r="N88" t="s">
        <v>537</v>
      </c>
      <c r="O88">
        <v>36</v>
      </c>
      <c r="P88">
        <v>16</v>
      </c>
      <c r="Q88" s="3">
        <v>-0.97</v>
      </c>
    </row>
    <row r="89" spans="1:17" x14ac:dyDescent="0.35">
      <c r="A89" t="s">
        <v>122</v>
      </c>
      <c r="B89" t="s">
        <v>18</v>
      </c>
      <c r="C89" t="s">
        <v>538</v>
      </c>
      <c r="D89" t="s">
        <v>539</v>
      </c>
      <c r="E89" t="s">
        <v>21</v>
      </c>
      <c r="F89" t="s">
        <v>540</v>
      </c>
      <c r="G89" t="s">
        <v>541</v>
      </c>
      <c r="H89" s="1">
        <v>45389</v>
      </c>
      <c r="I89" t="s">
        <v>542</v>
      </c>
      <c r="J89" t="s">
        <v>543</v>
      </c>
      <c r="K89">
        <v>87</v>
      </c>
      <c r="L89">
        <v>91</v>
      </c>
      <c r="M89">
        <v>94</v>
      </c>
      <c r="N89" t="s">
        <v>128</v>
      </c>
      <c r="O89">
        <v>47</v>
      </c>
      <c r="P89">
        <v>4</v>
      </c>
      <c r="Q89" s="3">
        <v>0.56000000000000005</v>
      </c>
    </row>
    <row r="90" spans="1:17" x14ac:dyDescent="0.35">
      <c r="A90" t="s">
        <v>376</v>
      </c>
      <c r="B90" t="s">
        <v>18</v>
      </c>
      <c r="C90" t="s">
        <v>544</v>
      </c>
      <c r="D90" t="s">
        <v>545</v>
      </c>
      <c r="E90" t="s">
        <v>68</v>
      </c>
      <c r="F90" t="s">
        <v>546</v>
      </c>
      <c r="G90" t="s">
        <v>547</v>
      </c>
      <c r="H90" s="1">
        <v>45389</v>
      </c>
      <c r="I90" s="1">
        <v>45572</v>
      </c>
      <c r="J90" t="s">
        <v>548</v>
      </c>
      <c r="K90">
        <v>20</v>
      </c>
      <c r="L90">
        <v>65</v>
      </c>
      <c r="M90">
        <v>61</v>
      </c>
      <c r="N90" t="s">
        <v>34</v>
      </c>
      <c r="O90">
        <v>51</v>
      </c>
      <c r="P90">
        <v>78</v>
      </c>
      <c r="Q90" s="3">
        <v>0.91</v>
      </c>
    </row>
    <row r="91" spans="1:17" x14ac:dyDescent="0.35">
      <c r="A91" t="s">
        <v>549</v>
      </c>
      <c r="B91" t="s">
        <v>18</v>
      </c>
      <c r="C91" t="s">
        <v>550</v>
      </c>
      <c r="D91" t="s">
        <v>551</v>
      </c>
      <c r="E91" t="s">
        <v>21</v>
      </c>
      <c r="F91" t="s">
        <v>552</v>
      </c>
      <c r="G91" t="s">
        <v>553</v>
      </c>
      <c r="H91" s="1">
        <v>45391</v>
      </c>
      <c r="I91" t="s">
        <v>554</v>
      </c>
      <c r="J91" t="s">
        <v>555</v>
      </c>
      <c r="K91">
        <v>95</v>
      </c>
      <c r="L91">
        <v>25</v>
      </c>
      <c r="M91">
        <v>91</v>
      </c>
      <c r="N91" t="s">
        <v>556</v>
      </c>
      <c r="O91">
        <v>87</v>
      </c>
      <c r="P91">
        <v>5</v>
      </c>
      <c r="Q91" s="3">
        <v>-0.53</v>
      </c>
    </row>
    <row r="92" spans="1:17" x14ac:dyDescent="0.35">
      <c r="A92" t="s">
        <v>557</v>
      </c>
      <c r="B92" t="s">
        <v>18</v>
      </c>
      <c r="C92" t="s">
        <v>51</v>
      </c>
      <c r="D92" t="s">
        <v>558</v>
      </c>
      <c r="E92" t="s">
        <v>30</v>
      </c>
      <c r="F92" t="s">
        <v>559</v>
      </c>
      <c r="G92" t="s">
        <v>560</v>
      </c>
      <c r="H92" s="1">
        <v>45391</v>
      </c>
      <c r="I92" s="1">
        <v>45386</v>
      </c>
      <c r="J92" t="s">
        <v>561</v>
      </c>
      <c r="K92">
        <v>56</v>
      </c>
      <c r="L92">
        <v>75</v>
      </c>
      <c r="M92">
        <v>13</v>
      </c>
      <c r="N92" t="s">
        <v>73</v>
      </c>
      <c r="O92">
        <v>42</v>
      </c>
      <c r="P92">
        <v>53</v>
      </c>
      <c r="Q92" s="3">
        <v>0.94</v>
      </c>
    </row>
    <row r="93" spans="1:17" x14ac:dyDescent="0.35">
      <c r="A93" t="s">
        <v>222</v>
      </c>
      <c r="B93" t="s">
        <v>65</v>
      </c>
      <c r="C93" t="s">
        <v>562</v>
      </c>
      <c r="D93" t="s">
        <v>563</v>
      </c>
      <c r="E93" t="s">
        <v>21</v>
      </c>
      <c r="F93" t="s">
        <v>564</v>
      </c>
      <c r="G93" t="s">
        <v>565</v>
      </c>
      <c r="H93" s="1">
        <v>45392</v>
      </c>
      <c r="I93" t="s">
        <v>72</v>
      </c>
      <c r="J93" t="s">
        <v>566</v>
      </c>
      <c r="K93">
        <v>96</v>
      </c>
      <c r="L93">
        <v>83</v>
      </c>
      <c r="M93">
        <v>50</v>
      </c>
      <c r="N93" t="s">
        <v>49</v>
      </c>
      <c r="O93">
        <v>81</v>
      </c>
      <c r="P93">
        <v>89</v>
      </c>
      <c r="Q93" s="3">
        <v>-0.26</v>
      </c>
    </row>
    <row r="94" spans="1:17" x14ac:dyDescent="0.35">
      <c r="A94" t="s">
        <v>567</v>
      </c>
      <c r="B94" t="s">
        <v>65</v>
      </c>
      <c r="C94" t="s">
        <v>568</v>
      </c>
      <c r="D94" t="s">
        <v>569</v>
      </c>
      <c r="E94" t="s">
        <v>68</v>
      </c>
      <c r="F94" t="s">
        <v>570</v>
      </c>
      <c r="G94" t="s">
        <v>571</v>
      </c>
      <c r="H94" s="1">
        <v>45392</v>
      </c>
      <c r="I94" s="1">
        <v>45515</v>
      </c>
      <c r="J94" t="s">
        <v>526</v>
      </c>
      <c r="K94">
        <v>76</v>
      </c>
      <c r="L94">
        <v>8</v>
      </c>
      <c r="M94">
        <v>2</v>
      </c>
      <c r="N94" t="s">
        <v>572</v>
      </c>
      <c r="O94">
        <v>24</v>
      </c>
      <c r="P94">
        <v>53</v>
      </c>
      <c r="Q94" s="3">
        <v>-0.1</v>
      </c>
    </row>
    <row r="95" spans="1:17" x14ac:dyDescent="0.35">
      <c r="A95" t="s">
        <v>188</v>
      </c>
      <c r="B95" t="s">
        <v>65</v>
      </c>
      <c r="C95" t="s">
        <v>573</v>
      </c>
      <c r="D95" t="s">
        <v>574</v>
      </c>
      <c r="E95" t="s">
        <v>21</v>
      </c>
      <c r="F95" t="s">
        <v>575</v>
      </c>
      <c r="G95" t="s">
        <v>576</v>
      </c>
      <c r="H95" s="1">
        <v>45392</v>
      </c>
      <c r="I95" s="1">
        <v>45516</v>
      </c>
      <c r="J95" t="s">
        <v>577</v>
      </c>
      <c r="K95">
        <v>17</v>
      </c>
      <c r="L95">
        <v>19</v>
      </c>
      <c r="M95">
        <v>74</v>
      </c>
      <c r="N95" t="s">
        <v>193</v>
      </c>
      <c r="O95">
        <v>58</v>
      </c>
      <c r="P95">
        <v>27</v>
      </c>
      <c r="Q95" s="3">
        <v>-1.21</v>
      </c>
    </row>
    <row r="96" spans="1:17" x14ac:dyDescent="0.35">
      <c r="A96" t="s">
        <v>101</v>
      </c>
      <c r="B96" t="s">
        <v>27</v>
      </c>
      <c r="C96" t="s">
        <v>155</v>
      </c>
      <c r="D96" t="s">
        <v>578</v>
      </c>
      <c r="E96" t="s">
        <v>68</v>
      </c>
      <c r="F96" t="s">
        <v>579</v>
      </c>
      <c r="G96" t="s">
        <v>580</v>
      </c>
      <c r="H96" s="1">
        <v>45392</v>
      </c>
      <c r="I96" t="s">
        <v>258</v>
      </c>
      <c r="J96" s="1">
        <v>45298</v>
      </c>
      <c r="K96">
        <v>14</v>
      </c>
      <c r="L96">
        <v>75</v>
      </c>
      <c r="M96">
        <v>10</v>
      </c>
      <c r="N96" t="s">
        <v>82</v>
      </c>
      <c r="O96">
        <v>65</v>
      </c>
      <c r="P96">
        <v>62</v>
      </c>
      <c r="Q96" s="3">
        <v>0.53</v>
      </c>
    </row>
    <row r="97" spans="1:17" x14ac:dyDescent="0.35">
      <c r="A97" t="s">
        <v>289</v>
      </c>
      <c r="B97" t="s">
        <v>114</v>
      </c>
      <c r="C97" t="s">
        <v>581</v>
      </c>
      <c r="D97" t="s">
        <v>582</v>
      </c>
      <c r="E97" t="s">
        <v>68</v>
      </c>
      <c r="F97" t="s">
        <v>583</v>
      </c>
      <c r="G97" t="s">
        <v>584</v>
      </c>
      <c r="H97" s="1">
        <v>45393</v>
      </c>
      <c r="I97" s="1">
        <v>45386</v>
      </c>
      <c r="J97" t="s">
        <v>585</v>
      </c>
      <c r="K97">
        <v>96</v>
      </c>
      <c r="L97">
        <v>16</v>
      </c>
      <c r="M97">
        <v>48</v>
      </c>
      <c r="N97" t="s">
        <v>73</v>
      </c>
      <c r="O97">
        <v>45</v>
      </c>
      <c r="P97">
        <v>68</v>
      </c>
      <c r="Q97" s="3">
        <v>0.05</v>
      </c>
    </row>
    <row r="98" spans="1:17" x14ac:dyDescent="0.35">
      <c r="A98" t="s">
        <v>418</v>
      </c>
      <c r="B98" t="s">
        <v>65</v>
      </c>
      <c r="C98" t="s">
        <v>37</v>
      </c>
      <c r="D98" t="s">
        <v>586</v>
      </c>
      <c r="E98" t="s">
        <v>30</v>
      </c>
      <c r="F98" t="s">
        <v>587</v>
      </c>
      <c r="G98" t="s">
        <v>588</v>
      </c>
      <c r="H98" s="1">
        <v>45393</v>
      </c>
      <c r="I98" t="s">
        <v>111</v>
      </c>
      <c r="J98" t="s">
        <v>589</v>
      </c>
      <c r="K98">
        <v>30</v>
      </c>
      <c r="L98">
        <v>34</v>
      </c>
      <c r="M98">
        <v>96</v>
      </c>
      <c r="N98" t="s">
        <v>590</v>
      </c>
      <c r="O98">
        <v>61</v>
      </c>
      <c r="P98">
        <v>13</v>
      </c>
      <c r="Q98" s="3">
        <v>-0.51</v>
      </c>
    </row>
    <row r="99" spans="1:17" x14ac:dyDescent="0.35">
      <c r="A99" t="s">
        <v>591</v>
      </c>
      <c r="B99" t="s">
        <v>36</v>
      </c>
      <c r="C99" t="s">
        <v>592</v>
      </c>
      <c r="D99" t="s">
        <v>593</v>
      </c>
      <c r="E99" t="s">
        <v>68</v>
      </c>
      <c r="F99" t="s">
        <v>594</v>
      </c>
      <c r="G99" t="s">
        <v>595</v>
      </c>
      <c r="H99" s="1">
        <v>45394</v>
      </c>
      <c r="I99" s="1">
        <v>45328</v>
      </c>
      <c r="J99" s="1">
        <v>45870</v>
      </c>
      <c r="K99">
        <v>91</v>
      </c>
      <c r="L99">
        <v>84</v>
      </c>
      <c r="M99">
        <v>11</v>
      </c>
      <c r="N99" t="s">
        <v>153</v>
      </c>
      <c r="O99">
        <v>56</v>
      </c>
      <c r="P99">
        <v>90</v>
      </c>
      <c r="Q99" s="3">
        <v>0.79</v>
      </c>
    </row>
    <row r="100" spans="1:17" x14ac:dyDescent="0.35">
      <c r="A100" t="s">
        <v>596</v>
      </c>
      <c r="B100" t="s">
        <v>18</v>
      </c>
      <c r="C100" t="s">
        <v>550</v>
      </c>
      <c r="D100" t="s">
        <v>597</v>
      </c>
      <c r="E100" t="s">
        <v>30</v>
      </c>
      <c r="F100" t="s">
        <v>598</v>
      </c>
      <c r="G100" t="s">
        <v>599</v>
      </c>
      <c r="H100" s="1">
        <v>45394</v>
      </c>
      <c r="I100" t="s">
        <v>600</v>
      </c>
      <c r="J100" t="s">
        <v>80</v>
      </c>
      <c r="K100">
        <v>47</v>
      </c>
      <c r="L100">
        <v>67</v>
      </c>
      <c r="M100">
        <v>57</v>
      </c>
      <c r="N100" t="s">
        <v>121</v>
      </c>
      <c r="O100">
        <v>36</v>
      </c>
      <c r="P100">
        <v>48</v>
      </c>
      <c r="Q100" s="3">
        <v>-0.61</v>
      </c>
    </row>
    <row r="101" spans="1:17" x14ac:dyDescent="0.35">
      <c r="A101" t="s">
        <v>289</v>
      </c>
      <c r="B101" t="s">
        <v>114</v>
      </c>
      <c r="C101" t="s">
        <v>601</v>
      </c>
      <c r="D101" t="s">
        <v>602</v>
      </c>
      <c r="E101" t="s">
        <v>21</v>
      </c>
      <c r="F101" t="s">
        <v>603</v>
      </c>
      <c r="G101" t="s">
        <v>604</v>
      </c>
      <c r="H101" s="1">
        <v>45415</v>
      </c>
      <c r="I101" t="s">
        <v>605</v>
      </c>
      <c r="J101" t="s">
        <v>306</v>
      </c>
      <c r="K101">
        <v>11</v>
      </c>
      <c r="L101">
        <v>6</v>
      </c>
      <c r="M101">
        <v>100</v>
      </c>
      <c r="N101" t="s">
        <v>73</v>
      </c>
      <c r="O101">
        <v>88</v>
      </c>
      <c r="P101">
        <v>24</v>
      </c>
      <c r="Q101" s="3">
        <v>-0.33</v>
      </c>
    </row>
    <row r="102" spans="1:17" x14ac:dyDescent="0.35">
      <c r="A102" t="s">
        <v>408</v>
      </c>
      <c r="B102" t="s">
        <v>18</v>
      </c>
      <c r="C102" t="s">
        <v>606</v>
      </c>
      <c r="D102" t="s">
        <v>607</v>
      </c>
      <c r="E102" t="s">
        <v>68</v>
      </c>
      <c r="F102" t="s">
        <v>608</v>
      </c>
      <c r="G102" t="s">
        <v>609</v>
      </c>
      <c r="H102" s="1">
        <v>45416</v>
      </c>
      <c r="I102" t="s">
        <v>610</v>
      </c>
      <c r="J102" s="1">
        <v>45448</v>
      </c>
      <c r="K102">
        <v>95</v>
      </c>
      <c r="L102">
        <v>50</v>
      </c>
      <c r="M102">
        <v>76</v>
      </c>
      <c r="N102" t="s">
        <v>121</v>
      </c>
      <c r="O102">
        <v>69</v>
      </c>
      <c r="P102">
        <v>5</v>
      </c>
      <c r="Q102" s="3">
        <v>0.73</v>
      </c>
    </row>
    <row r="103" spans="1:17" x14ac:dyDescent="0.35">
      <c r="A103" t="s">
        <v>270</v>
      </c>
      <c r="B103" t="s">
        <v>36</v>
      </c>
      <c r="C103" t="s">
        <v>611</v>
      </c>
      <c r="D103" t="s">
        <v>612</v>
      </c>
      <c r="E103" t="s">
        <v>21</v>
      </c>
      <c r="F103" t="s">
        <v>613</v>
      </c>
      <c r="G103" t="s">
        <v>614</v>
      </c>
      <c r="H103" s="1">
        <v>45416</v>
      </c>
      <c r="I103" s="1">
        <v>45547</v>
      </c>
      <c r="J103" t="s">
        <v>33</v>
      </c>
      <c r="K103">
        <v>92</v>
      </c>
      <c r="L103">
        <v>67</v>
      </c>
      <c r="M103">
        <v>51</v>
      </c>
      <c r="N103" t="s">
        <v>121</v>
      </c>
      <c r="O103">
        <v>23</v>
      </c>
      <c r="P103">
        <v>78</v>
      </c>
      <c r="Q103" s="3">
        <v>0.93</v>
      </c>
    </row>
    <row r="104" spans="1:17" x14ac:dyDescent="0.35">
      <c r="A104" t="s">
        <v>89</v>
      </c>
      <c r="B104" t="s">
        <v>36</v>
      </c>
      <c r="C104" t="s">
        <v>615</v>
      </c>
      <c r="D104" t="s">
        <v>616</v>
      </c>
      <c r="E104" t="s">
        <v>30</v>
      </c>
      <c r="F104" t="s">
        <v>617</v>
      </c>
      <c r="G104" t="s">
        <v>618</v>
      </c>
      <c r="H104" s="1">
        <v>45416</v>
      </c>
      <c r="I104" t="s">
        <v>119</v>
      </c>
      <c r="J104" s="1">
        <v>45690</v>
      </c>
      <c r="K104">
        <v>85</v>
      </c>
      <c r="L104">
        <v>83</v>
      </c>
      <c r="M104">
        <v>13</v>
      </c>
      <c r="N104" t="s">
        <v>370</v>
      </c>
      <c r="O104">
        <v>49</v>
      </c>
      <c r="P104">
        <v>75</v>
      </c>
      <c r="Q104" s="3">
        <v>-2.39</v>
      </c>
    </row>
    <row r="105" spans="1:17" x14ac:dyDescent="0.35">
      <c r="A105" t="s">
        <v>619</v>
      </c>
      <c r="B105" t="s">
        <v>18</v>
      </c>
      <c r="C105" t="s">
        <v>620</v>
      </c>
      <c r="D105" t="s">
        <v>621</v>
      </c>
      <c r="E105" t="s">
        <v>30</v>
      </c>
      <c r="F105" t="s">
        <v>622</v>
      </c>
      <c r="G105" t="s">
        <v>623</v>
      </c>
      <c r="H105" s="1">
        <v>45416</v>
      </c>
      <c r="I105" t="s">
        <v>306</v>
      </c>
      <c r="J105" t="s">
        <v>111</v>
      </c>
      <c r="K105">
        <v>92</v>
      </c>
      <c r="L105">
        <v>3</v>
      </c>
      <c r="M105">
        <v>81</v>
      </c>
      <c r="N105" t="s">
        <v>73</v>
      </c>
      <c r="O105">
        <v>62</v>
      </c>
      <c r="P105">
        <v>20</v>
      </c>
      <c r="Q105" s="3">
        <v>-0.53</v>
      </c>
    </row>
    <row r="106" spans="1:17" x14ac:dyDescent="0.35">
      <c r="A106" t="s">
        <v>624</v>
      </c>
      <c r="B106" t="s">
        <v>18</v>
      </c>
      <c r="C106" t="s">
        <v>625</v>
      </c>
      <c r="D106" t="s">
        <v>626</v>
      </c>
      <c r="E106" t="s">
        <v>30</v>
      </c>
      <c r="F106" t="s">
        <v>627</v>
      </c>
      <c r="G106" t="s">
        <v>628</v>
      </c>
      <c r="H106" s="1">
        <v>45416</v>
      </c>
      <c r="I106" t="s">
        <v>495</v>
      </c>
      <c r="J106" t="s">
        <v>629</v>
      </c>
      <c r="K106">
        <v>24</v>
      </c>
      <c r="L106">
        <v>21</v>
      </c>
      <c r="M106">
        <v>4</v>
      </c>
      <c r="N106" t="s">
        <v>344</v>
      </c>
      <c r="O106">
        <v>85</v>
      </c>
      <c r="P106">
        <v>17</v>
      </c>
      <c r="Q106" s="3">
        <v>0.68</v>
      </c>
    </row>
    <row r="107" spans="1:17" x14ac:dyDescent="0.35">
      <c r="A107" t="s">
        <v>382</v>
      </c>
      <c r="B107" t="s">
        <v>36</v>
      </c>
      <c r="C107" t="s">
        <v>630</v>
      </c>
      <c r="D107" t="s">
        <v>631</v>
      </c>
      <c r="E107" t="s">
        <v>30</v>
      </c>
      <c r="F107" t="s">
        <v>632</v>
      </c>
      <c r="G107" t="s">
        <v>633</v>
      </c>
      <c r="H107" s="1">
        <v>45416</v>
      </c>
      <c r="I107" s="1">
        <v>45605</v>
      </c>
      <c r="J107" t="s">
        <v>433</v>
      </c>
      <c r="K107">
        <v>21</v>
      </c>
      <c r="L107">
        <v>24</v>
      </c>
      <c r="M107">
        <v>2</v>
      </c>
      <c r="N107" t="s">
        <v>634</v>
      </c>
      <c r="O107">
        <v>87</v>
      </c>
      <c r="P107">
        <v>36</v>
      </c>
      <c r="Q107" s="3">
        <v>0.8</v>
      </c>
    </row>
    <row r="108" spans="1:17" x14ac:dyDescent="0.35">
      <c r="A108" t="s">
        <v>74</v>
      </c>
      <c r="B108" t="s">
        <v>75</v>
      </c>
      <c r="C108" t="s">
        <v>635</v>
      </c>
      <c r="D108" t="s">
        <v>636</v>
      </c>
      <c r="E108" t="s">
        <v>68</v>
      </c>
      <c r="F108" t="s">
        <v>637</v>
      </c>
      <c r="G108" t="s">
        <v>638</v>
      </c>
      <c r="H108" s="1">
        <v>45416</v>
      </c>
      <c r="I108" t="s">
        <v>639</v>
      </c>
      <c r="J108" t="s">
        <v>361</v>
      </c>
      <c r="K108">
        <v>64</v>
      </c>
      <c r="L108">
        <v>1</v>
      </c>
      <c r="M108">
        <v>92</v>
      </c>
      <c r="N108" t="s">
        <v>82</v>
      </c>
      <c r="O108">
        <v>49</v>
      </c>
      <c r="P108">
        <v>15</v>
      </c>
      <c r="Q108" s="3">
        <v>0.59</v>
      </c>
    </row>
    <row r="109" spans="1:17" x14ac:dyDescent="0.35">
      <c r="A109" t="s">
        <v>640</v>
      </c>
      <c r="B109" t="s">
        <v>163</v>
      </c>
      <c r="C109" t="s">
        <v>641</v>
      </c>
      <c r="D109" t="s">
        <v>642</v>
      </c>
      <c r="E109" t="s">
        <v>68</v>
      </c>
      <c r="F109" t="s">
        <v>643</v>
      </c>
      <c r="G109" t="s">
        <v>644</v>
      </c>
      <c r="H109" s="1">
        <v>45416</v>
      </c>
      <c r="I109" s="1">
        <v>45636</v>
      </c>
      <c r="J109" t="s">
        <v>645</v>
      </c>
      <c r="K109">
        <v>35</v>
      </c>
      <c r="L109">
        <v>88</v>
      </c>
      <c r="M109">
        <v>87</v>
      </c>
      <c r="N109" t="s">
        <v>646</v>
      </c>
      <c r="O109">
        <v>39</v>
      </c>
      <c r="P109">
        <v>62</v>
      </c>
      <c r="Q109" s="3">
        <v>0.69</v>
      </c>
    </row>
    <row r="110" spans="1:17" x14ac:dyDescent="0.35">
      <c r="A110" t="s">
        <v>337</v>
      </c>
      <c r="B110" t="s">
        <v>27</v>
      </c>
      <c r="C110" t="s">
        <v>647</v>
      </c>
      <c r="D110" t="s">
        <v>648</v>
      </c>
      <c r="E110" t="s">
        <v>68</v>
      </c>
      <c r="F110" t="s">
        <v>649</v>
      </c>
      <c r="G110" t="s">
        <v>650</v>
      </c>
      <c r="H110" s="1">
        <v>45417</v>
      </c>
      <c r="I110" t="s">
        <v>651</v>
      </c>
      <c r="J110" t="s">
        <v>652</v>
      </c>
      <c r="K110">
        <v>100</v>
      </c>
      <c r="L110">
        <v>92</v>
      </c>
      <c r="M110">
        <v>26</v>
      </c>
      <c r="N110" t="s">
        <v>344</v>
      </c>
      <c r="O110">
        <v>84</v>
      </c>
      <c r="P110">
        <v>9</v>
      </c>
      <c r="Q110" s="3">
        <v>-0.59</v>
      </c>
    </row>
    <row r="111" spans="1:17" x14ac:dyDescent="0.35">
      <c r="A111" t="s">
        <v>653</v>
      </c>
      <c r="B111" t="s">
        <v>163</v>
      </c>
      <c r="C111" t="s">
        <v>654</v>
      </c>
      <c r="D111" t="s">
        <v>655</v>
      </c>
      <c r="E111" t="s">
        <v>30</v>
      </c>
      <c r="F111" t="s">
        <v>656</v>
      </c>
      <c r="G111" t="s">
        <v>657</v>
      </c>
      <c r="H111" s="1">
        <v>45417</v>
      </c>
      <c r="I111" t="s">
        <v>658</v>
      </c>
      <c r="J111" s="1">
        <v>45573</v>
      </c>
      <c r="K111">
        <v>91</v>
      </c>
      <c r="L111">
        <v>78</v>
      </c>
      <c r="M111">
        <v>61</v>
      </c>
      <c r="N111" t="s">
        <v>659</v>
      </c>
      <c r="O111">
        <v>63</v>
      </c>
      <c r="P111">
        <v>15</v>
      </c>
      <c r="Q111" s="3">
        <v>0.89</v>
      </c>
    </row>
    <row r="112" spans="1:17" x14ac:dyDescent="0.35">
      <c r="A112" t="s">
        <v>26</v>
      </c>
      <c r="B112" t="s">
        <v>27</v>
      </c>
      <c r="C112" t="s">
        <v>660</v>
      </c>
      <c r="D112" t="s">
        <v>661</v>
      </c>
      <c r="E112" t="s">
        <v>68</v>
      </c>
      <c r="F112" t="s">
        <v>662</v>
      </c>
      <c r="G112" t="s">
        <v>663</v>
      </c>
      <c r="H112" s="1">
        <v>45417</v>
      </c>
      <c r="I112" s="1">
        <v>45634</v>
      </c>
      <c r="J112" t="s">
        <v>664</v>
      </c>
      <c r="K112">
        <v>18</v>
      </c>
      <c r="L112">
        <v>72</v>
      </c>
      <c r="M112">
        <v>71</v>
      </c>
      <c r="N112" t="s">
        <v>34</v>
      </c>
      <c r="O112">
        <v>25</v>
      </c>
      <c r="P112">
        <v>81</v>
      </c>
      <c r="Q112" s="3">
        <v>0.76</v>
      </c>
    </row>
    <row r="113" spans="1:17" x14ac:dyDescent="0.35">
      <c r="A113" t="s">
        <v>665</v>
      </c>
      <c r="B113" t="s">
        <v>65</v>
      </c>
      <c r="C113" t="s">
        <v>666</v>
      </c>
      <c r="D113" t="s">
        <v>667</v>
      </c>
      <c r="E113" t="s">
        <v>21</v>
      </c>
      <c r="F113" t="s">
        <v>668</v>
      </c>
      <c r="G113" t="s">
        <v>669</v>
      </c>
      <c r="H113" s="1">
        <v>45417</v>
      </c>
      <c r="I113" t="s">
        <v>600</v>
      </c>
      <c r="J113" t="s">
        <v>670</v>
      </c>
      <c r="K113">
        <v>80</v>
      </c>
      <c r="L113">
        <v>86</v>
      </c>
      <c r="M113">
        <v>50</v>
      </c>
      <c r="N113" t="s">
        <v>235</v>
      </c>
      <c r="O113">
        <v>46</v>
      </c>
      <c r="P113">
        <v>69</v>
      </c>
      <c r="Q113" s="3">
        <v>-2.2400000000000002</v>
      </c>
    </row>
    <row r="114" spans="1:17" x14ac:dyDescent="0.35">
      <c r="A114" t="s">
        <v>671</v>
      </c>
      <c r="B114" t="s">
        <v>65</v>
      </c>
      <c r="C114" t="s">
        <v>672</v>
      </c>
      <c r="D114" t="s">
        <v>673</v>
      </c>
      <c r="E114" t="s">
        <v>21</v>
      </c>
      <c r="F114" t="s">
        <v>674</v>
      </c>
      <c r="G114" t="s">
        <v>675</v>
      </c>
      <c r="H114" s="1">
        <v>45418</v>
      </c>
      <c r="I114" t="s">
        <v>676</v>
      </c>
      <c r="J114" s="1">
        <v>45330</v>
      </c>
      <c r="K114">
        <v>11</v>
      </c>
      <c r="L114">
        <v>10</v>
      </c>
      <c r="M114">
        <v>80</v>
      </c>
      <c r="N114" t="s">
        <v>49</v>
      </c>
      <c r="O114">
        <v>48</v>
      </c>
      <c r="P114">
        <v>65</v>
      </c>
      <c r="Q114" s="3">
        <v>-0.5</v>
      </c>
    </row>
    <row r="115" spans="1:17" x14ac:dyDescent="0.35">
      <c r="A115" t="s">
        <v>289</v>
      </c>
      <c r="B115" t="s">
        <v>114</v>
      </c>
      <c r="C115" t="s">
        <v>677</v>
      </c>
      <c r="D115" t="s">
        <v>678</v>
      </c>
      <c r="E115" t="s">
        <v>30</v>
      </c>
      <c r="F115" t="s">
        <v>679</v>
      </c>
      <c r="G115" t="s">
        <v>680</v>
      </c>
      <c r="H115" s="1">
        <v>45418</v>
      </c>
      <c r="I115" t="s">
        <v>398</v>
      </c>
      <c r="J115" t="s">
        <v>645</v>
      </c>
      <c r="K115">
        <v>99</v>
      </c>
      <c r="L115">
        <v>3</v>
      </c>
      <c r="M115">
        <v>79</v>
      </c>
      <c r="N115" t="s">
        <v>73</v>
      </c>
      <c r="O115">
        <v>65</v>
      </c>
      <c r="P115">
        <v>16</v>
      </c>
      <c r="Q115" s="3">
        <v>-0.35</v>
      </c>
    </row>
    <row r="116" spans="1:17" x14ac:dyDescent="0.35">
      <c r="A116" t="s">
        <v>596</v>
      </c>
      <c r="B116" t="s">
        <v>18</v>
      </c>
      <c r="C116" t="s">
        <v>681</v>
      </c>
      <c r="D116" t="s">
        <v>682</v>
      </c>
      <c r="E116" t="s">
        <v>68</v>
      </c>
      <c r="F116" t="s">
        <v>683</v>
      </c>
      <c r="G116" t="s">
        <v>684</v>
      </c>
      <c r="H116" s="1">
        <v>45418</v>
      </c>
      <c r="I116" s="1">
        <v>45360</v>
      </c>
      <c r="J116" t="s">
        <v>522</v>
      </c>
      <c r="K116">
        <v>40</v>
      </c>
      <c r="L116">
        <v>83</v>
      </c>
      <c r="M116">
        <v>50</v>
      </c>
      <c r="N116" t="s">
        <v>121</v>
      </c>
      <c r="O116">
        <v>92</v>
      </c>
      <c r="P116">
        <v>50</v>
      </c>
      <c r="Q116" s="3">
        <v>0.75</v>
      </c>
    </row>
    <row r="117" spans="1:17" x14ac:dyDescent="0.35">
      <c r="A117" t="s">
        <v>685</v>
      </c>
      <c r="B117" t="s">
        <v>114</v>
      </c>
      <c r="C117" t="s">
        <v>686</v>
      </c>
      <c r="D117" t="s">
        <v>687</v>
      </c>
      <c r="E117" t="s">
        <v>30</v>
      </c>
      <c r="F117" t="s">
        <v>688</v>
      </c>
      <c r="G117" t="s">
        <v>689</v>
      </c>
      <c r="H117" s="1">
        <v>45419</v>
      </c>
      <c r="I117" t="s">
        <v>159</v>
      </c>
      <c r="J117" s="1">
        <v>45508</v>
      </c>
      <c r="K117">
        <v>69</v>
      </c>
      <c r="L117">
        <v>65</v>
      </c>
      <c r="M117">
        <v>91</v>
      </c>
      <c r="N117" t="s">
        <v>153</v>
      </c>
      <c r="O117">
        <v>98</v>
      </c>
      <c r="P117">
        <v>50</v>
      </c>
      <c r="Q117" s="3">
        <v>0.46</v>
      </c>
    </row>
    <row r="118" spans="1:17" x14ac:dyDescent="0.35">
      <c r="A118" t="s">
        <v>690</v>
      </c>
      <c r="B118" t="s">
        <v>36</v>
      </c>
      <c r="C118" t="s">
        <v>691</v>
      </c>
      <c r="D118" t="s">
        <v>692</v>
      </c>
      <c r="E118" t="s">
        <v>68</v>
      </c>
      <c r="F118" t="s">
        <v>693</v>
      </c>
      <c r="G118" t="s">
        <v>694</v>
      </c>
      <c r="H118" s="1">
        <v>45419</v>
      </c>
      <c r="I118" s="1">
        <v>45392</v>
      </c>
      <c r="J118" s="1">
        <v>45542</v>
      </c>
      <c r="K118">
        <v>60</v>
      </c>
      <c r="L118">
        <v>43</v>
      </c>
      <c r="M118">
        <v>32</v>
      </c>
      <c r="N118" t="s">
        <v>128</v>
      </c>
      <c r="O118">
        <v>77</v>
      </c>
      <c r="P118">
        <v>60</v>
      </c>
      <c r="Q118" s="3">
        <v>0.49</v>
      </c>
    </row>
    <row r="119" spans="1:17" x14ac:dyDescent="0.35">
      <c r="A119" t="s">
        <v>695</v>
      </c>
      <c r="B119" t="s">
        <v>65</v>
      </c>
      <c r="C119" t="s">
        <v>696</v>
      </c>
      <c r="D119" t="s">
        <v>697</v>
      </c>
      <c r="E119" t="s">
        <v>21</v>
      </c>
      <c r="F119" t="s">
        <v>698</v>
      </c>
      <c r="G119" t="s">
        <v>699</v>
      </c>
      <c r="H119" s="1">
        <v>45419</v>
      </c>
      <c r="I119" s="1">
        <v>45514</v>
      </c>
      <c r="J119" s="1">
        <v>45300</v>
      </c>
      <c r="K119">
        <v>79</v>
      </c>
      <c r="L119">
        <v>38</v>
      </c>
      <c r="M119">
        <v>67</v>
      </c>
      <c r="N119" t="s">
        <v>128</v>
      </c>
      <c r="O119">
        <v>43</v>
      </c>
      <c r="P119">
        <v>93</v>
      </c>
      <c r="Q119" s="3">
        <v>0.22</v>
      </c>
    </row>
    <row r="120" spans="1:17" x14ac:dyDescent="0.35">
      <c r="A120" t="s">
        <v>619</v>
      </c>
      <c r="B120" t="s">
        <v>18</v>
      </c>
      <c r="C120" t="s">
        <v>338</v>
      </c>
      <c r="D120" t="s">
        <v>700</v>
      </c>
      <c r="E120" t="s">
        <v>30</v>
      </c>
      <c r="F120" t="s">
        <v>701</v>
      </c>
      <c r="G120" t="s">
        <v>702</v>
      </c>
      <c r="H120" s="1">
        <v>45420</v>
      </c>
      <c r="I120" s="1">
        <v>45962</v>
      </c>
      <c r="J120" s="1">
        <v>45389</v>
      </c>
      <c r="K120">
        <v>68</v>
      </c>
      <c r="L120">
        <v>12</v>
      </c>
      <c r="M120">
        <v>73</v>
      </c>
      <c r="N120" t="s">
        <v>73</v>
      </c>
      <c r="O120">
        <v>84</v>
      </c>
      <c r="P120">
        <v>95</v>
      </c>
      <c r="Q120" s="3">
        <v>-1.1599999999999999</v>
      </c>
    </row>
    <row r="121" spans="1:17" x14ac:dyDescent="0.35">
      <c r="A121" t="s">
        <v>388</v>
      </c>
      <c r="B121" t="s">
        <v>75</v>
      </c>
      <c r="C121" t="s">
        <v>703</v>
      </c>
      <c r="D121" t="s">
        <v>704</v>
      </c>
      <c r="E121" t="s">
        <v>68</v>
      </c>
      <c r="F121" t="s">
        <v>705</v>
      </c>
      <c r="G121" t="s">
        <v>706</v>
      </c>
      <c r="H121" s="1">
        <v>45421</v>
      </c>
      <c r="I121" t="s">
        <v>610</v>
      </c>
      <c r="J121" t="s">
        <v>707</v>
      </c>
      <c r="K121">
        <v>44</v>
      </c>
      <c r="L121">
        <v>67</v>
      </c>
      <c r="M121">
        <v>48</v>
      </c>
      <c r="N121" t="s">
        <v>344</v>
      </c>
      <c r="O121">
        <v>90</v>
      </c>
      <c r="P121">
        <v>11</v>
      </c>
      <c r="Q121" s="3">
        <v>-0.13</v>
      </c>
    </row>
    <row r="122" spans="1:17" x14ac:dyDescent="0.35">
      <c r="A122" t="s">
        <v>708</v>
      </c>
      <c r="B122" t="s">
        <v>163</v>
      </c>
      <c r="C122" t="s">
        <v>201</v>
      </c>
      <c r="D122" t="s">
        <v>709</v>
      </c>
      <c r="E122" t="s">
        <v>68</v>
      </c>
      <c r="F122" t="s">
        <v>710</v>
      </c>
      <c r="G122" t="s">
        <v>711</v>
      </c>
      <c r="H122" s="1">
        <v>45421</v>
      </c>
      <c r="I122" t="s">
        <v>712</v>
      </c>
      <c r="J122" s="1">
        <v>45356</v>
      </c>
      <c r="K122">
        <v>40</v>
      </c>
      <c r="L122">
        <v>30</v>
      </c>
      <c r="M122">
        <v>60</v>
      </c>
      <c r="N122" t="s">
        <v>713</v>
      </c>
      <c r="O122">
        <v>33</v>
      </c>
      <c r="P122">
        <v>84</v>
      </c>
      <c r="Q122" s="3">
        <v>0.88</v>
      </c>
    </row>
    <row r="123" spans="1:17" x14ac:dyDescent="0.35">
      <c r="A123" t="s">
        <v>695</v>
      </c>
      <c r="B123" t="s">
        <v>65</v>
      </c>
      <c r="C123" t="s">
        <v>714</v>
      </c>
      <c r="D123" t="s">
        <v>715</v>
      </c>
      <c r="E123" t="s">
        <v>68</v>
      </c>
      <c r="F123" t="s">
        <v>716</v>
      </c>
      <c r="G123" t="s">
        <v>717</v>
      </c>
      <c r="H123" s="1">
        <v>45421</v>
      </c>
      <c r="I123" s="1">
        <v>45605</v>
      </c>
      <c r="J123" t="s">
        <v>398</v>
      </c>
      <c r="K123">
        <v>46</v>
      </c>
      <c r="L123">
        <v>81</v>
      </c>
      <c r="M123">
        <v>47</v>
      </c>
      <c r="N123" t="s">
        <v>128</v>
      </c>
      <c r="O123">
        <v>48</v>
      </c>
      <c r="P123">
        <v>48</v>
      </c>
      <c r="Q123" s="3">
        <v>-1.55</v>
      </c>
    </row>
    <row r="124" spans="1:17" x14ac:dyDescent="0.35">
      <c r="A124" t="s">
        <v>718</v>
      </c>
      <c r="B124" t="s">
        <v>65</v>
      </c>
      <c r="C124" t="s">
        <v>223</v>
      </c>
      <c r="D124" t="s">
        <v>719</v>
      </c>
      <c r="E124" t="s">
        <v>30</v>
      </c>
      <c r="F124" t="s">
        <v>720</v>
      </c>
      <c r="G124" t="s">
        <v>721</v>
      </c>
      <c r="H124" s="1">
        <v>45422</v>
      </c>
      <c r="I124" t="s">
        <v>722</v>
      </c>
      <c r="J124" t="s">
        <v>175</v>
      </c>
      <c r="K124">
        <v>24</v>
      </c>
      <c r="L124">
        <v>69</v>
      </c>
      <c r="M124">
        <v>2</v>
      </c>
      <c r="N124" t="s">
        <v>34</v>
      </c>
      <c r="O124">
        <v>20</v>
      </c>
      <c r="P124">
        <v>20</v>
      </c>
      <c r="Q124" s="3">
        <v>0</v>
      </c>
    </row>
    <row r="125" spans="1:17" x14ac:dyDescent="0.35">
      <c r="A125" t="s">
        <v>200</v>
      </c>
      <c r="B125" t="s">
        <v>163</v>
      </c>
      <c r="C125" t="s">
        <v>723</v>
      </c>
      <c r="D125" t="s">
        <v>724</v>
      </c>
      <c r="E125" t="s">
        <v>68</v>
      </c>
      <c r="F125" t="s">
        <v>725</v>
      </c>
      <c r="G125" t="s">
        <v>726</v>
      </c>
      <c r="H125" s="1">
        <v>45422</v>
      </c>
      <c r="I125" s="1">
        <v>45572</v>
      </c>
      <c r="J125" t="s">
        <v>428</v>
      </c>
      <c r="K125">
        <v>29</v>
      </c>
      <c r="L125">
        <v>91</v>
      </c>
      <c r="M125">
        <v>48</v>
      </c>
      <c r="N125" t="s">
        <v>42</v>
      </c>
      <c r="O125">
        <v>28</v>
      </c>
      <c r="P125">
        <v>40</v>
      </c>
      <c r="Q125" s="3">
        <v>0</v>
      </c>
    </row>
    <row r="126" spans="1:17" x14ac:dyDescent="0.35">
      <c r="A126" t="s">
        <v>727</v>
      </c>
      <c r="B126" t="s">
        <v>36</v>
      </c>
      <c r="C126" t="s">
        <v>728</v>
      </c>
      <c r="D126" t="s">
        <v>729</v>
      </c>
      <c r="E126" t="s">
        <v>21</v>
      </c>
      <c r="F126" t="s">
        <v>730</v>
      </c>
      <c r="G126" t="s">
        <v>731</v>
      </c>
      <c r="H126" s="1">
        <v>45423</v>
      </c>
      <c r="I126" s="1">
        <v>45480</v>
      </c>
      <c r="J126" t="s">
        <v>732</v>
      </c>
      <c r="K126">
        <v>97</v>
      </c>
      <c r="L126">
        <v>88</v>
      </c>
      <c r="M126">
        <v>81</v>
      </c>
      <c r="N126" t="s">
        <v>733</v>
      </c>
      <c r="O126">
        <v>97</v>
      </c>
      <c r="P126">
        <v>18</v>
      </c>
      <c r="Q126" s="3">
        <v>-0.43</v>
      </c>
    </row>
    <row r="127" spans="1:17" x14ac:dyDescent="0.35">
      <c r="A127" t="s">
        <v>734</v>
      </c>
      <c r="B127" t="s">
        <v>163</v>
      </c>
      <c r="C127" t="s">
        <v>735</v>
      </c>
      <c r="D127" t="s">
        <v>736</v>
      </c>
      <c r="E127" t="s">
        <v>21</v>
      </c>
      <c r="F127" t="s">
        <v>737</v>
      </c>
      <c r="G127" t="s">
        <v>738</v>
      </c>
      <c r="H127" s="1">
        <v>45423</v>
      </c>
      <c r="I127" t="s">
        <v>494</v>
      </c>
      <c r="J127" t="s">
        <v>739</v>
      </c>
      <c r="K127">
        <v>77</v>
      </c>
      <c r="L127">
        <v>45</v>
      </c>
      <c r="M127">
        <v>75</v>
      </c>
      <c r="N127" t="s">
        <v>740</v>
      </c>
      <c r="O127">
        <v>25</v>
      </c>
      <c r="P127">
        <v>37</v>
      </c>
      <c r="Q127" s="3">
        <v>0.81</v>
      </c>
    </row>
    <row r="128" spans="1:17" x14ac:dyDescent="0.35">
      <c r="A128" t="s">
        <v>741</v>
      </c>
      <c r="B128" t="s">
        <v>27</v>
      </c>
      <c r="C128" t="s">
        <v>460</v>
      </c>
      <c r="D128" t="s">
        <v>742</v>
      </c>
      <c r="E128" t="s">
        <v>21</v>
      </c>
      <c r="F128" t="s">
        <v>743</v>
      </c>
      <c r="G128" t="s">
        <v>744</v>
      </c>
      <c r="H128" s="1">
        <v>45423</v>
      </c>
      <c r="I128" s="1">
        <v>45603</v>
      </c>
      <c r="J128" t="s">
        <v>745</v>
      </c>
      <c r="K128">
        <v>33</v>
      </c>
      <c r="L128">
        <v>78</v>
      </c>
      <c r="M128">
        <v>79</v>
      </c>
      <c r="N128" t="s">
        <v>73</v>
      </c>
      <c r="O128">
        <v>60</v>
      </c>
      <c r="P128">
        <v>25</v>
      </c>
      <c r="Q128" s="3">
        <v>-0.48</v>
      </c>
    </row>
    <row r="129" spans="1:17" x14ac:dyDescent="0.35">
      <c r="A129" t="s">
        <v>350</v>
      </c>
      <c r="B129" t="s">
        <v>36</v>
      </c>
      <c r="C129" t="s">
        <v>746</v>
      </c>
      <c r="D129" t="s">
        <v>747</v>
      </c>
      <c r="E129" t="s">
        <v>21</v>
      </c>
      <c r="F129" t="s">
        <v>748</v>
      </c>
      <c r="G129" t="s">
        <v>749</v>
      </c>
      <c r="H129" s="1">
        <v>45423</v>
      </c>
      <c r="I129" s="1">
        <v>45779</v>
      </c>
      <c r="J129" t="s">
        <v>294</v>
      </c>
      <c r="K129">
        <v>77</v>
      </c>
      <c r="L129">
        <v>1</v>
      </c>
      <c r="M129">
        <v>41</v>
      </c>
      <c r="N129" t="s">
        <v>355</v>
      </c>
      <c r="O129">
        <v>58</v>
      </c>
      <c r="P129">
        <v>55</v>
      </c>
      <c r="Q129" s="3">
        <v>0.57999999999999996</v>
      </c>
    </row>
    <row r="130" spans="1:17" x14ac:dyDescent="0.35">
      <c r="A130" t="s">
        <v>750</v>
      </c>
      <c r="B130" t="s">
        <v>36</v>
      </c>
      <c r="C130" t="s">
        <v>751</v>
      </c>
      <c r="D130" t="s">
        <v>752</v>
      </c>
      <c r="E130" t="s">
        <v>68</v>
      </c>
      <c r="F130" t="s">
        <v>753</v>
      </c>
      <c r="G130" t="s">
        <v>754</v>
      </c>
      <c r="H130" s="1">
        <v>45423</v>
      </c>
      <c r="I130" t="s">
        <v>755</v>
      </c>
      <c r="J130" t="s">
        <v>756</v>
      </c>
      <c r="K130">
        <v>28</v>
      </c>
      <c r="L130">
        <v>90</v>
      </c>
      <c r="M130">
        <v>70</v>
      </c>
      <c r="N130" t="s">
        <v>512</v>
      </c>
      <c r="O130">
        <v>76</v>
      </c>
      <c r="P130">
        <v>78</v>
      </c>
      <c r="Q130" s="3">
        <v>0.05</v>
      </c>
    </row>
    <row r="131" spans="1:17" x14ac:dyDescent="0.35">
      <c r="A131" t="s">
        <v>532</v>
      </c>
      <c r="B131" t="s">
        <v>75</v>
      </c>
      <c r="C131" t="s">
        <v>338</v>
      </c>
      <c r="D131" t="s">
        <v>757</v>
      </c>
      <c r="E131" t="s">
        <v>21</v>
      </c>
      <c r="F131" t="s">
        <v>758</v>
      </c>
      <c r="G131" t="s">
        <v>759</v>
      </c>
      <c r="H131" s="1">
        <v>45423</v>
      </c>
      <c r="I131" s="1">
        <v>45329</v>
      </c>
      <c r="J131" s="1">
        <v>45508</v>
      </c>
      <c r="K131">
        <v>85</v>
      </c>
      <c r="L131">
        <v>17</v>
      </c>
      <c r="M131">
        <v>96</v>
      </c>
      <c r="N131" t="s">
        <v>537</v>
      </c>
      <c r="O131">
        <v>92</v>
      </c>
      <c r="P131">
        <v>34</v>
      </c>
      <c r="Q131" s="3">
        <v>-0.03</v>
      </c>
    </row>
    <row r="132" spans="1:17" x14ac:dyDescent="0.35">
      <c r="A132" t="s">
        <v>177</v>
      </c>
      <c r="B132" t="s">
        <v>18</v>
      </c>
      <c r="C132" t="s">
        <v>760</v>
      </c>
      <c r="D132" t="s">
        <v>761</v>
      </c>
      <c r="E132" t="s">
        <v>68</v>
      </c>
      <c r="F132" t="s">
        <v>762</v>
      </c>
      <c r="G132" t="s">
        <v>763</v>
      </c>
      <c r="H132" s="1">
        <v>45423</v>
      </c>
      <c r="I132" t="s">
        <v>264</v>
      </c>
      <c r="J132" t="s">
        <v>764</v>
      </c>
      <c r="K132">
        <v>73</v>
      </c>
      <c r="L132">
        <v>69</v>
      </c>
      <c r="M132">
        <v>1</v>
      </c>
      <c r="N132" t="s">
        <v>73</v>
      </c>
      <c r="O132">
        <v>50</v>
      </c>
      <c r="P132">
        <v>67</v>
      </c>
      <c r="Q132" s="3">
        <v>0.63</v>
      </c>
    </row>
    <row r="133" spans="1:17" x14ac:dyDescent="0.35">
      <c r="A133" t="s">
        <v>435</v>
      </c>
      <c r="B133" t="s">
        <v>18</v>
      </c>
      <c r="C133" t="s">
        <v>404</v>
      </c>
      <c r="D133" t="s">
        <v>765</v>
      </c>
      <c r="E133" t="s">
        <v>30</v>
      </c>
      <c r="F133" t="s">
        <v>766</v>
      </c>
      <c r="G133" t="s">
        <v>767</v>
      </c>
      <c r="H133" s="1">
        <v>45423</v>
      </c>
      <c r="I133" s="1">
        <v>45515</v>
      </c>
      <c r="J133" t="s">
        <v>768</v>
      </c>
      <c r="K133">
        <v>88</v>
      </c>
      <c r="L133">
        <v>24</v>
      </c>
      <c r="M133">
        <v>44</v>
      </c>
      <c r="N133" t="s">
        <v>344</v>
      </c>
      <c r="O133">
        <v>72</v>
      </c>
      <c r="P133">
        <v>88</v>
      </c>
      <c r="Q133" s="3">
        <v>-0.34</v>
      </c>
    </row>
    <row r="134" spans="1:17" x14ac:dyDescent="0.35">
      <c r="A134" t="s">
        <v>769</v>
      </c>
      <c r="B134" t="s">
        <v>36</v>
      </c>
      <c r="C134" t="s">
        <v>770</v>
      </c>
      <c r="D134" t="s">
        <v>771</v>
      </c>
      <c r="E134" t="s">
        <v>68</v>
      </c>
      <c r="F134" t="s">
        <v>772</v>
      </c>
      <c r="G134" t="s">
        <v>773</v>
      </c>
      <c r="H134" s="1">
        <v>45423</v>
      </c>
      <c r="I134" s="1">
        <v>45484</v>
      </c>
      <c r="J134" t="s">
        <v>774</v>
      </c>
      <c r="K134">
        <v>64</v>
      </c>
      <c r="L134">
        <v>28</v>
      </c>
      <c r="M134">
        <v>35</v>
      </c>
      <c r="N134" t="s">
        <v>34</v>
      </c>
      <c r="O134">
        <v>74</v>
      </c>
      <c r="P134">
        <v>50</v>
      </c>
      <c r="Q134" s="3">
        <v>-0.22</v>
      </c>
    </row>
    <row r="135" spans="1:17" x14ac:dyDescent="0.35">
      <c r="A135" t="s">
        <v>283</v>
      </c>
      <c r="B135" t="s">
        <v>163</v>
      </c>
      <c r="C135" t="s">
        <v>775</v>
      </c>
      <c r="D135" t="s">
        <v>776</v>
      </c>
      <c r="E135" t="s">
        <v>30</v>
      </c>
      <c r="F135" t="s">
        <v>777</v>
      </c>
      <c r="G135" t="s">
        <v>778</v>
      </c>
      <c r="H135" s="1">
        <v>45424</v>
      </c>
      <c r="I135" t="s">
        <v>779</v>
      </c>
      <c r="J135" t="s">
        <v>780</v>
      </c>
      <c r="K135">
        <v>68</v>
      </c>
      <c r="L135">
        <v>12</v>
      </c>
      <c r="M135">
        <v>42</v>
      </c>
      <c r="N135" t="s">
        <v>82</v>
      </c>
      <c r="O135">
        <v>39</v>
      </c>
      <c r="P135">
        <v>6</v>
      </c>
      <c r="Q135" s="3">
        <v>0.32</v>
      </c>
    </row>
    <row r="136" spans="1:17" x14ac:dyDescent="0.35">
      <c r="A136" t="s">
        <v>228</v>
      </c>
      <c r="B136" t="s">
        <v>18</v>
      </c>
      <c r="C136" t="s">
        <v>615</v>
      </c>
      <c r="D136" t="s">
        <v>781</v>
      </c>
      <c r="E136" t="s">
        <v>21</v>
      </c>
      <c r="F136" t="s">
        <v>782</v>
      </c>
      <c r="G136" t="s">
        <v>783</v>
      </c>
      <c r="H136" s="1">
        <v>45446</v>
      </c>
      <c r="I136" t="s">
        <v>784</v>
      </c>
      <c r="J136" t="s">
        <v>785</v>
      </c>
      <c r="K136">
        <v>85</v>
      </c>
      <c r="L136">
        <v>33</v>
      </c>
      <c r="M136">
        <v>50</v>
      </c>
      <c r="N136" t="s">
        <v>235</v>
      </c>
      <c r="O136">
        <v>64</v>
      </c>
      <c r="P136">
        <v>38</v>
      </c>
      <c r="Q136" s="3">
        <v>0.85</v>
      </c>
    </row>
    <row r="137" spans="1:17" x14ac:dyDescent="0.35">
      <c r="A137" t="s">
        <v>786</v>
      </c>
      <c r="B137" t="s">
        <v>65</v>
      </c>
      <c r="C137" t="s">
        <v>787</v>
      </c>
      <c r="D137" t="s">
        <v>788</v>
      </c>
      <c r="E137" t="s">
        <v>30</v>
      </c>
      <c r="F137" t="s">
        <v>789</v>
      </c>
      <c r="G137" t="s">
        <v>790</v>
      </c>
      <c r="H137" s="1">
        <v>45446</v>
      </c>
      <c r="I137" t="s">
        <v>791</v>
      </c>
      <c r="J137" t="s">
        <v>792</v>
      </c>
      <c r="K137">
        <v>46</v>
      </c>
      <c r="L137">
        <v>20</v>
      </c>
      <c r="M137">
        <v>30</v>
      </c>
      <c r="N137" t="s">
        <v>128</v>
      </c>
      <c r="O137">
        <v>54</v>
      </c>
      <c r="P137">
        <v>24</v>
      </c>
      <c r="Q137" s="3">
        <v>0.41</v>
      </c>
    </row>
    <row r="138" spans="1:17" x14ac:dyDescent="0.35">
      <c r="A138" t="s">
        <v>793</v>
      </c>
      <c r="B138" t="s">
        <v>75</v>
      </c>
      <c r="C138" t="s">
        <v>794</v>
      </c>
      <c r="D138" t="s">
        <v>795</v>
      </c>
      <c r="E138" t="s">
        <v>21</v>
      </c>
      <c r="F138" t="s">
        <v>796</v>
      </c>
      <c r="G138" t="s">
        <v>797</v>
      </c>
      <c r="H138" s="1">
        <v>45446</v>
      </c>
      <c r="I138" s="1">
        <v>45477</v>
      </c>
      <c r="J138" t="s">
        <v>707</v>
      </c>
      <c r="K138">
        <v>72</v>
      </c>
      <c r="L138">
        <v>29</v>
      </c>
      <c r="M138">
        <v>10</v>
      </c>
      <c r="N138" t="s">
        <v>798</v>
      </c>
      <c r="O138">
        <v>54</v>
      </c>
      <c r="P138">
        <v>38</v>
      </c>
      <c r="Q138" s="3">
        <v>0.56000000000000005</v>
      </c>
    </row>
    <row r="139" spans="1:17" x14ac:dyDescent="0.35">
      <c r="A139" t="s">
        <v>671</v>
      </c>
      <c r="B139" t="s">
        <v>65</v>
      </c>
      <c r="C139" t="s">
        <v>799</v>
      </c>
      <c r="D139" t="s">
        <v>800</v>
      </c>
      <c r="E139" t="s">
        <v>21</v>
      </c>
      <c r="F139" t="s">
        <v>801</v>
      </c>
      <c r="G139" t="s">
        <v>802</v>
      </c>
      <c r="H139" s="1">
        <v>45447</v>
      </c>
      <c r="I139" s="1">
        <v>45296</v>
      </c>
      <c r="J139" t="s">
        <v>803</v>
      </c>
      <c r="K139">
        <v>67</v>
      </c>
      <c r="L139">
        <v>88</v>
      </c>
      <c r="M139">
        <v>32</v>
      </c>
      <c r="N139" t="s">
        <v>49</v>
      </c>
      <c r="O139">
        <v>66</v>
      </c>
      <c r="P139">
        <v>42</v>
      </c>
      <c r="Q139" s="3">
        <v>0.3</v>
      </c>
    </row>
    <row r="140" spans="1:17" x14ac:dyDescent="0.35">
      <c r="A140" t="s">
        <v>129</v>
      </c>
      <c r="B140" t="s">
        <v>18</v>
      </c>
      <c r="C140" t="s">
        <v>804</v>
      </c>
      <c r="D140" t="s">
        <v>805</v>
      </c>
      <c r="E140" t="s">
        <v>30</v>
      </c>
      <c r="F140" t="s">
        <v>806</v>
      </c>
      <c r="G140" t="s">
        <v>807</v>
      </c>
      <c r="H140" s="1">
        <v>45447</v>
      </c>
      <c r="I140" t="s">
        <v>554</v>
      </c>
      <c r="J140" t="s">
        <v>808</v>
      </c>
      <c r="K140">
        <v>41</v>
      </c>
      <c r="L140">
        <v>52</v>
      </c>
      <c r="M140">
        <v>75</v>
      </c>
      <c r="N140" t="s">
        <v>134</v>
      </c>
      <c r="O140">
        <v>57</v>
      </c>
      <c r="P140">
        <v>62</v>
      </c>
      <c r="Q140" s="3">
        <v>0.36</v>
      </c>
    </row>
    <row r="141" spans="1:17" x14ac:dyDescent="0.35">
      <c r="A141" t="s">
        <v>122</v>
      </c>
      <c r="B141" t="s">
        <v>18</v>
      </c>
      <c r="C141" t="s">
        <v>327</v>
      </c>
      <c r="D141" t="s">
        <v>809</v>
      </c>
      <c r="E141" t="s">
        <v>30</v>
      </c>
      <c r="F141" t="s">
        <v>810</v>
      </c>
      <c r="G141" t="s">
        <v>811</v>
      </c>
      <c r="H141" s="1">
        <v>45447</v>
      </c>
      <c r="I141" t="s">
        <v>812</v>
      </c>
      <c r="J141" s="1">
        <v>45508</v>
      </c>
      <c r="K141">
        <v>66</v>
      </c>
      <c r="L141">
        <v>31</v>
      </c>
      <c r="M141">
        <v>18</v>
      </c>
      <c r="N141" t="s">
        <v>128</v>
      </c>
      <c r="O141">
        <v>85</v>
      </c>
      <c r="P141">
        <v>39</v>
      </c>
      <c r="Q141" s="3">
        <v>-0.09</v>
      </c>
    </row>
    <row r="142" spans="1:17" x14ac:dyDescent="0.35">
      <c r="A142" t="s">
        <v>708</v>
      </c>
      <c r="B142" t="s">
        <v>163</v>
      </c>
      <c r="C142" t="s">
        <v>28</v>
      </c>
      <c r="D142" t="s">
        <v>813</v>
      </c>
      <c r="E142" t="s">
        <v>68</v>
      </c>
      <c r="F142" t="s">
        <v>814</v>
      </c>
      <c r="G142" t="s">
        <v>815</v>
      </c>
      <c r="H142" s="1">
        <v>45447</v>
      </c>
      <c r="I142" s="1">
        <v>45542</v>
      </c>
      <c r="J142" s="1">
        <v>45635</v>
      </c>
      <c r="K142">
        <v>78</v>
      </c>
      <c r="L142">
        <v>38</v>
      </c>
      <c r="M142">
        <v>27</v>
      </c>
      <c r="N142" t="s">
        <v>713</v>
      </c>
      <c r="O142">
        <v>54</v>
      </c>
      <c r="P142">
        <v>42</v>
      </c>
      <c r="Q142" s="3">
        <v>0.54</v>
      </c>
    </row>
    <row r="143" spans="1:17" x14ac:dyDescent="0.35">
      <c r="A143" t="s">
        <v>154</v>
      </c>
      <c r="B143" t="s">
        <v>65</v>
      </c>
      <c r="C143" t="s">
        <v>259</v>
      </c>
      <c r="D143" t="s">
        <v>816</v>
      </c>
      <c r="E143" t="s">
        <v>30</v>
      </c>
      <c r="F143" t="s">
        <v>817</v>
      </c>
      <c r="G143" t="s">
        <v>818</v>
      </c>
      <c r="H143" s="1">
        <v>45447</v>
      </c>
      <c r="I143" t="s">
        <v>526</v>
      </c>
      <c r="J143" s="1">
        <v>45779</v>
      </c>
      <c r="K143">
        <v>86</v>
      </c>
      <c r="L143">
        <v>100</v>
      </c>
      <c r="M143">
        <v>78</v>
      </c>
      <c r="N143" t="s">
        <v>349</v>
      </c>
      <c r="O143">
        <v>52</v>
      </c>
      <c r="P143">
        <v>91</v>
      </c>
      <c r="Q143" s="3">
        <v>0.22</v>
      </c>
    </row>
    <row r="144" spans="1:17" x14ac:dyDescent="0.35">
      <c r="A144" t="s">
        <v>690</v>
      </c>
      <c r="B144" t="s">
        <v>36</v>
      </c>
      <c r="C144" t="s">
        <v>760</v>
      </c>
      <c r="D144" t="s">
        <v>819</v>
      </c>
      <c r="E144" t="s">
        <v>21</v>
      </c>
      <c r="F144" t="s">
        <v>820</v>
      </c>
      <c r="G144" t="s">
        <v>821</v>
      </c>
      <c r="H144" s="1">
        <v>45448</v>
      </c>
      <c r="I144" s="1">
        <v>45356</v>
      </c>
      <c r="J144" t="s">
        <v>822</v>
      </c>
      <c r="K144">
        <v>90</v>
      </c>
      <c r="L144">
        <v>3</v>
      </c>
      <c r="M144">
        <v>49</v>
      </c>
      <c r="N144" t="s">
        <v>128</v>
      </c>
      <c r="O144">
        <v>51</v>
      </c>
      <c r="P144">
        <v>87</v>
      </c>
      <c r="Q144" s="3">
        <v>-0.75</v>
      </c>
    </row>
    <row r="145" spans="1:17" x14ac:dyDescent="0.35">
      <c r="A145" t="s">
        <v>423</v>
      </c>
      <c r="B145" t="s">
        <v>65</v>
      </c>
      <c r="C145" t="s">
        <v>823</v>
      </c>
      <c r="D145" t="s">
        <v>824</v>
      </c>
      <c r="E145" t="s">
        <v>68</v>
      </c>
      <c r="F145" t="s">
        <v>825</v>
      </c>
      <c r="G145" t="s">
        <v>826</v>
      </c>
      <c r="H145" s="1">
        <v>45448</v>
      </c>
      <c r="I145" t="s">
        <v>827</v>
      </c>
      <c r="J145" t="s">
        <v>791</v>
      </c>
      <c r="K145">
        <v>41</v>
      </c>
      <c r="L145">
        <v>56</v>
      </c>
      <c r="M145">
        <v>12</v>
      </c>
      <c r="N145" t="s">
        <v>434</v>
      </c>
      <c r="O145">
        <v>93</v>
      </c>
      <c r="P145">
        <v>88</v>
      </c>
      <c r="Q145" s="3">
        <v>-0.71</v>
      </c>
    </row>
    <row r="146" spans="1:17" x14ac:dyDescent="0.35">
      <c r="A146" t="s">
        <v>418</v>
      </c>
      <c r="B146" t="s">
        <v>65</v>
      </c>
      <c r="C146" t="s">
        <v>828</v>
      </c>
      <c r="D146" t="s">
        <v>829</v>
      </c>
      <c r="E146" t="s">
        <v>68</v>
      </c>
      <c r="F146" t="s">
        <v>830</v>
      </c>
      <c r="G146" t="s">
        <v>831</v>
      </c>
      <c r="H146" s="1">
        <v>45449</v>
      </c>
      <c r="I146" s="1">
        <v>45363</v>
      </c>
      <c r="J146" s="1">
        <v>45511</v>
      </c>
      <c r="K146">
        <v>11</v>
      </c>
      <c r="L146">
        <v>58</v>
      </c>
      <c r="M146">
        <v>26</v>
      </c>
      <c r="N146" t="s">
        <v>147</v>
      </c>
      <c r="O146">
        <v>49</v>
      </c>
      <c r="P146">
        <v>34</v>
      </c>
      <c r="Q146" s="3">
        <v>0.05</v>
      </c>
    </row>
    <row r="147" spans="1:17" x14ac:dyDescent="0.35">
      <c r="A147" t="s">
        <v>832</v>
      </c>
      <c r="B147" t="s">
        <v>18</v>
      </c>
      <c r="C147" t="s">
        <v>833</v>
      </c>
      <c r="D147" t="s">
        <v>834</v>
      </c>
      <c r="E147" t="s">
        <v>21</v>
      </c>
      <c r="F147" t="s">
        <v>835</v>
      </c>
      <c r="G147" t="s">
        <v>836</v>
      </c>
      <c r="H147" s="1">
        <v>45450</v>
      </c>
      <c r="I147" t="s">
        <v>837</v>
      </c>
      <c r="J147" t="s">
        <v>651</v>
      </c>
      <c r="K147">
        <v>37</v>
      </c>
      <c r="L147">
        <v>8</v>
      </c>
      <c r="M147">
        <v>50</v>
      </c>
      <c r="N147" t="s">
        <v>344</v>
      </c>
      <c r="O147">
        <v>47</v>
      </c>
      <c r="P147">
        <v>62</v>
      </c>
      <c r="Q147" s="3">
        <v>0.31</v>
      </c>
    </row>
    <row r="148" spans="1:17" x14ac:dyDescent="0.35">
      <c r="A148" t="s">
        <v>58</v>
      </c>
      <c r="B148" t="s">
        <v>18</v>
      </c>
      <c r="C148" t="s">
        <v>838</v>
      </c>
      <c r="D148" t="s">
        <v>839</v>
      </c>
      <c r="E148" t="s">
        <v>30</v>
      </c>
      <c r="F148" t="s">
        <v>840</v>
      </c>
      <c r="G148" t="s">
        <v>841</v>
      </c>
      <c r="H148" s="1">
        <v>45450</v>
      </c>
      <c r="I148" t="s">
        <v>803</v>
      </c>
      <c r="J148" s="1">
        <v>45569</v>
      </c>
      <c r="K148">
        <v>72</v>
      </c>
      <c r="L148">
        <v>32</v>
      </c>
      <c r="M148">
        <v>80</v>
      </c>
      <c r="N148" t="s">
        <v>512</v>
      </c>
      <c r="O148">
        <v>25</v>
      </c>
      <c r="P148">
        <v>9</v>
      </c>
      <c r="Q148" s="3">
        <v>-0.32</v>
      </c>
    </row>
    <row r="149" spans="1:17" x14ac:dyDescent="0.35">
      <c r="A149" t="s">
        <v>842</v>
      </c>
      <c r="B149" t="s">
        <v>75</v>
      </c>
      <c r="C149" t="s">
        <v>794</v>
      </c>
      <c r="D149" t="s">
        <v>843</v>
      </c>
      <c r="E149" t="s">
        <v>30</v>
      </c>
      <c r="F149" t="s">
        <v>844</v>
      </c>
      <c r="G149" t="s">
        <v>845</v>
      </c>
      <c r="H149" s="1">
        <v>45450</v>
      </c>
      <c r="I149" s="1">
        <v>45361</v>
      </c>
      <c r="J149" t="s">
        <v>281</v>
      </c>
      <c r="K149">
        <v>75</v>
      </c>
      <c r="L149">
        <v>80</v>
      </c>
      <c r="M149">
        <v>87</v>
      </c>
      <c r="N149" t="s">
        <v>88</v>
      </c>
      <c r="O149">
        <v>49</v>
      </c>
      <c r="P149">
        <v>40</v>
      </c>
      <c r="Q149" s="3">
        <v>0.64</v>
      </c>
    </row>
    <row r="150" spans="1:17" x14ac:dyDescent="0.35">
      <c r="A150" t="s">
        <v>162</v>
      </c>
      <c r="B150" t="s">
        <v>163</v>
      </c>
      <c r="C150" t="s">
        <v>846</v>
      </c>
      <c r="D150" t="s">
        <v>847</v>
      </c>
      <c r="E150" t="s">
        <v>68</v>
      </c>
      <c r="F150" t="s">
        <v>848</v>
      </c>
      <c r="G150" t="s">
        <v>849</v>
      </c>
      <c r="H150" s="1">
        <v>45450</v>
      </c>
      <c r="I150" t="s">
        <v>24</v>
      </c>
      <c r="J150" t="s">
        <v>850</v>
      </c>
      <c r="K150">
        <v>98</v>
      </c>
      <c r="L150">
        <v>83</v>
      </c>
      <c r="M150">
        <v>5</v>
      </c>
      <c r="N150" t="s">
        <v>169</v>
      </c>
      <c r="O150">
        <v>39</v>
      </c>
      <c r="P150">
        <v>79</v>
      </c>
      <c r="Q150" s="3">
        <v>0.18</v>
      </c>
    </row>
    <row r="151" spans="1:17" x14ac:dyDescent="0.35">
      <c r="A151" t="s">
        <v>741</v>
      </c>
      <c r="B151" t="s">
        <v>27</v>
      </c>
      <c r="C151" t="s">
        <v>851</v>
      </c>
      <c r="D151" t="s">
        <v>852</v>
      </c>
      <c r="E151" t="s">
        <v>68</v>
      </c>
      <c r="F151" t="s">
        <v>853</v>
      </c>
      <c r="G151" t="s">
        <v>854</v>
      </c>
      <c r="H151" s="1">
        <v>45450</v>
      </c>
      <c r="I151" s="1">
        <v>45658</v>
      </c>
      <c r="J151" t="s">
        <v>855</v>
      </c>
      <c r="K151">
        <v>90</v>
      </c>
      <c r="L151">
        <v>75</v>
      </c>
      <c r="M151">
        <v>6</v>
      </c>
      <c r="N151" t="s">
        <v>73</v>
      </c>
      <c r="O151">
        <v>55</v>
      </c>
      <c r="P151">
        <v>64</v>
      </c>
      <c r="Q151" s="3">
        <v>-1.03</v>
      </c>
    </row>
    <row r="152" spans="1:17" x14ac:dyDescent="0.35">
      <c r="A152" t="s">
        <v>856</v>
      </c>
      <c r="B152" t="s">
        <v>18</v>
      </c>
      <c r="C152" t="s">
        <v>857</v>
      </c>
      <c r="D152" t="s">
        <v>858</v>
      </c>
      <c r="E152" t="s">
        <v>21</v>
      </c>
      <c r="F152" t="s">
        <v>859</v>
      </c>
      <c r="G152" t="s">
        <v>860</v>
      </c>
      <c r="H152" s="1">
        <v>45450</v>
      </c>
      <c r="I152" t="s">
        <v>589</v>
      </c>
      <c r="J152" t="s">
        <v>301</v>
      </c>
      <c r="K152">
        <v>32</v>
      </c>
      <c r="L152">
        <v>49</v>
      </c>
      <c r="M152">
        <v>73</v>
      </c>
      <c r="N152" t="s">
        <v>128</v>
      </c>
      <c r="O152">
        <v>80</v>
      </c>
      <c r="P152">
        <v>36</v>
      </c>
      <c r="Q152" s="3">
        <v>-0.16</v>
      </c>
    </row>
    <row r="153" spans="1:17" x14ac:dyDescent="0.35">
      <c r="A153" t="s">
        <v>861</v>
      </c>
      <c r="B153" t="s">
        <v>36</v>
      </c>
      <c r="C153" t="s">
        <v>862</v>
      </c>
      <c r="D153" t="s">
        <v>863</v>
      </c>
      <c r="E153" t="s">
        <v>30</v>
      </c>
      <c r="F153" t="s">
        <v>864</v>
      </c>
      <c r="G153" t="s">
        <v>865</v>
      </c>
      <c r="H153" s="1">
        <v>45451</v>
      </c>
      <c r="I153" s="1">
        <v>45357</v>
      </c>
      <c r="J153" s="1">
        <v>45544</v>
      </c>
      <c r="K153">
        <v>68</v>
      </c>
      <c r="L153">
        <v>29</v>
      </c>
      <c r="M153">
        <v>31</v>
      </c>
      <c r="N153" t="s">
        <v>57</v>
      </c>
      <c r="O153">
        <v>53</v>
      </c>
      <c r="P153">
        <v>20</v>
      </c>
      <c r="Q153" s="3">
        <v>0.55000000000000004</v>
      </c>
    </row>
    <row r="154" spans="1:17" x14ac:dyDescent="0.35">
      <c r="A154" t="s">
        <v>413</v>
      </c>
      <c r="B154" t="s">
        <v>65</v>
      </c>
      <c r="C154" t="s">
        <v>866</v>
      </c>
      <c r="D154" t="s">
        <v>867</v>
      </c>
      <c r="E154" t="s">
        <v>30</v>
      </c>
      <c r="F154" t="s">
        <v>868</v>
      </c>
      <c r="G154" t="s">
        <v>869</v>
      </c>
      <c r="H154" s="1">
        <v>45452</v>
      </c>
      <c r="I154" s="1">
        <v>45362</v>
      </c>
      <c r="J154" t="s">
        <v>870</v>
      </c>
      <c r="K154">
        <v>78</v>
      </c>
      <c r="L154">
        <v>94</v>
      </c>
      <c r="M154">
        <v>7</v>
      </c>
      <c r="N154" t="s">
        <v>871</v>
      </c>
      <c r="O154">
        <v>69</v>
      </c>
      <c r="P154">
        <v>40</v>
      </c>
      <c r="Q154" s="3">
        <v>0.62</v>
      </c>
    </row>
    <row r="155" spans="1:17" x14ac:dyDescent="0.35">
      <c r="A155" t="s">
        <v>872</v>
      </c>
      <c r="B155" t="s">
        <v>18</v>
      </c>
      <c r="C155" t="s">
        <v>265</v>
      </c>
      <c r="D155" t="s">
        <v>873</v>
      </c>
      <c r="E155" t="s">
        <v>68</v>
      </c>
      <c r="F155" t="s">
        <v>874</v>
      </c>
      <c r="G155" t="s">
        <v>875</v>
      </c>
      <c r="H155" s="1">
        <v>45452</v>
      </c>
      <c r="I155" t="s">
        <v>812</v>
      </c>
      <c r="J155" s="1">
        <v>45393</v>
      </c>
      <c r="K155">
        <v>88</v>
      </c>
      <c r="L155">
        <v>78</v>
      </c>
      <c r="M155">
        <v>17</v>
      </c>
      <c r="N155" t="s">
        <v>128</v>
      </c>
      <c r="O155">
        <v>58</v>
      </c>
      <c r="P155">
        <v>21</v>
      </c>
      <c r="Q155" s="3">
        <v>0.42</v>
      </c>
    </row>
    <row r="156" spans="1:17" x14ac:dyDescent="0.35">
      <c r="A156" t="s">
        <v>289</v>
      </c>
      <c r="B156" t="s">
        <v>114</v>
      </c>
      <c r="C156" t="s">
        <v>723</v>
      </c>
      <c r="D156" t="s">
        <v>876</v>
      </c>
      <c r="E156" t="s">
        <v>30</v>
      </c>
      <c r="F156" t="s">
        <v>877</v>
      </c>
      <c r="G156" t="s">
        <v>878</v>
      </c>
      <c r="H156" s="1">
        <v>45453</v>
      </c>
      <c r="I156" t="s">
        <v>879</v>
      </c>
      <c r="J156" s="1">
        <v>45455</v>
      </c>
      <c r="K156">
        <v>37</v>
      </c>
      <c r="L156">
        <v>96</v>
      </c>
      <c r="M156">
        <v>82</v>
      </c>
      <c r="N156" t="s">
        <v>73</v>
      </c>
      <c r="O156">
        <v>35</v>
      </c>
      <c r="P156">
        <v>23</v>
      </c>
      <c r="Q156" s="3">
        <v>0.64</v>
      </c>
    </row>
    <row r="157" spans="1:17" x14ac:dyDescent="0.35">
      <c r="A157" t="s">
        <v>880</v>
      </c>
      <c r="B157" t="s">
        <v>27</v>
      </c>
      <c r="C157" t="s">
        <v>497</v>
      </c>
      <c r="D157" t="s">
        <v>881</v>
      </c>
      <c r="E157" t="s">
        <v>68</v>
      </c>
      <c r="F157" t="s">
        <v>882</v>
      </c>
      <c r="G157" t="s">
        <v>883</v>
      </c>
      <c r="H157" s="1">
        <v>45453</v>
      </c>
      <c r="I157" s="1">
        <v>45356</v>
      </c>
      <c r="J157" t="s">
        <v>566</v>
      </c>
      <c r="K157">
        <v>97</v>
      </c>
      <c r="L157">
        <v>32</v>
      </c>
      <c r="M157">
        <v>43</v>
      </c>
      <c r="N157" t="s">
        <v>884</v>
      </c>
      <c r="O157">
        <v>82</v>
      </c>
      <c r="P157">
        <v>98</v>
      </c>
      <c r="Q157" s="3">
        <v>0.34</v>
      </c>
    </row>
    <row r="158" spans="1:17" x14ac:dyDescent="0.35">
      <c r="A158" t="s">
        <v>240</v>
      </c>
      <c r="B158" t="s">
        <v>36</v>
      </c>
      <c r="C158" t="s">
        <v>635</v>
      </c>
      <c r="D158" t="s">
        <v>885</v>
      </c>
      <c r="E158" t="s">
        <v>30</v>
      </c>
      <c r="F158" t="s">
        <v>886</v>
      </c>
      <c r="G158" t="s">
        <v>887</v>
      </c>
      <c r="H158" s="1">
        <v>45454</v>
      </c>
      <c r="I158" t="s">
        <v>888</v>
      </c>
      <c r="J158" t="s">
        <v>745</v>
      </c>
      <c r="K158">
        <v>12</v>
      </c>
      <c r="L158">
        <v>54</v>
      </c>
      <c r="M158">
        <v>48</v>
      </c>
      <c r="N158" t="s">
        <v>355</v>
      </c>
      <c r="O158">
        <v>31</v>
      </c>
      <c r="P158">
        <v>88</v>
      </c>
      <c r="Q158" s="3">
        <v>-0.2</v>
      </c>
    </row>
    <row r="159" spans="1:17" x14ac:dyDescent="0.35">
      <c r="A159" t="s">
        <v>467</v>
      </c>
      <c r="B159" t="s">
        <v>65</v>
      </c>
      <c r="C159" t="s">
        <v>735</v>
      </c>
      <c r="D159" t="s">
        <v>889</v>
      </c>
      <c r="E159" t="s">
        <v>68</v>
      </c>
      <c r="F159" t="s">
        <v>890</v>
      </c>
      <c r="G159" t="s">
        <v>891</v>
      </c>
      <c r="H159" s="1">
        <v>45454</v>
      </c>
      <c r="I159" t="s">
        <v>465</v>
      </c>
      <c r="J159" t="s">
        <v>892</v>
      </c>
      <c r="K159">
        <v>50</v>
      </c>
      <c r="L159">
        <v>42</v>
      </c>
      <c r="M159">
        <v>20</v>
      </c>
      <c r="N159" t="s">
        <v>370</v>
      </c>
      <c r="O159">
        <v>87</v>
      </c>
      <c r="P159">
        <v>59</v>
      </c>
      <c r="Q159" s="3">
        <v>-1.84</v>
      </c>
    </row>
    <row r="160" spans="1:17" x14ac:dyDescent="0.35">
      <c r="A160" t="s">
        <v>893</v>
      </c>
      <c r="B160" t="s">
        <v>65</v>
      </c>
      <c r="C160" t="s">
        <v>229</v>
      </c>
      <c r="D160" t="s">
        <v>894</v>
      </c>
      <c r="E160" t="s">
        <v>21</v>
      </c>
      <c r="F160" t="s">
        <v>895</v>
      </c>
      <c r="G160" t="s">
        <v>896</v>
      </c>
      <c r="H160" s="1">
        <v>45455</v>
      </c>
      <c r="I160" t="s">
        <v>897</v>
      </c>
      <c r="J160" t="s">
        <v>898</v>
      </c>
      <c r="K160">
        <v>15</v>
      </c>
      <c r="L160">
        <v>49</v>
      </c>
      <c r="M160">
        <v>40</v>
      </c>
      <c r="N160" t="s">
        <v>134</v>
      </c>
      <c r="O160">
        <v>68</v>
      </c>
      <c r="P160">
        <v>74</v>
      </c>
      <c r="Q160" s="3">
        <v>0.32</v>
      </c>
    </row>
    <row r="161" spans="1:17" x14ac:dyDescent="0.35">
      <c r="A161" t="s">
        <v>640</v>
      </c>
      <c r="B161" t="s">
        <v>163</v>
      </c>
      <c r="C161" t="s">
        <v>899</v>
      </c>
      <c r="D161" t="s">
        <v>900</v>
      </c>
      <c r="E161" t="s">
        <v>21</v>
      </c>
      <c r="F161" t="s">
        <v>901</v>
      </c>
      <c r="G161" t="s">
        <v>902</v>
      </c>
      <c r="H161" s="1">
        <v>45455</v>
      </c>
      <c r="I161" t="s">
        <v>903</v>
      </c>
      <c r="J161" s="1">
        <v>45632</v>
      </c>
      <c r="K161">
        <v>59</v>
      </c>
      <c r="L161">
        <v>20</v>
      </c>
      <c r="M161">
        <v>17</v>
      </c>
      <c r="N161" t="s">
        <v>73</v>
      </c>
      <c r="O161">
        <v>45</v>
      </c>
      <c r="P161">
        <v>15</v>
      </c>
      <c r="Q161" s="3">
        <v>-0.09</v>
      </c>
    </row>
    <row r="162" spans="1:17" x14ac:dyDescent="0.35">
      <c r="A162" t="s">
        <v>695</v>
      </c>
      <c r="B162" t="s">
        <v>65</v>
      </c>
      <c r="C162" t="s">
        <v>904</v>
      </c>
      <c r="D162" t="s">
        <v>905</v>
      </c>
      <c r="E162" t="s">
        <v>68</v>
      </c>
      <c r="F162" t="s">
        <v>906</v>
      </c>
      <c r="G162" t="s">
        <v>907</v>
      </c>
      <c r="H162" s="1">
        <v>45455</v>
      </c>
      <c r="I162" s="1">
        <v>45446</v>
      </c>
      <c r="J162" s="1">
        <v>45604</v>
      </c>
      <c r="K162">
        <v>39</v>
      </c>
      <c r="L162">
        <v>57</v>
      </c>
      <c r="M162">
        <v>54</v>
      </c>
      <c r="N162" t="s">
        <v>128</v>
      </c>
      <c r="O162">
        <v>77</v>
      </c>
      <c r="P162">
        <v>32</v>
      </c>
      <c r="Q162" s="3">
        <v>0.67</v>
      </c>
    </row>
    <row r="163" spans="1:17" x14ac:dyDescent="0.35">
      <c r="A163" t="s">
        <v>247</v>
      </c>
      <c r="B163" t="s">
        <v>18</v>
      </c>
      <c r="C163" t="s">
        <v>908</v>
      </c>
      <c r="D163" t="s">
        <v>909</v>
      </c>
      <c r="E163" t="s">
        <v>30</v>
      </c>
      <c r="F163" t="s">
        <v>910</v>
      </c>
      <c r="G163" t="s">
        <v>911</v>
      </c>
      <c r="H163" s="1">
        <v>45455</v>
      </c>
      <c r="I163" t="s">
        <v>739</v>
      </c>
      <c r="J163" t="s">
        <v>428</v>
      </c>
      <c r="K163">
        <v>76</v>
      </c>
      <c r="L163">
        <v>39</v>
      </c>
      <c r="M163">
        <v>15</v>
      </c>
      <c r="N163" t="s">
        <v>34</v>
      </c>
      <c r="O163">
        <v>77</v>
      </c>
      <c r="P163">
        <v>70</v>
      </c>
      <c r="Q163" s="3">
        <v>0.57999999999999996</v>
      </c>
    </row>
    <row r="164" spans="1:17" x14ac:dyDescent="0.35">
      <c r="A164" t="s">
        <v>596</v>
      </c>
      <c r="B164" t="s">
        <v>18</v>
      </c>
      <c r="C164" t="s">
        <v>703</v>
      </c>
      <c r="D164" t="s">
        <v>912</v>
      </c>
      <c r="E164" t="s">
        <v>30</v>
      </c>
      <c r="F164" t="s">
        <v>913</v>
      </c>
      <c r="G164" t="s">
        <v>914</v>
      </c>
      <c r="H164" s="1">
        <v>45455</v>
      </c>
      <c r="I164" t="s">
        <v>732</v>
      </c>
      <c r="J164" t="s">
        <v>915</v>
      </c>
      <c r="K164">
        <v>45</v>
      </c>
      <c r="L164">
        <v>79</v>
      </c>
      <c r="M164">
        <v>95</v>
      </c>
      <c r="N164" t="s">
        <v>121</v>
      </c>
      <c r="O164">
        <v>84</v>
      </c>
      <c r="P164">
        <v>62</v>
      </c>
      <c r="Q164" s="3">
        <v>0.09</v>
      </c>
    </row>
    <row r="165" spans="1:17" x14ac:dyDescent="0.35">
      <c r="A165" t="s">
        <v>916</v>
      </c>
      <c r="B165" t="s">
        <v>114</v>
      </c>
      <c r="C165" t="s">
        <v>794</v>
      </c>
      <c r="D165" t="s">
        <v>917</v>
      </c>
      <c r="E165" t="s">
        <v>68</v>
      </c>
      <c r="F165" t="s">
        <v>918</v>
      </c>
      <c r="G165" t="s">
        <v>919</v>
      </c>
      <c r="H165" s="1">
        <v>45476</v>
      </c>
      <c r="I165" s="1">
        <v>45658</v>
      </c>
      <c r="J165" t="s">
        <v>920</v>
      </c>
      <c r="K165">
        <v>41</v>
      </c>
      <c r="L165">
        <v>21</v>
      </c>
      <c r="M165">
        <v>47</v>
      </c>
      <c r="N165" t="s">
        <v>73</v>
      </c>
      <c r="O165">
        <v>50</v>
      </c>
      <c r="P165">
        <v>99</v>
      </c>
      <c r="Q165" s="3">
        <v>0.26</v>
      </c>
    </row>
    <row r="166" spans="1:17" x14ac:dyDescent="0.35">
      <c r="A166" t="s">
        <v>734</v>
      </c>
      <c r="B166" t="s">
        <v>163</v>
      </c>
      <c r="C166" t="s">
        <v>921</v>
      </c>
      <c r="D166" t="s">
        <v>922</v>
      </c>
      <c r="E166" t="s">
        <v>68</v>
      </c>
      <c r="F166" t="s">
        <v>923</v>
      </c>
      <c r="G166" t="s">
        <v>924</v>
      </c>
      <c r="H166" s="1">
        <v>45476</v>
      </c>
      <c r="I166" s="1">
        <v>45332</v>
      </c>
      <c r="J166" s="1">
        <v>45546</v>
      </c>
      <c r="K166">
        <v>61</v>
      </c>
      <c r="L166">
        <v>22</v>
      </c>
      <c r="M166">
        <v>98</v>
      </c>
      <c r="N166" t="s">
        <v>740</v>
      </c>
      <c r="O166">
        <v>90</v>
      </c>
      <c r="P166">
        <v>11</v>
      </c>
      <c r="Q166" s="3">
        <v>-0.98</v>
      </c>
    </row>
    <row r="167" spans="1:17" x14ac:dyDescent="0.35">
      <c r="A167" t="s">
        <v>624</v>
      </c>
      <c r="B167" t="s">
        <v>18</v>
      </c>
      <c r="C167" t="s">
        <v>550</v>
      </c>
      <c r="D167" t="s">
        <v>925</v>
      </c>
      <c r="E167" t="s">
        <v>68</v>
      </c>
      <c r="F167" t="s">
        <v>926</v>
      </c>
      <c r="G167" t="s">
        <v>927</v>
      </c>
      <c r="H167" s="1">
        <v>45477</v>
      </c>
      <c r="I167" t="s">
        <v>369</v>
      </c>
      <c r="J167" t="s">
        <v>444</v>
      </c>
      <c r="K167">
        <v>51</v>
      </c>
      <c r="L167">
        <v>62</v>
      </c>
      <c r="M167">
        <v>95</v>
      </c>
      <c r="N167" t="s">
        <v>344</v>
      </c>
      <c r="O167">
        <v>52</v>
      </c>
      <c r="P167">
        <v>21</v>
      </c>
      <c r="Q167" s="3">
        <v>0.88</v>
      </c>
    </row>
    <row r="168" spans="1:17" x14ac:dyDescent="0.35">
      <c r="A168" t="s">
        <v>665</v>
      </c>
      <c r="B168" t="s">
        <v>65</v>
      </c>
      <c r="C168" t="s">
        <v>928</v>
      </c>
      <c r="D168" t="s">
        <v>929</v>
      </c>
      <c r="E168" t="s">
        <v>30</v>
      </c>
      <c r="F168" t="s">
        <v>930</v>
      </c>
      <c r="G168" t="s">
        <v>931</v>
      </c>
      <c r="H168" s="1">
        <v>45477</v>
      </c>
      <c r="I168" t="s">
        <v>932</v>
      </c>
      <c r="J168" s="1">
        <v>45419</v>
      </c>
      <c r="K168">
        <v>54</v>
      </c>
      <c r="L168">
        <v>53</v>
      </c>
      <c r="M168">
        <v>33</v>
      </c>
      <c r="N168" t="s">
        <v>235</v>
      </c>
      <c r="O168">
        <v>94</v>
      </c>
      <c r="P168">
        <v>82</v>
      </c>
      <c r="Q168" s="3">
        <v>0.6</v>
      </c>
    </row>
    <row r="169" spans="1:17" x14ac:dyDescent="0.35">
      <c r="A169" t="s">
        <v>58</v>
      </c>
      <c r="B169" t="s">
        <v>18</v>
      </c>
      <c r="C169" t="s">
        <v>933</v>
      </c>
      <c r="D169" t="s">
        <v>934</v>
      </c>
      <c r="E169" t="s">
        <v>21</v>
      </c>
      <c r="F169" t="s">
        <v>935</v>
      </c>
      <c r="G169" t="s">
        <v>936</v>
      </c>
      <c r="H169" s="1">
        <v>45477</v>
      </c>
      <c r="I169" s="1">
        <v>45483</v>
      </c>
      <c r="J169" t="s">
        <v>295</v>
      </c>
      <c r="K169">
        <v>87</v>
      </c>
      <c r="L169">
        <v>1</v>
      </c>
      <c r="M169">
        <v>98</v>
      </c>
      <c r="N169" t="s">
        <v>128</v>
      </c>
      <c r="O169">
        <v>61</v>
      </c>
      <c r="P169">
        <v>84</v>
      </c>
      <c r="Q169" s="3">
        <v>0.13</v>
      </c>
    </row>
    <row r="170" spans="1:17" x14ac:dyDescent="0.35">
      <c r="A170" t="s">
        <v>880</v>
      </c>
      <c r="B170" t="s">
        <v>27</v>
      </c>
      <c r="C170" t="s">
        <v>937</v>
      </c>
      <c r="D170" t="s">
        <v>938</v>
      </c>
      <c r="E170" t="s">
        <v>21</v>
      </c>
      <c r="F170" t="s">
        <v>939</v>
      </c>
      <c r="G170" t="s">
        <v>940</v>
      </c>
      <c r="H170" s="1">
        <v>45478</v>
      </c>
      <c r="I170" t="s">
        <v>941</v>
      </c>
      <c r="J170" s="1">
        <v>45541</v>
      </c>
      <c r="K170">
        <v>46</v>
      </c>
      <c r="L170">
        <v>51</v>
      </c>
      <c r="M170">
        <v>92</v>
      </c>
      <c r="N170" t="s">
        <v>884</v>
      </c>
      <c r="O170">
        <v>47</v>
      </c>
      <c r="P170">
        <v>25</v>
      </c>
      <c r="Q170" s="3">
        <v>-0.38</v>
      </c>
    </row>
    <row r="171" spans="1:17" x14ac:dyDescent="0.35">
      <c r="A171" t="s">
        <v>718</v>
      </c>
      <c r="B171" t="s">
        <v>65</v>
      </c>
      <c r="C171" t="s">
        <v>942</v>
      </c>
      <c r="D171" t="s">
        <v>943</v>
      </c>
      <c r="E171" t="s">
        <v>21</v>
      </c>
      <c r="F171" t="s">
        <v>944</v>
      </c>
      <c r="G171" t="s">
        <v>945</v>
      </c>
      <c r="H171" s="1">
        <v>45478</v>
      </c>
      <c r="I171" t="s">
        <v>652</v>
      </c>
      <c r="J171" s="1">
        <v>45606</v>
      </c>
      <c r="K171">
        <v>13</v>
      </c>
      <c r="L171">
        <v>32</v>
      </c>
      <c r="M171">
        <v>79</v>
      </c>
      <c r="N171" t="s">
        <v>34</v>
      </c>
      <c r="O171">
        <v>38</v>
      </c>
      <c r="P171">
        <v>61</v>
      </c>
      <c r="Q171" s="3">
        <v>0.47</v>
      </c>
    </row>
    <row r="172" spans="1:17" x14ac:dyDescent="0.35">
      <c r="A172" t="s">
        <v>496</v>
      </c>
      <c r="B172" t="s">
        <v>18</v>
      </c>
      <c r="C172" t="s">
        <v>946</v>
      </c>
      <c r="D172" t="s">
        <v>947</v>
      </c>
      <c r="E172" t="s">
        <v>21</v>
      </c>
      <c r="F172" t="s">
        <v>948</v>
      </c>
      <c r="G172" t="s">
        <v>949</v>
      </c>
      <c r="H172" s="1">
        <v>45479</v>
      </c>
      <c r="I172" s="1">
        <v>45485</v>
      </c>
      <c r="J172" s="1">
        <v>45394</v>
      </c>
      <c r="K172">
        <v>25</v>
      </c>
      <c r="L172">
        <v>74</v>
      </c>
      <c r="M172">
        <v>100</v>
      </c>
      <c r="N172" t="s">
        <v>502</v>
      </c>
      <c r="O172">
        <v>41</v>
      </c>
      <c r="P172">
        <v>59</v>
      </c>
      <c r="Q172" s="3">
        <v>-0.61</v>
      </c>
    </row>
    <row r="173" spans="1:17" x14ac:dyDescent="0.35">
      <c r="A173" t="s">
        <v>183</v>
      </c>
      <c r="B173" t="s">
        <v>18</v>
      </c>
      <c r="C173" t="s">
        <v>115</v>
      </c>
      <c r="D173" t="s">
        <v>950</v>
      </c>
      <c r="E173" t="s">
        <v>21</v>
      </c>
      <c r="F173" t="s">
        <v>951</v>
      </c>
      <c r="G173" t="s">
        <v>952</v>
      </c>
      <c r="H173" s="1">
        <v>45479</v>
      </c>
      <c r="I173" t="s">
        <v>779</v>
      </c>
      <c r="J173" s="1">
        <v>45600</v>
      </c>
      <c r="K173">
        <v>60</v>
      </c>
      <c r="L173">
        <v>15</v>
      </c>
      <c r="M173">
        <v>89</v>
      </c>
      <c r="N173" t="s">
        <v>121</v>
      </c>
      <c r="O173">
        <v>21</v>
      </c>
      <c r="P173">
        <v>29</v>
      </c>
      <c r="Q173" s="3">
        <v>-0.44</v>
      </c>
    </row>
    <row r="174" spans="1:17" x14ac:dyDescent="0.35">
      <c r="A174" t="s">
        <v>671</v>
      </c>
      <c r="B174" t="s">
        <v>65</v>
      </c>
      <c r="C174" t="s">
        <v>953</v>
      </c>
      <c r="D174" t="s">
        <v>954</v>
      </c>
      <c r="E174" t="s">
        <v>21</v>
      </c>
      <c r="F174" t="s">
        <v>955</v>
      </c>
      <c r="G174" t="s">
        <v>956</v>
      </c>
      <c r="H174" s="1">
        <v>45480</v>
      </c>
      <c r="I174" t="s">
        <v>957</v>
      </c>
      <c r="J174" t="s">
        <v>958</v>
      </c>
      <c r="K174">
        <v>69</v>
      </c>
      <c r="L174">
        <v>82</v>
      </c>
      <c r="M174">
        <v>58</v>
      </c>
      <c r="N174" t="s">
        <v>49</v>
      </c>
      <c r="O174">
        <v>34</v>
      </c>
      <c r="P174">
        <v>22</v>
      </c>
      <c r="Q174" s="3">
        <v>-0.38</v>
      </c>
    </row>
    <row r="175" spans="1:17" x14ac:dyDescent="0.35">
      <c r="A175" t="s">
        <v>413</v>
      </c>
      <c r="B175" t="s">
        <v>65</v>
      </c>
      <c r="C175" t="s">
        <v>959</v>
      </c>
      <c r="D175" t="s">
        <v>960</v>
      </c>
      <c r="E175" t="s">
        <v>21</v>
      </c>
      <c r="F175" t="s">
        <v>961</v>
      </c>
      <c r="G175" t="s">
        <v>962</v>
      </c>
      <c r="H175" s="1">
        <v>45480</v>
      </c>
      <c r="I175" t="s">
        <v>888</v>
      </c>
      <c r="J175" t="s">
        <v>855</v>
      </c>
      <c r="K175">
        <v>36</v>
      </c>
      <c r="L175">
        <v>81</v>
      </c>
      <c r="M175">
        <v>54</v>
      </c>
      <c r="N175" t="s">
        <v>193</v>
      </c>
      <c r="O175">
        <v>73</v>
      </c>
      <c r="P175">
        <v>60</v>
      </c>
      <c r="Q175" s="3">
        <v>0.35</v>
      </c>
    </row>
    <row r="176" spans="1:17" x14ac:dyDescent="0.35">
      <c r="A176" t="s">
        <v>277</v>
      </c>
      <c r="B176" t="s">
        <v>114</v>
      </c>
      <c r="C176" t="s">
        <v>963</v>
      </c>
      <c r="D176" t="s">
        <v>964</v>
      </c>
      <c r="E176" t="s">
        <v>30</v>
      </c>
      <c r="F176" t="s">
        <v>965</v>
      </c>
      <c r="G176" t="s">
        <v>966</v>
      </c>
      <c r="H176" s="1">
        <v>45480</v>
      </c>
      <c r="I176" s="1">
        <v>45297</v>
      </c>
      <c r="J176" t="s">
        <v>967</v>
      </c>
      <c r="K176">
        <v>36</v>
      </c>
      <c r="L176">
        <v>53</v>
      </c>
      <c r="M176">
        <v>92</v>
      </c>
      <c r="N176" t="s">
        <v>282</v>
      </c>
      <c r="O176">
        <v>67</v>
      </c>
      <c r="P176">
        <v>43</v>
      </c>
      <c r="Q176" s="3">
        <v>0.18</v>
      </c>
    </row>
    <row r="177" spans="1:17" x14ac:dyDescent="0.35">
      <c r="A177" t="s">
        <v>183</v>
      </c>
      <c r="B177" t="s">
        <v>18</v>
      </c>
      <c r="C177" t="s">
        <v>968</v>
      </c>
      <c r="D177" t="s">
        <v>969</v>
      </c>
      <c r="E177" t="s">
        <v>30</v>
      </c>
      <c r="F177" t="s">
        <v>970</v>
      </c>
      <c r="G177" t="s">
        <v>971</v>
      </c>
      <c r="H177" s="1">
        <v>45481</v>
      </c>
      <c r="I177" s="1">
        <v>45539</v>
      </c>
      <c r="J177" t="s">
        <v>555</v>
      </c>
      <c r="K177">
        <v>79</v>
      </c>
      <c r="L177">
        <v>74</v>
      </c>
      <c r="M177">
        <v>87</v>
      </c>
      <c r="N177" t="s">
        <v>121</v>
      </c>
      <c r="O177">
        <v>80</v>
      </c>
      <c r="P177">
        <v>26</v>
      </c>
      <c r="Q177" s="3">
        <v>0.36</v>
      </c>
    </row>
    <row r="178" spans="1:17" x14ac:dyDescent="0.35">
      <c r="A178" t="s">
        <v>135</v>
      </c>
      <c r="B178" t="s">
        <v>36</v>
      </c>
      <c r="C178" t="s">
        <v>51</v>
      </c>
      <c r="D178" t="s">
        <v>972</v>
      </c>
      <c r="E178" t="s">
        <v>68</v>
      </c>
      <c r="F178" t="s">
        <v>973</v>
      </c>
      <c r="G178" t="s">
        <v>974</v>
      </c>
      <c r="H178" s="1">
        <v>45482</v>
      </c>
      <c r="I178" t="s">
        <v>381</v>
      </c>
      <c r="J178" t="s">
        <v>199</v>
      </c>
      <c r="K178">
        <v>63</v>
      </c>
      <c r="L178">
        <v>7</v>
      </c>
      <c r="M178">
        <v>23</v>
      </c>
      <c r="N178" t="s">
        <v>634</v>
      </c>
      <c r="O178">
        <v>78</v>
      </c>
      <c r="P178">
        <v>100</v>
      </c>
      <c r="Q178" s="3">
        <v>0.68</v>
      </c>
    </row>
    <row r="179" spans="1:17" x14ac:dyDescent="0.35">
      <c r="A179" t="s">
        <v>975</v>
      </c>
      <c r="B179" t="s">
        <v>18</v>
      </c>
      <c r="C179" t="s">
        <v>696</v>
      </c>
      <c r="D179" t="s">
        <v>976</v>
      </c>
      <c r="E179" t="s">
        <v>21</v>
      </c>
      <c r="F179" t="s">
        <v>977</v>
      </c>
      <c r="G179" t="s">
        <v>978</v>
      </c>
      <c r="H179" s="1">
        <v>45482</v>
      </c>
      <c r="I179" s="1">
        <v>45568</v>
      </c>
      <c r="J179" s="1">
        <v>45362</v>
      </c>
      <c r="K179">
        <v>26</v>
      </c>
      <c r="L179">
        <v>70</v>
      </c>
      <c r="M179">
        <v>52</v>
      </c>
      <c r="N179" t="s">
        <v>34</v>
      </c>
      <c r="O179">
        <v>36</v>
      </c>
      <c r="P179">
        <v>10</v>
      </c>
      <c r="Q179" s="3">
        <v>-0.28000000000000003</v>
      </c>
    </row>
    <row r="180" spans="1:17" x14ac:dyDescent="0.35">
      <c r="A180" t="s">
        <v>872</v>
      </c>
      <c r="B180" t="s">
        <v>18</v>
      </c>
      <c r="C180" t="s">
        <v>115</v>
      </c>
      <c r="D180" t="s">
        <v>979</v>
      </c>
      <c r="E180" t="s">
        <v>21</v>
      </c>
      <c r="F180" t="s">
        <v>980</v>
      </c>
      <c r="G180" t="s">
        <v>981</v>
      </c>
      <c r="H180" s="1">
        <v>45483</v>
      </c>
      <c r="I180" t="s">
        <v>526</v>
      </c>
      <c r="J180" t="s">
        <v>982</v>
      </c>
      <c r="K180">
        <v>72</v>
      </c>
      <c r="L180">
        <v>70</v>
      </c>
      <c r="M180">
        <v>99</v>
      </c>
      <c r="N180" t="s">
        <v>128</v>
      </c>
      <c r="O180">
        <v>82</v>
      </c>
      <c r="P180">
        <v>32</v>
      </c>
      <c r="Q180" s="3">
        <v>0.72</v>
      </c>
    </row>
    <row r="181" spans="1:17" x14ac:dyDescent="0.35">
      <c r="A181" t="s">
        <v>326</v>
      </c>
      <c r="B181" t="s">
        <v>18</v>
      </c>
      <c r="C181" t="s">
        <v>490</v>
      </c>
      <c r="D181" t="s">
        <v>983</v>
      </c>
      <c r="E181" t="s">
        <v>68</v>
      </c>
      <c r="F181" t="s">
        <v>984</v>
      </c>
      <c r="G181" t="s">
        <v>985</v>
      </c>
      <c r="H181" s="1">
        <v>45483</v>
      </c>
      <c r="I181" t="s">
        <v>986</v>
      </c>
      <c r="J181" s="1">
        <v>45509</v>
      </c>
      <c r="K181">
        <v>38</v>
      </c>
      <c r="L181">
        <v>22</v>
      </c>
      <c r="M181">
        <v>71</v>
      </c>
      <c r="N181" t="s">
        <v>73</v>
      </c>
      <c r="O181">
        <v>33</v>
      </c>
      <c r="P181">
        <v>62</v>
      </c>
      <c r="Q181" s="3">
        <v>0.61</v>
      </c>
    </row>
    <row r="182" spans="1:17" x14ac:dyDescent="0.35">
      <c r="A182" t="s">
        <v>916</v>
      </c>
      <c r="B182" t="s">
        <v>114</v>
      </c>
      <c r="C182" t="s">
        <v>581</v>
      </c>
      <c r="D182" t="s">
        <v>987</v>
      </c>
      <c r="E182" t="s">
        <v>68</v>
      </c>
      <c r="F182" t="s">
        <v>988</v>
      </c>
      <c r="G182" t="s">
        <v>989</v>
      </c>
      <c r="H182" s="1">
        <v>45484</v>
      </c>
      <c r="I182" t="s">
        <v>957</v>
      </c>
      <c r="J182" s="1">
        <v>45540</v>
      </c>
      <c r="K182">
        <v>82</v>
      </c>
      <c r="L182">
        <v>6</v>
      </c>
      <c r="M182">
        <v>53</v>
      </c>
      <c r="N182" t="s">
        <v>73</v>
      </c>
      <c r="O182">
        <v>21</v>
      </c>
      <c r="P182">
        <v>58</v>
      </c>
      <c r="Q182" s="3">
        <v>-0.88</v>
      </c>
    </row>
    <row r="183" spans="1:17" x14ac:dyDescent="0.35">
      <c r="A183" t="s">
        <v>423</v>
      </c>
      <c r="B183" t="s">
        <v>65</v>
      </c>
      <c r="C183" t="s">
        <v>573</v>
      </c>
      <c r="D183" t="s">
        <v>990</v>
      </c>
      <c r="E183" t="s">
        <v>68</v>
      </c>
      <c r="F183" t="s">
        <v>991</v>
      </c>
      <c r="G183" t="s">
        <v>992</v>
      </c>
      <c r="H183" s="1">
        <v>45484</v>
      </c>
      <c r="I183" t="s">
        <v>652</v>
      </c>
      <c r="J183" t="s">
        <v>993</v>
      </c>
      <c r="K183">
        <v>19</v>
      </c>
      <c r="L183">
        <v>77</v>
      </c>
      <c r="M183">
        <v>66</v>
      </c>
      <c r="N183" t="s">
        <v>82</v>
      </c>
      <c r="O183">
        <v>62</v>
      </c>
      <c r="P183">
        <v>100</v>
      </c>
      <c r="Q183" s="3">
        <v>-1.76</v>
      </c>
    </row>
    <row r="184" spans="1:17" x14ac:dyDescent="0.35">
      <c r="A184" t="s">
        <v>277</v>
      </c>
      <c r="B184" t="s">
        <v>114</v>
      </c>
      <c r="C184" t="s">
        <v>399</v>
      </c>
      <c r="D184" t="s">
        <v>994</v>
      </c>
      <c r="E184" t="s">
        <v>68</v>
      </c>
      <c r="F184" t="s">
        <v>995</v>
      </c>
      <c r="G184" t="s">
        <v>996</v>
      </c>
      <c r="H184" s="1">
        <v>45485</v>
      </c>
      <c r="I184" s="1">
        <v>45359</v>
      </c>
      <c r="J184" t="s">
        <v>263</v>
      </c>
      <c r="K184">
        <v>58</v>
      </c>
      <c r="L184">
        <v>48</v>
      </c>
      <c r="M184">
        <v>9</v>
      </c>
      <c r="N184" t="s">
        <v>282</v>
      </c>
      <c r="O184">
        <v>98</v>
      </c>
      <c r="P184">
        <v>69</v>
      </c>
      <c r="Q184" s="3">
        <v>-0.61</v>
      </c>
    </row>
    <row r="185" spans="1:17" x14ac:dyDescent="0.35">
      <c r="A185" t="s">
        <v>480</v>
      </c>
      <c r="B185" t="s">
        <v>36</v>
      </c>
      <c r="C185" t="s">
        <v>997</v>
      </c>
      <c r="D185" t="s">
        <v>998</v>
      </c>
      <c r="E185" t="s">
        <v>68</v>
      </c>
      <c r="F185" t="s">
        <v>999</v>
      </c>
      <c r="G185" t="s">
        <v>1000</v>
      </c>
      <c r="H185" s="1">
        <v>45507</v>
      </c>
      <c r="I185" t="s">
        <v>41</v>
      </c>
      <c r="J185" t="s">
        <v>1001</v>
      </c>
      <c r="K185">
        <v>98</v>
      </c>
      <c r="L185">
        <v>24</v>
      </c>
      <c r="M185">
        <v>4</v>
      </c>
      <c r="N185" t="s">
        <v>1002</v>
      </c>
      <c r="O185">
        <v>89</v>
      </c>
      <c r="P185">
        <v>80</v>
      </c>
      <c r="Q185" s="3">
        <v>0.3</v>
      </c>
    </row>
    <row r="186" spans="1:17" x14ac:dyDescent="0.35">
      <c r="A186" t="s">
        <v>1003</v>
      </c>
      <c r="B186" t="s">
        <v>18</v>
      </c>
      <c r="C186" t="s">
        <v>1004</v>
      </c>
      <c r="D186" t="s">
        <v>1005</v>
      </c>
      <c r="E186" t="s">
        <v>68</v>
      </c>
      <c r="F186" t="s">
        <v>1006</v>
      </c>
      <c r="G186" t="s">
        <v>1007</v>
      </c>
      <c r="H186" s="1">
        <v>45507</v>
      </c>
      <c r="I186" s="1">
        <v>45962</v>
      </c>
      <c r="J186" t="s">
        <v>542</v>
      </c>
      <c r="K186">
        <v>44</v>
      </c>
      <c r="L186">
        <v>92</v>
      </c>
      <c r="M186">
        <v>92</v>
      </c>
      <c r="N186" t="s">
        <v>282</v>
      </c>
      <c r="O186">
        <v>41</v>
      </c>
      <c r="P186">
        <v>61</v>
      </c>
      <c r="Q186" s="3">
        <v>0.1</v>
      </c>
    </row>
    <row r="187" spans="1:17" x14ac:dyDescent="0.35">
      <c r="A187" t="s">
        <v>1008</v>
      </c>
      <c r="B187" t="s">
        <v>18</v>
      </c>
      <c r="C187" t="s">
        <v>1009</v>
      </c>
      <c r="D187" t="s">
        <v>1010</v>
      </c>
      <c r="E187" t="s">
        <v>30</v>
      </c>
      <c r="F187" t="s">
        <v>1011</v>
      </c>
      <c r="G187" t="s">
        <v>1012</v>
      </c>
      <c r="H187" s="1">
        <v>45507</v>
      </c>
      <c r="I187" t="s">
        <v>501</v>
      </c>
      <c r="J187" t="s">
        <v>199</v>
      </c>
      <c r="K187">
        <v>100</v>
      </c>
      <c r="L187">
        <v>52</v>
      </c>
      <c r="M187">
        <v>2</v>
      </c>
      <c r="N187" t="s">
        <v>153</v>
      </c>
      <c r="O187">
        <v>86</v>
      </c>
      <c r="P187">
        <v>70</v>
      </c>
      <c r="Q187" s="3">
        <v>-0.49</v>
      </c>
    </row>
    <row r="188" spans="1:17" x14ac:dyDescent="0.35">
      <c r="A188" t="s">
        <v>283</v>
      </c>
      <c r="B188" t="s">
        <v>163</v>
      </c>
      <c r="C188" t="s">
        <v>504</v>
      </c>
      <c r="D188" t="s">
        <v>1013</v>
      </c>
      <c r="E188" t="s">
        <v>21</v>
      </c>
      <c r="F188" t="s">
        <v>1014</v>
      </c>
      <c r="G188" t="s">
        <v>1015</v>
      </c>
      <c r="H188" s="1">
        <v>45508</v>
      </c>
      <c r="I188" t="s">
        <v>1016</v>
      </c>
      <c r="J188" t="s">
        <v>1017</v>
      </c>
      <c r="K188">
        <v>62</v>
      </c>
      <c r="L188">
        <v>78</v>
      </c>
      <c r="M188">
        <v>97</v>
      </c>
      <c r="N188" t="s">
        <v>82</v>
      </c>
      <c r="O188">
        <v>62</v>
      </c>
      <c r="P188">
        <v>97</v>
      </c>
      <c r="Q188" s="3">
        <v>0.19</v>
      </c>
    </row>
    <row r="189" spans="1:17" x14ac:dyDescent="0.35">
      <c r="A189" t="s">
        <v>856</v>
      </c>
      <c r="B189" t="s">
        <v>18</v>
      </c>
      <c r="C189" t="s">
        <v>254</v>
      </c>
      <c r="D189" t="s">
        <v>1018</v>
      </c>
      <c r="E189" t="s">
        <v>30</v>
      </c>
      <c r="F189" t="s">
        <v>1019</v>
      </c>
      <c r="G189" t="s">
        <v>1020</v>
      </c>
      <c r="H189" s="1">
        <v>45508</v>
      </c>
      <c r="I189" s="1">
        <v>45931</v>
      </c>
      <c r="J189" s="1">
        <v>45326</v>
      </c>
      <c r="K189">
        <v>84</v>
      </c>
      <c r="L189">
        <v>20</v>
      </c>
      <c r="M189">
        <v>58</v>
      </c>
      <c r="N189" t="s">
        <v>128</v>
      </c>
      <c r="O189">
        <v>86</v>
      </c>
      <c r="P189">
        <v>64</v>
      </c>
      <c r="Q189" s="3">
        <v>-0.56000000000000005</v>
      </c>
    </row>
    <row r="190" spans="1:17" x14ac:dyDescent="0.35">
      <c r="A190" t="s">
        <v>1021</v>
      </c>
      <c r="B190" t="s">
        <v>36</v>
      </c>
      <c r="C190" t="s">
        <v>164</v>
      </c>
      <c r="D190" t="s">
        <v>1022</v>
      </c>
      <c r="E190" t="s">
        <v>30</v>
      </c>
      <c r="F190" t="s">
        <v>1023</v>
      </c>
      <c r="G190" t="s">
        <v>1024</v>
      </c>
      <c r="H190" s="1">
        <v>45508</v>
      </c>
      <c r="I190" t="s">
        <v>281</v>
      </c>
      <c r="J190" s="1">
        <v>45416</v>
      </c>
      <c r="K190">
        <v>68</v>
      </c>
      <c r="L190">
        <v>82</v>
      </c>
      <c r="M190">
        <v>58</v>
      </c>
      <c r="N190" t="s">
        <v>182</v>
      </c>
      <c r="O190">
        <v>90</v>
      </c>
      <c r="P190">
        <v>2</v>
      </c>
      <c r="Q190" s="3">
        <v>0.26</v>
      </c>
    </row>
    <row r="191" spans="1:17" x14ac:dyDescent="0.35">
      <c r="A191" t="s">
        <v>356</v>
      </c>
      <c r="B191" t="s">
        <v>18</v>
      </c>
      <c r="C191" t="s">
        <v>1025</v>
      </c>
      <c r="D191" t="s">
        <v>1026</v>
      </c>
      <c r="E191" t="s">
        <v>68</v>
      </c>
      <c r="F191" t="s">
        <v>1027</v>
      </c>
      <c r="G191" t="s">
        <v>1028</v>
      </c>
      <c r="H191" s="1">
        <v>45509</v>
      </c>
      <c r="I191" t="s">
        <v>870</v>
      </c>
      <c r="J191" t="s">
        <v>1029</v>
      </c>
      <c r="K191">
        <v>55</v>
      </c>
      <c r="L191">
        <v>91</v>
      </c>
      <c r="M191">
        <v>35</v>
      </c>
      <c r="N191" t="s">
        <v>282</v>
      </c>
      <c r="O191">
        <v>81</v>
      </c>
      <c r="P191">
        <v>19</v>
      </c>
      <c r="Q191" s="3">
        <v>0.98</v>
      </c>
    </row>
    <row r="192" spans="1:17" x14ac:dyDescent="0.35">
      <c r="A192" t="s">
        <v>1030</v>
      </c>
      <c r="B192" t="s">
        <v>114</v>
      </c>
      <c r="C192" t="s">
        <v>189</v>
      </c>
      <c r="D192" t="s">
        <v>1031</v>
      </c>
      <c r="E192" t="s">
        <v>68</v>
      </c>
      <c r="F192" t="s">
        <v>1032</v>
      </c>
      <c r="G192" t="s">
        <v>1033</v>
      </c>
      <c r="H192" s="1">
        <v>45509</v>
      </c>
      <c r="I192" t="s">
        <v>774</v>
      </c>
      <c r="J192" s="1">
        <v>45690</v>
      </c>
      <c r="K192">
        <v>87</v>
      </c>
      <c r="L192">
        <v>70</v>
      </c>
      <c r="M192">
        <v>77</v>
      </c>
      <c r="N192" t="s">
        <v>1034</v>
      </c>
      <c r="O192">
        <v>73</v>
      </c>
      <c r="P192">
        <v>44</v>
      </c>
      <c r="Q192" s="3">
        <v>0.77</v>
      </c>
    </row>
    <row r="193" spans="1:17" x14ac:dyDescent="0.35">
      <c r="A193" t="s">
        <v>567</v>
      </c>
      <c r="B193" t="s">
        <v>65</v>
      </c>
      <c r="C193" t="s">
        <v>265</v>
      </c>
      <c r="D193" t="s">
        <v>1035</v>
      </c>
      <c r="E193" t="s">
        <v>68</v>
      </c>
      <c r="F193" t="s">
        <v>1036</v>
      </c>
      <c r="G193" t="s">
        <v>1037</v>
      </c>
      <c r="H193" s="1">
        <v>45509</v>
      </c>
      <c r="I193" t="s">
        <v>1038</v>
      </c>
      <c r="J193" t="s">
        <v>1039</v>
      </c>
      <c r="K193">
        <v>12</v>
      </c>
      <c r="L193">
        <v>56</v>
      </c>
      <c r="M193">
        <v>92</v>
      </c>
      <c r="N193" t="s">
        <v>572</v>
      </c>
      <c r="O193">
        <v>56</v>
      </c>
      <c r="P193">
        <v>6</v>
      </c>
      <c r="Q193" s="3">
        <v>0.4</v>
      </c>
    </row>
    <row r="194" spans="1:17" x14ac:dyDescent="0.35">
      <c r="A194" t="s">
        <v>122</v>
      </c>
      <c r="B194" t="s">
        <v>18</v>
      </c>
      <c r="C194" t="s">
        <v>963</v>
      </c>
      <c r="D194" t="s">
        <v>1040</v>
      </c>
      <c r="E194" t="s">
        <v>30</v>
      </c>
      <c r="F194" t="s">
        <v>1041</v>
      </c>
      <c r="G194" t="s">
        <v>1042</v>
      </c>
      <c r="H194" s="1">
        <v>45510</v>
      </c>
      <c r="I194" t="s">
        <v>369</v>
      </c>
      <c r="J194" s="1">
        <v>45749</v>
      </c>
      <c r="K194">
        <v>95</v>
      </c>
      <c r="L194">
        <v>66</v>
      </c>
      <c r="M194">
        <v>69</v>
      </c>
      <c r="N194" t="s">
        <v>1043</v>
      </c>
      <c r="O194">
        <v>92</v>
      </c>
      <c r="P194">
        <v>72</v>
      </c>
      <c r="Q194" s="3">
        <v>0.89</v>
      </c>
    </row>
    <row r="195" spans="1:17" x14ac:dyDescent="0.35">
      <c r="A195" t="s">
        <v>177</v>
      </c>
      <c r="B195" t="s">
        <v>18</v>
      </c>
      <c r="C195" t="s">
        <v>942</v>
      </c>
      <c r="D195" t="s">
        <v>1044</v>
      </c>
      <c r="E195" t="s">
        <v>30</v>
      </c>
      <c r="F195" t="s">
        <v>1045</v>
      </c>
      <c r="G195" t="s">
        <v>1046</v>
      </c>
      <c r="H195" s="1">
        <v>45510</v>
      </c>
      <c r="I195" t="s">
        <v>33</v>
      </c>
      <c r="J195" s="1">
        <v>45577</v>
      </c>
      <c r="K195">
        <v>84</v>
      </c>
      <c r="L195">
        <v>9</v>
      </c>
      <c r="M195">
        <v>46</v>
      </c>
      <c r="N195" t="s">
        <v>73</v>
      </c>
      <c r="O195">
        <v>30</v>
      </c>
      <c r="P195">
        <v>68</v>
      </c>
      <c r="Q195" s="3">
        <v>0.22</v>
      </c>
    </row>
    <row r="196" spans="1:17" x14ac:dyDescent="0.35">
      <c r="A196" t="s">
        <v>418</v>
      </c>
      <c r="B196" t="s">
        <v>65</v>
      </c>
      <c r="C196" t="s">
        <v>1047</v>
      </c>
      <c r="D196" t="s">
        <v>1048</v>
      </c>
      <c r="E196" t="s">
        <v>21</v>
      </c>
      <c r="F196" t="s">
        <v>1049</v>
      </c>
      <c r="G196" t="s">
        <v>1050</v>
      </c>
      <c r="H196" s="1">
        <v>45511</v>
      </c>
      <c r="I196" t="s">
        <v>784</v>
      </c>
      <c r="J196" t="s">
        <v>739</v>
      </c>
      <c r="K196">
        <v>68</v>
      </c>
      <c r="L196">
        <v>68</v>
      </c>
      <c r="M196">
        <v>97</v>
      </c>
      <c r="N196" t="s">
        <v>344</v>
      </c>
      <c r="O196">
        <v>37</v>
      </c>
      <c r="P196">
        <v>31</v>
      </c>
      <c r="Q196" s="3">
        <v>-1.27</v>
      </c>
    </row>
    <row r="197" spans="1:17" x14ac:dyDescent="0.35">
      <c r="A197" t="s">
        <v>708</v>
      </c>
      <c r="B197" t="s">
        <v>163</v>
      </c>
      <c r="C197" t="s">
        <v>550</v>
      </c>
      <c r="D197" t="s">
        <v>1051</v>
      </c>
      <c r="E197" t="s">
        <v>68</v>
      </c>
      <c r="F197" t="s">
        <v>1052</v>
      </c>
      <c r="G197" t="s">
        <v>1053</v>
      </c>
      <c r="H197" s="1">
        <v>45511</v>
      </c>
      <c r="I197" s="1">
        <v>45606</v>
      </c>
      <c r="J197" s="1">
        <v>45963</v>
      </c>
      <c r="K197">
        <v>11</v>
      </c>
      <c r="L197">
        <v>72</v>
      </c>
      <c r="M197">
        <v>5</v>
      </c>
      <c r="N197" t="s">
        <v>713</v>
      </c>
      <c r="O197">
        <v>89</v>
      </c>
      <c r="P197">
        <v>4</v>
      </c>
      <c r="Q197" s="3">
        <v>0.16</v>
      </c>
    </row>
    <row r="198" spans="1:17" x14ac:dyDescent="0.35">
      <c r="A198" t="s">
        <v>296</v>
      </c>
      <c r="B198" t="s">
        <v>27</v>
      </c>
      <c r="C198" t="s">
        <v>828</v>
      </c>
      <c r="D198" t="s">
        <v>1054</v>
      </c>
      <c r="E198" t="s">
        <v>21</v>
      </c>
      <c r="F198" t="s">
        <v>1055</v>
      </c>
      <c r="G198" t="s">
        <v>1056</v>
      </c>
      <c r="H198" s="1">
        <v>45511</v>
      </c>
      <c r="I198" s="1">
        <v>45839</v>
      </c>
      <c r="J198" t="s">
        <v>233</v>
      </c>
      <c r="K198">
        <v>44</v>
      </c>
      <c r="L198">
        <v>83</v>
      </c>
      <c r="M198">
        <v>78</v>
      </c>
      <c r="N198" t="s">
        <v>235</v>
      </c>
      <c r="O198">
        <v>46</v>
      </c>
      <c r="P198">
        <v>4</v>
      </c>
      <c r="Q198" s="3">
        <v>0.96</v>
      </c>
    </row>
    <row r="199" spans="1:17" x14ac:dyDescent="0.35">
      <c r="A199" t="s">
        <v>106</v>
      </c>
      <c r="B199" t="s">
        <v>18</v>
      </c>
      <c r="C199" t="s">
        <v>562</v>
      </c>
      <c r="D199" t="s">
        <v>1057</v>
      </c>
      <c r="E199" t="s">
        <v>21</v>
      </c>
      <c r="F199" t="s">
        <v>1058</v>
      </c>
      <c r="G199" t="s">
        <v>1059</v>
      </c>
      <c r="H199" s="1">
        <v>45511</v>
      </c>
      <c r="I199" s="1">
        <v>45547</v>
      </c>
      <c r="J199" s="1">
        <v>45607</v>
      </c>
      <c r="K199">
        <v>36</v>
      </c>
      <c r="L199">
        <v>59</v>
      </c>
      <c r="M199">
        <v>90</v>
      </c>
      <c r="N199" t="s">
        <v>153</v>
      </c>
      <c r="O199">
        <v>25</v>
      </c>
      <c r="P199">
        <v>60</v>
      </c>
      <c r="Q199" s="3">
        <v>0.91</v>
      </c>
    </row>
    <row r="200" spans="1:17" x14ac:dyDescent="0.35">
      <c r="A200" t="s">
        <v>596</v>
      </c>
      <c r="B200" t="s">
        <v>18</v>
      </c>
      <c r="C200" t="s">
        <v>149</v>
      </c>
      <c r="D200" t="s">
        <v>1060</v>
      </c>
      <c r="E200" t="s">
        <v>21</v>
      </c>
      <c r="F200" t="s">
        <v>1061</v>
      </c>
      <c r="G200" t="s">
        <v>1062</v>
      </c>
      <c r="H200" s="1">
        <v>45511</v>
      </c>
      <c r="I200" t="s">
        <v>398</v>
      </c>
      <c r="J200" t="s">
        <v>822</v>
      </c>
      <c r="K200">
        <v>94</v>
      </c>
      <c r="L200">
        <v>69</v>
      </c>
      <c r="M200">
        <v>68</v>
      </c>
      <c r="N200" t="s">
        <v>121</v>
      </c>
      <c r="O200">
        <v>24</v>
      </c>
      <c r="P200">
        <v>20</v>
      </c>
      <c r="Q200" s="3">
        <v>-1.4</v>
      </c>
    </row>
    <row r="201" spans="1:17" x14ac:dyDescent="0.35">
      <c r="A201" t="s">
        <v>786</v>
      </c>
      <c r="B201" t="s">
        <v>65</v>
      </c>
      <c r="C201" t="s">
        <v>436</v>
      </c>
      <c r="D201" t="s">
        <v>1063</v>
      </c>
      <c r="E201" t="s">
        <v>21</v>
      </c>
      <c r="F201" t="s">
        <v>1064</v>
      </c>
      <c r="G201" t="s">
        <v>1065</v>
      </c>
      <c r="H201" s="1">
        <v>45512</v>
      </c>
      <c r="I201" s="1">
        <v>45600</v>
      </c>
      <c r="J201" t="s">
        <v>812</v>
      </c>
      <c r="K201">
        <v>68</v>
      </c>
      <c r="L201">
        <v>7</v>
      </c>
      <c r="M201">
        <v>37</v>
      </c>
      <c r="N201" t="s">
        <v>128</v>
      </c>
      <c r="O201">
        <v>69</v>
      </c>
      <c r="P201">
        <v>1</v>
      </c>
      <c r="Q201" s="3">
        <v>0.17</v>
      </c>
    </row>
    <row r="202" spans="1:17" x14ac:dyDescent="0.35">
      <c r="A202" t="s">
        <v>212</v>
      </c>
      <c r="B202" t="s">
        <v>75</v>
      </c>
      <c r="C202" t="s">
        <v>1066</v>
      </c>
      <c r="D202" t="s">
        <v>1067</v>
      </c>
      <c r="E202" t="s">
        <v>68</v>
      </c>
      <c r="F202" t="s">
        <v>1068</v>
      </c>
      <c r="G202" t="s">
        <v>1069</v>
      </c>
      <c r="H202" s="1">
        <v>45512</v>
      </c>
      <c r="I202" t="s">
        <v>768</v>
      </c>
      <c r="J202" s="1">
        <v>45419</v>
      </c>
      <c r="K202">
        <v>78</v>
      </c>
      <c r="L202">
        <v>75</v>
      </c>
      <c r="M202">
        <v>3</v>
      </c>
      <c r="N202" t="s">
        <v>57</v>
      </c>
      <c r="O202">
        <v>63</v>
      </c>
      <c r="P202">
        <v>100</v>
      </c>
      <c r="Q202" s="3">
        <v>0.99</v>
      </c>
    </row>
    <row r="203" spans="1:17" x14ac:dyDescent="0.35">
      <c r="A203" t="s">
        <v>549</v>
      </c>
      <c r="B203" t="s">
        <v>18</v>
      </c>
      <c r="C203" t="s">
        <v>327</v>
      </c>
      <c r="D203" t="s">
        <v>1070</v>
      </c>
      <c r="E203" t="s">
        <v>30</v>
      </c>
      <c r="F203" t="s">
        <v>1071</v>
      </c>
      <c r="G203" t="s">
        <v>1072</v>
      </c>
      <c r="H203" s="1">
        <v>45512</v>
      </c>
      <c r="I203" t="s">
        <v>1073</v>
      </c>
      <c r="J203" s="1">
        <v>45547</v>
      </c>
      <c r="K203">
        <v>82</v>
      </c>
      <c r="L203">
        <v>29</v>
      </c>
      <c r="M203">
        <v>62</v>
      </c>
      <c r="N203" t="s">
        <v>1074</v>
      </c>
      <c r="O203">
        <v>77</v>
      </c>
      <c r="P203">
        <v>27</v>
      </c>
      <c r="Q203" s="3">
        <v>-0.59</v>
      </c>
    </row>
    <row r="204" spans="1:17" x14ac:dyDescent="0.35">
      <c r="A204" t="s">
        <v>413</v>
      </c>
      <c r="B204" t="s">
        <v>65</v>
      </c>
      <c r="C204" t="s">
        <v>1075</v>
      </c>
      <c r="D204" t="s">
        <v>1076</v>
      </c>
      <c r="E204" t="s">
        <v>68</v>
      </c>
      <c r="F204" t="s">
        <v>1077</v>
      </c>
      <c r="G204" t="s">
        <v>1078</v>
      </c>
      <c r="H204" s="1">
        <v>45512</v>
      </c>
      <c r="I204" t="s">
        <v>1079</v>
      </c>
      <c r="J204" t="s">
        <v>1080</v>
      </c>
      <c r="K204">
        <v>22</v>
      </c>
      <c r="L204">
        <v>10</v>
      </c>
      <c r="M204">
        <v>53</v>
      </c>
      <c r="N204" t="s">
        <v>417</v>
      </c>
      <c r="O204">
        <v>64</v>
      </c>
      <c r="P204">
        <v>7</v>
      </c>
      <c r="Q204" s="3">
        <v>0.65</v>
      </c>
    </row>
    <row r="205" spans="1:17" x14ac:dyDescent="0.35">
      <c r="A205" t="s">
        <v>162</v>
      </c>
      <c r="B205" t="s">
        <v>163</v>
      </c>
      <c r="C205" t="s">
        <v>606</v>
      </c>
      <c r="D205" t="s">
        <v>1081</v>
      </c>
      <c r="E205" t="s">
        <v>21</v>
      </c>
      <c r="F205" t="s">
        <v>1082</v>
      </c>
      <c r="G205" t="s">
        <v>1083</v>
      </c>
      <c r="H205" s="1">
        <v>45513</v>
      </c>
      <c r="I205" s="1">
        <v>45449</v>
      </c>
      <c r="J205" t="s">
        <v>444</v>
      </c>
      <c r="K205">
        <v>62</v>
      </c>
      <c r="L205">
        <v>89</v>
      </c>
      <c r="M205">
        <v>6</v>
      </c>
      <c r="N205" t="s">
        <v>169</v>
      </c>
      <c r="O205">
        <v>23</v>
      </c>
      <c r="P205">
        <v>11</v>
      </c>
      <c r="Q205" s="3">
        <v>0.89</v>
      </c>
    </row>
    <row r="206" spans="1:17" x14ac:dyDescent="0.35">
      <c r="A206" t="s">
        <v>769</v>
      </c>
      <c r="B206" t="s">
        <v>36</v>
      </c>
      <c r="C206" t="s">
        <v>1084</v>
      </c>
      <c r="D206" t="s">
        <v>1085</v>
      </c>
      <c r="E206" t="s">
        <v>30</v>
      </c>
      <c r="F206" t="s">
        <v>1086</v>
      </c>
      <c r="G206" t="s">
        <v>1087</v>
      </c>
      <c r="H206" s="1">
        <v>45513</v>
      </c>
      <c r="I206" t="s">
        <v>774</v>
      </c>
      <c r="J206" t="s">
        <v>791</v>
      </c>
      <c r="K206">
        <v>70</v>
      </c>
      <c r="L206">
        <v>81</v>
      </c>
      <c r="M206">
        <v>75</v>
      </c>
      <c r="N206" t="s">
        <v>34</v>
      </c>
      <c r="O206">
        <v>24</v>
      </c>
      <c r="P206">
        <v>54</v>
      </c>
      <c r="Q206" s="3">
        <v>0.52</v>
      </c>
    </row>
    <row r="207" spans="1:17" x14ac:dyDescent="0.35">
      <c r="A207" t="s">
        <v>222</v>
      </c>
      <c r="B207" t="s">
        <v>65</v>
      </c>
      <c r="C207" t="s">
        <v>1088</v>
      </c>
      <c r="D207" t="s">
        <v>1089</v>
      </c>
      <c r="E207" t="s">
        <v>21</v>
      </c>
      <c r="F207" t="s">
        <v>1090</v>
      </c>
      <c r="G207" t="s">
        <v>1091</v>
      </c>
      <c r="H207" s="1">
        <v>45514</v>
      </c>
      <c r="I207" s="1">
        <v>45576</v>
      </c>
      <c r="J207" t="s">
        <v>1092</v>
      </c>
      <c r="K207">
        <v>21</v>
      </c>
      <c r="L207">
        <v>63</v>
      </c>
      <c r="M207">
        <v>65</v>
      </c>
      <c r="N207" t="s">
        <v>49</v>
      </c>
      <c r="O207">
        <v>38</v>
      </c>
      <c r="P207">
        <v>73</v>
      </c>
      <c r="Q207" s="3">
        <v>-1.25</v>
      </c>
    </row>
    <row r="208" spans="1:17" x14ac:dyDescent="0.35">
      <c r="A208" t="s">
        <v>129</v>
      </c>
      <c r="B208" t="s">
        <v>18</v>
      </c>
      <c r="C208" t="s">
        <v>946</v>
      </c>
      <c r="D208" t="s">
        <v>1093</v>
      </c>
      <c r="E208" t="s">
        <v>68</v>
      </c>
      <c r="F208" t="s">
        <v>1094</v>
      </c>
      <c r="G208" t="s">
        <v>1095</v>
      </c>
      <c r="H208" s="1">
        <v>45514</v>
      </c>
      <c r="I208" t="s">
        <v>1096</v>
      </c>
      <c r="J208" t="s">
        <v>1097</v>
      </c>
      <c r="K208">
        <v>61</v>
      </c>
      <c r="L208">
        <v>50</v>
      </c>
      <c r="M208">
        <v>9</v>
      </c>
      <c r="N208" t="s">
        <v>134</v>
      </c>
      <c r="O208">
        <v>24</v>
      </c>
      <c r="P208">
        <v>92</v>
      </c>
      <c r="Q208" s="3">
        <v>-0.92</v>
      </c>
    </row>
    <row r="209" spans="1:17" x14ac:dyDescent="0.35">
      <c r="A209" t="s">
        <v>619</v>
      </c>
      <c r="B209" t="s">
        <v>18</v>
      </c>
      <c r="C209" t="s">
        <v>1098</v>
      </c>
      <c r="D209" t="s">
        <v>1099</v>
      </c>
      <c r="E209" t="s">
        <v>30</v>
      </c>
      <c r="F209" t="s">
        <v>1100</v>
      </c>
      <c r="G209" t="s">
        <v>1101</v>
      </c>
      <c r="H209" s="1">
        <v>45514</v>
      </c>
      <c r="I209" s="1">
        <v>45516</v>
      </c>
      <c r="J209" s="1">
        <v>45295</v>
      </c>
      <c r="K209">
        <v>46</v>
      </c>
      <c r="L209">
        <v>88</v>
      </c>
      <c r="M209">
        <v>20</v>
      </c>
      <c r="N209" t="s">
        <v>182</v>
      </c>
      <c r="O209">
        <v>59</v>
      </c>
      <c r="P209">
        <v>79</v>
      </c>
      <c r="Q209" s="3">
        <v>-2.83</v>
      </c>
    </row>
    <row r="210" spans="1:17" x14ac:dyDescent="0.35">
      <c r="A210" t="s">
        <v>188</v>
      </c>
      <c r="B210" t="s">
        <v>65</v>
      </c>
      <c r="C210" t="s">
        <v>666</v>
      </c>
      <c r="D210" t="s">
        <v>1102</v>
      </c>
      <c r="E210" t="s">
        <v>21</v>
      </c>
      <c r="F210" t="s">
        <v>1103</v>
      </c>
      <c r="G210" t="s">
        <v>1104</v>
      </c>
      <c r="H210" s="1">
        <v>45514</v>
      </c>
      <c r="I210" s="1">
        <v>45329</v>
      </c>
      <c r="J210" t="s">
        <v>542</v>
      </c>
      <c r="K210">
        <v>20</v>
      </c>
      <c r="L210">
        <v>25</v>
      </c>
      <c r="M210">
        <v>73</v>
      </c>
      <c r="N210" t="s">
        <v>193</v>
      </c>
      <c r="O210">
        <v>78</v>
      </c>
      <c r="P210">
        <v>1</v>
      </c>
      <c r="Q210" s="3">
        <v>-0.34</v>
      </c>
    </row>
    <row r="211" spans="1:17" x14ac:dyDescent="0.35">
      <c r="A211" t="s">
        <v>170</v>
      </c>
      <c r="B211" t="s">
        <v>18</v>
      </c>
      <c r="C211" t="s">
        <v>1105</v>
      </c>
      <c r="D211" t="s">
        <v>1106</v>
      </c>
      <c r="E211" t="s">
        <v>68</v>
      </c>
      <c r="F211" t="s">
        <v>1107</v>
      </c>
      <c r="G211" t="s">
        <v>1108</v>
      </c>
      <c r="H211" s="1">
        <v>45514</v>
      </c>
      <c r="I211" t="s">
        <v>488</v>
      </c>
      <c r="J211" t="s">
        <v>140</v>
      </c>
      <c r="K211">
        <v>80</v>
      </c>
      <c r="L211">
        <v>60</v>
      </c>
      <c r="M211">
        <v>71</v>
      </c>
      <c r="N211" t="s">
        <v>34</v>
      </c>
      <c r="O211">
        <v>98</v>
      </c>
      <c r="P211">
        <v>13</v>
      </c>
      <c r="Q211" s="3">
        <v>0.99</v>
      </c>
    </row>
    <row r="212" spans="1:17" x14ac:dyDescent="0.35">
      <c r="A212" t="s">
        <v>480</v>
      </c>
      <c r="B212" t="s">
        <v>36</v>
      </c>
      <c r="C212" t="s">
        <v>1109</v>
      </c>
      <c r="D212" t="s">
        <v>1110</v>
      </c>
      <c r="E212" t="s">
        <v>30</v>
      </c>
      <c r="F212" t="s">
        <v>1111</v>
      </c>
      <c r="G212" t="s">
        <v>1112</v>
      </c>
      <c r="H212" s="1">
        <v>45515</v>
      </c>
      <c r="I212" t="s">
        <v>72</v>
      </c>
      <c r="J212" s="1">
        <v>45482</v>
      </c>
      <c r="K212">
        <v>29</v>
      </c>
      <c r="L212">
        <v>36</v>
      </c>
      <c r="M212">
        <v>40</v>
      </c>
      <c r="N212" t="s">
        <v>121</v>
      </c>
      <c r="O212">
        <v>60</v>
      </c>
      <c r="P212">
        <v>96</v>
      </c>
      <c r="Q212" s="3">
        <v>0.87</v>
      </c>
    </row>
    <row r="213" spans="1:17" x14ac:dyDescent="0.35">
      <c r="A213" t="s">
        <v>1003</v>
      </c>
      <c r="B213" t="s">
        <v>18</v>
      </c>
      <c r="C213" t="s">
        <v>1113</v>
      </c>
      <c r="D213" t="s">
        <v>1114</v>
      </c>
      <c r="E213" t="s">
        <v>21</v>
      </c>
      <c r="F213" t="s">
        <v>1115</v>
      </c>
      <c r="G213" t="s">
        <v>1116</v>
      </c>
      <c r="H213" s="1">
        <v>45515</v>
      </c>
      <c r="I213" t="s">
        <v>343</v>
      </c>
      <c r="J213" s="1">
        <v>45992</v>
      </c>
      <c r="K213">
        <v>43</v>
      </c>
      <c r="L213">
        <v>63</v>
      </c>
      <c r="M213">
        <v>99</v>
      </c>
      <c r="N213" t="s">
        <v>282</v>
      </c>
      <c r="O213">
        <v>39</v>
      </c>
      <c r="P213">
        <v>77</v>
      </c>
      <c r="Q213" s="3">
        <v>-0.6</v>
      </c>
    </row>
    <row r="214" spans="1:17" x14ac:dyDescent="0.35">
      <c r="A214" t="s">
        <v>503</v>
      </c>
      <c r="B214" t="s">
        <v>27</v>
      </c>
      <c r="C214" t="s">
        <v>1117</v>
      </c>
      <c r="D214" t="s">
        <v>1118</v>
      </c>
      <c r="E214" t="s">
        <v>21</v>
      </c>
      <c r="F214" t="s">
        <v>1119</v>
      </c>
      <c r="G214" t="s">
        <v>1120</v>
      </c>
      <c r="H214" s="1">
        <v>45515</v>
      </c>
      <c r="I214" t="s">
        <v>1121</v>
      </c>
      <c r="J214" s="1">
        <v>45355</v>
      </c>
      <c r="K214">
        <v>23</v>
      </c>
      <c r="L214">
        <v>43</v>
      </c>
      <c r="M214">
        <v>75</v>
      </c>
      <c r="N214" t="s">
        <v>128</v>
      </c>
      <c r="O214">
        <v>91</v>
      </c>
      <c r="P214">
        <v>86</v>
      </c>
      <c r="Q214" s="3">
        <v>-0.97</v>
      </c>
    </row>
    <row r="215" spans="1:17" x14ac:dyDescent="0.35">
      <c r="A215" t="s">
        <v>671</v>
      </c>
      <c r="B215" t="s">
        <v>65</v>
      </c>
      <c r="C215" t="s">
        <v>654</v>
      </c>
      <c r="D215" t="s">
        <v>1122</v>
      </c>
      <c r="E215" t="s">
        <v>68</v>
      </c>
      <c r="F215" t="s">
        <v>1123</v>
      </c>
      <c r="G215" t="s">
        <v>1124</v>
      </c>
      <c r="H215" s="1">
        <v>45516</v>
      </c>
      <c r="I215" t="s">
        <v>465</v>
      </c>
      <c r="J215" t="s">
        <v>1125</v>
      </c>
      <c r="K215">
        <v>12</v>
      </c>
      <c r="L215">
        <v>59</v>
      </c>
      <c r="M215">
        <v>62</v>
      </c>
      <c r="N215" t="s">
        <v>49</v>
      </c>
      <c r="O215">
        <v>95</v>
      </c>
      <c r="P215">
        <v>99</v>
      </c>
      <c r="Q215" s="3">
        <v>0.05</v>
      </c>
    </row>
    <row r="216" spans="1:17" x14ac:dyDescent="0.35">
      <c r="A216" t="s">
        <v>653</v>
      </c>
      <c r="B216" t="s">
        <v>163</v>
      </c>
      <c r="C216" t="s">
        <v>297</v>
      </c>
      <c r="D216" t="s">
        <v>1126</v>
      </c>
      <c r="E216" t="s">
        <v>68</v>
      </c>
      <c r="F216" t="s">
        <v>1127</v>
      </c>
      <c r="G216" t="s">
        <v>1128</v>
      </c>
      <c r="H216" s="1">
        <v>45516</v>
      </c>
      <c r="I216" t="s">
        <v>791</v>
      </c>
      <c r="J216" t="s">
        <v>119</v>
      </c>
      <c r="K216">
        <v>99</v>
      </c>
      <c r="L216">
        <v>87</v>
      </c>
      <c r="M216">
        <v>10</v>
      </c>
      <c r="N216" t="s">
        <v>659</v>
      </c>
      <c r="O216">
        <v>93</v>
      </c>
      <c r="P216">
        <v>70</v>
      </c>
      <c r="Q216" s="3">
        <v>-0.04</v>
      </c>
    </row>
    <row r="217" spans="1:17" x14ac:dyDescent="0.35">
      <c r="A217" t="s">
        <v>496</v>
      </c>
      <c r="B217" t="s">
        <v>18</v>
      </c>
      <c r="C217" t="s">
        <v>1129</v>
      </c>
      <c r="D217" t="s">
        <v>1130</v>
      </c>
      <c r="E217" t="s">
        <v>30</v>
      </c>
      <c r="F217" t="s">
        <v>1131</v>
      </c>
      <c r="G217" t="s">
        <v>1132</v>
      </c>
      <c r="H217" s="1">
        <v>45516</v>
      </c>
      <c r="I217" s="1">
        <v>45992</v>
      </c>
      <c r="J217" t="s">
        <v>517</v>
      </c>
      <c r="K217">
        <v>37</v>
      </c>
      <c r="L217">
        <v>45</v>
      </c>
      <c r="M217">
        <v>62</v>
      </c>
      <c r="N217" t="s">
        <v>502</v>
      </c>
      <c r="O217">
        <v>34</v>
      </c>
      <c r="P217">
        <v>23</v>
      </c>
      <c r="Q217" s="3">
        <v>0.25</v>
      </c>
    </row>
    <row r="218" spans="1:17" x14ac:dyDescent="0.35">
      <c r="A218" t="s">
        <v>893</v>
      </c>
      <c r="B218" t="s">
        <v>65</v>
      </c>
      <c r="C218" t="s">
        <v>1133</v>
      </c>
      <c r="D218" t="s">
        <v>1134</v>
      </c>
      <c r="E218" t="s">
        <v>30</v>
      </c>
      <c r="F218" t="s">
        <v>1135</v>
      </c>
      <c r="G218" t="s">
        <v>1136</v>
      </c>
      <c r="H218" s="1">
        <v>45516</v>
      </c>
      <c r="I218" s="1">
        <v>45635</v>
      </c>
      <c r="J218" s="1">
        <v>45386</v>
      </c>
      <c r="K218">
        <v>26</v>
      </c>
      <c r="L218">
        <v>67</v>
      </c>
      <c r="M218">
        <v>46</v>
      </c>
      <c r="N218" t="s">
        <v>1137</v>
      </c>
      <c r="O218">
        <v>54</v>
      </c>
      <c r="P218">
        <v>46</v>
      </c>
      <c r="Q218" s="3">
        <v>0.32</v>
      </c>
    </row>
    <row r="219" spans="1:17" x14ac:dyDescent="0.35">
      <c r="A219" t="s">
        <v>727</v>
      </c>
      <c r="B219" t="s">
        <v>36</v>
      </c>
      <c r="C219" t="s">
        <v>581</v>
      </c>
      <c r="D219" t="s">
        <v>1138</v>
      </c>
      <c r="E219" t="s">
        <v>68</v>
      </c>
      <c r="F219" t="s">
        <v>1139</v>
      </c>
      <c r="G219" t="s">
        <v>1140</v>
      </c>
      <c r="H219" s="1">
        <v>45516</v>
      </c>
      <c r="I219" s="1">
        <v>45476</v>
      </c>
      <c r="J219" t="s">
        <v>1141</v>
      </c>
      <c r="K219">
        <v>94</v>
      </c>
      <c r="L219">
        <v>60</v>
      </c>
      <c r="M219">
        <v>78</v>
      </c>
      <c r="N219" t="s">
        <v>733</v>
      </c>
      <c r="O219">
        <v>100</v>
      </c>
      <c r="P219">
        <v>42</v>
      </c>
      <c r="Q219" s="3">
        <v>0.15</v>
      </c>
    </row>
    <row r="220" spans="1:17" x14ac:dyDescent="0.35">
      <c r="A220" t="s">
        <v>690</v>
      </c>
      <c r="B220" t="s">
        <v>36</v>
      </c>
      <c r="C220" t="s">
        <v>1142</v>
      </c>
      <c r="D220" t="s">
        <v>1143</v>
      </c>
      <c r="E220" t="s">
        <v>30</v>
      </c>
      <c r="F220" t="s">
        <v>1144</v>
      </c>
      <c r="G220" t="s">
        <v>1145</v>
      </c>
      <c r="H220" s="1">
        <v>45538</v>
      </c>
      <c r="I220" t="s">
        <v>464</v>
      </c>
      <c r="J220" t="s">
        <v>982</v>
      </c>
      <c r="K220">
        <v>43</v>
      </c>
      <c r="L220">
        <v>78</v>
      </c>
      <c r="M220">
        <v>85</v>
      </c>
      <c r="N220" t="s">
        <v>128</v>
      </c>
      <c r="O220">
        <v>48</v>
      </c>
      <c r="P220">
        <v>98</v>
      </c>
      <c r="Q220" s="3">
        <v>0.57999999999999996</v>
      </c>
    </row>
    <row r="221" spans="1:17" x14ac:dyDescent="0.35">
      <c r="A221" t="s">
        <v>113</v>
      </c>
      <c r="B221" t="s">
        <v>114</v>
      </c>
      <c r="C221" t="s">
        <v>19</v>
      </c>
      <c r="D221" t="s">
        <v>1146</v>
      </c>
      <c r="E221" t="s">
        <v>21</v>
      </c>
      <c r="F221" t="s">
        <v>1147</v>
      </c>
      <c r="G221" t="s">
        <v>1148</v>
      </c>
      <c r="H221" s="1">
        <v>45538</v>
      </c>
      <c r="I221" t="s">
        <v>1149</v>
      </c>
      <c r="J221" t="s">
        <v>822</v>
      </c>
      <c r="K221">
        <v>34</v>
      </c>
      <c r="L221">
        <v>49</v>
      </c>
      <c r="M221">
        <v>27</v>
      </c>
      <c r="N221" t="s">
        <v>121</v>
      </c>
      <c r="O221">
        <v>78</v>
      </c>
      <c r="P221">
        <v>20</v>
      </c>
      <c r="Q221" s="3">
        <v>-1.04</v>
      </c>
    </row>
    <row r="222" spans="1:17" x14ac:dyDescent="0.35">
      <c r="A222" t="s">
        <v>450</v>
      </c>
      <c r="B222" t="s">
        <v>18</v>
      </c>
      <c r="C222" t="s">
        <v>611</v>
      </c>
      <c r="D222" t="s">
        <v>1150</v>
      </c>
      <c r="E222" t="s">
        <v>68</v>
      </c>
      <c r="F222" t="s">
        <v>1151</v>
      </c>
      <c r="G222" t="s">
        <v>1152</v>
      </c>
      <c r="H222" s="1">
        <v>45539</v>
      </c>
      <c r="I222" s="1">
        <v>45446</v>
      </c>
      <c r="J222" s="1">
        <v>45634</v>
      </c>
      <c r="K222">
        <v>88</v>
      </c>
      <c r="L222">
        <v>46</v>
      </c>
      <c r="M222">
        <v>55</v>
      </c>
      <c r="N222" t="s">
        <v>355</v>
      </c>
      <c r="O222">
        <v>73</v>
      </c>
      <c r="P222">
        <v>63</v>
      </c>
      <c r="Q222" s="3">
        <v>0.74</v>
      </c>
    </row>
    <row r="223" spans="1:17" x14ac:dyDescent="0.35">
      <c r="A223" t="s">
        <v>408</v>
      </c>
      <c r="B223" t="s">
        <v>18</v>
      </c>
      <c r="C223" t="s">
        <v>1153</v>
      </c>
      <c r="D223" t="s">
        <v>1154</v>
      </c>
      <c r="E223" t="s">
        <v>21</v>
      </c>
      <c r="F223" t="s">
        <v>1155</v>
      </c>
      <c r="G223" t="s">
        <v>1156</v>
      </c>
      <c r="H223" s="1">
        <v>45539</v>
      </c>
      <c r="I223" s="1">
        <v>45510</v>
      </c>
      <c r="J223" s="1">
        <v>45363</v>
      </c>
      <c r="K223">
        <v>22</v>
      </c>
      <c r="L223">
        <v>56</v>
      </c>
      <c r="M223">
        <v>72</v>
      </c>
      <c r="N223" t="s">
        <v>121</v>
      </c>
      <c r="O223">
        <v>70</v>
      </c>
      <c r="P223">
        <v>39</v>
      </c>
      <c r="Q223" s="3">
        <v>0.14000000000000001</v>
      </c>
    </row>
    <row r="224" spans="1:17" x14ac:dyDescent="0.35">
      <c r="A224" t="s">
        <v>1157</v>
      </c>
      <c r="B224" t="s">
        <v>18</v>
      </c>
      <c r="C224" t="s">
        <v>1158</v>
      </c>
      <c r="D224" t="s">
        <v>1159</v>
      </c>
      <c r="E224" t="s">
        <v>68</v>
      </c>
      <c r="F224" t="s">
        <v>1160</v>
      </c>
      <c r="G224" t="s">
        <v>1161</v>
      </c>
      <c r="H224" s="1">
        <v>45540</v>
      </c>
      <c r="I224" t="s">
        <v>791</v>
      </c>
      <c r="J224" t="s">
        <v>1162</v>
      </c>
      <c r="K224">
        <v>26</v>
      </c>
      <c r="L224">
        <v>63</v>
      </c>
      <c r="M224">
        <v>88</v>
      </c>
      <c r="N224" t="s">
        <v>1163</v>
      </c>
      <c r="O224">
        <v>84</v>
      </c>
      <c r="P224">
        <v>70</v>
      </c>
      <c r="Q224" s="3">
        <v>0.44</v>
      </c>
    </row>
    <row r="225" spans="1:17" x14ac:dyDescent="0.35">
      <c r="A225" t="s">
        <v>842</v>
      </c>
      <c r="B225" t="s">
        <v>75</v>
      </c>
      <c r="C225" t="s">
        <v>1164</v>
      </c>
      <c r="D225" t="s">
        <v>1165</v>
      </c>
      <c r="E225" t="s">
        <v>68</v>
      </c>
      <c r="F225" t="s">
        <v>1166</v>
      </c>
      <c r="G225" t="s">
        <v>1167</v>
      </c>
      <c r="H225" s="1">
        <v>45541</v>
      </c>
      <c r="I225" t="s">
        <v>982</v>
      </c>
      <c r="J225" t="s">
        <v>1125</v>
      </c>
      <c r="K225">
        <v>93</v>
      </c>
      <c r="L225">
        <v>62</v>
      </c>
      <c r="M225">
        <v>65</v>
      </c>
      <c r="N225" t="s">
        <v>88</v>
      </c>
      <c r="O225">
        <v>78</v>
      </c>
      <c r="P225">
        <v>87</v>
      </c>
      <c r="Q225" s="3">
        <v>0.17</v>
      </c>
    </row>
    <row r="226" spans="1:17" x14ac:dyDescent="0.35">
      <c r="A226" t="s">
        <v>450</v>
      </c>
      <c r="B226" t="s">
        <v>18</v>
      </c>
      <c r="C226" t="s">
        <v>178</v>
      </c>
      <c r="D226" t="s">
        <v>1168</v>
      </c>
      <c r="E226" t="s">
        <v>30</v>
      </c>
      <c r="F226" t="s">
        <v>1169</v>
      </c>
      <c r="G226" t="s">
        <v>1170</v>
      </c>
      <c r="H226" s="1">
        <v>45541</v>
      </c>
      <c r="I226" t="s">
        <v>342</v>
      </c>
      <c r="J226" s="1">
        <v>45576</v>
      </c>
      <c r="K226">
        <v>12</v>
      </c>
      <c r="L226">
        <v>95</v>
      </c>
      <c r="M226">
        <v>49</v>
      </c>
      <c r="N226" t="s">
        <v>355</v>
      </c>
      <c r="O226">
        <v>25</v>
      </c>
      <c r="P226">
        <v>23</v>
      </c>
      <c r="Q226" s="3">
        <v>-0.12</v>
      </c>
    </row>
    <row r="227" spans="1:17" x14ac:dyDescent="0.35">
      <c r="A227" t="s">
        <v>769</v>
      </c>
      <c r="B227" t="s">
        <v>36</v>
      </c>
      <c r="C227" t="s">
        <v>241</v>
      </c>
      <c r="D227" t="s">
        <v>1171</v>
      </c>
      <c r="E227" t="s">
        <v>21</v>
      </c>
      <c r="F227" t="s">
        <v>1172</v>
      </c>
      <c r="G227" t="s">
        <v>1173</v>
      </c>
      <c r="H227" s="1">
        <v>45541</v>
      </c>
      <c r="I227" s="1">
        <v>45447</v>
      </c>
      <c r="J227" s="1">
        <v>45569</v>
      </c>
      <c r="K227">
        <v>23</v>
      </c>
      <c r="L227">
        <v>99</v>
      </c>
      <c r="M227">
        <v>97</v>
      </c>
      <c r="N227" t="s">
        <v>34</v>
      </c>
      <c r="O227">
        <v>68</v>
      </c>
      <c r="P227">
        <v>76</v>
      </c>
      <c r="Q227" s="3">
        <v>0.08</v>
      </c>
    </row>
    <row r="228" spans="1:17" x14ac:dyDescent="0.35">
      <c r="A228" t="s">
        <v>289</v>
      </c>
      <c r="B228" t="s">
        <v>114</v>
      </c>
      <c r="C228" t="s">
        <v>1174</v>
      </c>
      <c r="D228" t="s">
        <v>1175</v>
      </c>
      <c r="E228" t="s">
        <v>68</v>
      </c>
      <c r="F228" t="s">
        <v>1176</v>
      </c>
      <c r="G228" t="s">
        <v>1177</v>
      </c>
      <c r="H228" s="1">
        <v>45542</v>
      </c>
      <c r="I228" t="s">
        <v>1029</v>
      </c>
      <c r="J228" t="s">
        <v>1178</v>
      </c>
      <c r="K228">
        <v>75</v>
      </c>
      <c r="L228">
        <v>81</v>
      </c>
      <c r="M228">
        <v>17</v>
      </c>
      <c r="N228" t="s">
        <v>73</v>
      </c>
      <c r="O228">
        <v>69</v>
      </c>
      <c r="P228">
        <v>38</v>
      </c>
      <c r="Q228" s="3">
        <v>-0.12</v>
      </c>
    </row>
    <row r="229" spans="1:17" x14ac:dyDescent="0.35">
      <c r="A229" t="s">
        <v>194</v>
      </c>
      <c r="B229" t="s">
        <v>114</v>
      </c>
      <c r="C229" t="s">
        <v>178</v>
      </c>
      <c r="D229" t="s">
        <v>1179</v>
      </c>
      <c r="E229" t="s">
        <v>30</v>
      </c>
      <c r="F229" t="s">
        <v>1180</v>
      </c>
      <c r="G229" t="s">
        <v>1181</v>
      </c>
      <c r="H229" s="1">
        <v>45542</v>
      </c>
      <c r="I229" s="1">
        <v>45515</v>
      </c>
      <c r="J229" s="1">
        <v>45633</v>
      </c>
      <c r="K229">
        <v>22</v>
      </c>
      <c r="L229">
        <v>60</v>
      </c>
      <c r="M229">
        <v>73</v>
      </c>
      <c r="N229" t="s">
        <v>1182</v>
      </c>
      <c r="O229">
        <v>62</v>
      </c>
      <c r="P229">
        <v>3</v>
      </c>
      <c r="Q229" s="3">
        <v>0.45</v>
      </c>
    </row>
    <row r="230" spans="1:17" x14ac:dyDescent="0.35">
      <c r="A230" t="s">
        <v>496</v>
      </c>
      <c r="B230" t="s">
        <v>18</v>
      </c>
      <c r="C230" t="s">
        <v>475</v>
      </c>
      <c r="D230" t="s">
        <v>1183</v>
      </c>
      <c r="E230" t="s">
        <v>30</v>
      </c>
      <c r="F230" t="s">
        <v>1184</v>
      </c>
      <c r="G230" t="s">
        <v>1185</v>
      </c>
      <c r="H230" s="1">
        <v>45542</v>
      </c>
      <c r="I230" t="s">
        <v>511</v>
      </c>
      <c r="J230" t="s">
        <v>1186</v>
      </c>
      <c r="K230">
        <v>87</v>
      </c>
      <c r="L230">
        <v>62</v>
      </c>
      <c r="M230">
        <v>2</v>
      </c>
      <c r="N230" t="s">
        <v>502</v>
      </c>
      <c r="O230">
        <v>22</v>
      </c>
      <c r="P230">
        <v>38</v>
      </c>
      <c r="Q230" s="3">
        <v>0.95</v>
      </c>
    </row>
    <row r="231" spans="1:17" x14ac:dyDescent="0.35">
      <c r="A231" t="s">
        <v>148</v>
      </c>
      <c r="B231" t="s">
        <v>18</v>
      </c>
      <c r="C231" t="s">
        <v>1187</v>
      </c>
      <c r="D231" t="s">
        <v>1188</v>
      </c>
      <c r="E231" t="s">
        <v>68</v>
      </c>
      <c r="F231" t="s">
        <v>1189</v>
      </c>
      <c r="G231" t="s">
        <v>1190</v>
      </c>
      <c r="H231" s="1">
        <v>45543</v>
      </c>
      <c r="I231" t="s">
        <v>808</v>
      </c>
      <c r="J231" t="s">
        <v>120</v>
      </c>
      <c r="K231">
        <v>74</v>
      </c>
      <c r="L231">
        <v>30</v>
      </c>
      <c r="M231">
        <v>24</v>
      </c>
      <c r="N231" t="s">
        <v>153</v>
      </c>
      <c r="O231">
        <v>82</v>
      </c>
      <c r="P231">
        <v>12</v>
      </c>
      <c r="Q231" s="3">
        <v>-0.73</v>
      </c>
    </row>
    <row r="232" spans="1:17" x14ac:dyDescent="0.35">
      <c r="A232" t="s">
        <v>1191</v>
      </c>
      <c r="B232" t="s">
        <v>75</v>
      </c>
      <c r="C232" t="s">
        <v>928</v>
      </c>
      <c r="D232" t="s">
        <v>1192</v>
      </c>
      <c r="E232" t="s">
        <v>68</v>
      </c>
      <c r="F232" t="s">
        <v>1193</v>
      </c>
      <c r="G232" t="s">
        <v>1194</v>
      </c>
      <c r="H232" s="1">
        <v>45543</v>
      </c>
      <c r="I232" s="1">
        <v>45485</v>
      </c>
      <c r="J232" t="s">
        <v>1195</v>
      </c>
      <c r="K232">
        <v>47</v>
      </c>
      <c r="L232">
        <v>29</v>
      </c>
      <c r="M232">
        <v>70</v>
      </c>
      <c r="N232" t="s">
        <v>169</v>
      </c>
      <c r="O232">
        <v>61</v>
      </c>
      <c r="P232">
        <v>44</v>
      </c>
      <c r="Q232" s="3">
        <v>0.85</v>
      </c>
    </row>
    <row r="233" spans="1:17" x14ac:dyDescent="0.35">
      <c r="A233" t="s">
        <v>1196</v>
      </c>
      <c r="B233" t="s">
        <v>75</v>
      </c>
      <c r="C233" t="s">
        <v>862</v>
      </c>
      <c r="D233" t="s">
        <v>1197</v>
      </c>
      <c r="E233" t="s">
        <v>68</v>
      </c>
      <c r="F233" t="s">
        <v>1198</v>
      </c>
      <c r="G233" t="s">
        <v>1199</v>
      </c>
      <c r="H233" s="1">
        <v>45543</v>
      </c>
      <c r="I233" t="s">
        <v>1200</v>
      </c>
      <c r="J233" s="1">
        <v>45386</v>
      </c>
      <c r="K233">
        <v>98</v>
      </c>
      <c r="L233">
        <v>67</v>
      </c>
      <c r="M233">
        <v>49</v>
      </c>
      <c r="N233" t="s">
        <v>713</v>
      </c>
      <c r="O233">
        <v>21</v>
      </c>
      <c r="P233">
        <v>61</v>
      </c>
      <c r="Q233" s="3">
        <v>0.28000000000000003</v>
      </c>
    </row>
    <row r="234" spans="1:17" x14ac:dyDescent="0.35">
      <c r="A234" t="s">
        <v>1201</v>
      </c>
      <c r="B234" t="s">
        <v>18</v>
      </c>
      <c r="C234" t="s">
        <v>1202</v>
      </c>
      <c r="D234" t="s">
        <v>1203</v>
      </c>
      <c r="E234" t="s">
        <v>21</v>
      </c>
      <c r="F234" t="s">
        <v>1204</v>
      </c>
      <c r="G234" t="s">
        <v>1205</v>
      </c>
      <c r="H234" s="1">
        <v>45543</v>
      </c>
      <c r="I234" t="s">
        <v>81</v>
      </c>
      <c r="J234" t="s">
        <v>428</v>
      </c>
      <c r="K234">
        <v>35</v>
      </c>
      <c r="L234">
        <v>4</v>
      </c>
      <c r="M234">
        <v>76</v>
      </c>
      <c r="N234" t="s">
        <v>121</v>
      </c>
      <c r="O234">
        <v>90</v>
      </c>
      <c r="P234">
        <v>30</v>
      </c>
      <c r="Q234" s="3">
        <v>-1.9</v>
      </c>
    </row>
    <row r="235" spans="1:17" x14ac:dyDescent="0.35">
      <c r="A235" t="s">
        <v>496</v>
      </c>
      <c r="B235" t="s">
        <v>18</v>
      </c>
      <c r="C235" t="s">
        <v>1206</v>
      </c>
      <c r="D235" t="s">
        <v>1207</v>
      </c>
      <c r="E235" t="s">
        <v>68</v>
      </c>
      <c r="F235" t="s">
        <v>1208</v>
      </c>
      <c r="G235" t="s">
        <v>1209</v>
      </c>
      <c r="H235" s="1">
        <v>45543</v>
      </c>
      <c r="I235" s="1">
        <v>45871</v>
      </c>
      <c r="J235" t="s">
        <v>812</v>
      </c>
      <c r="K235">
        <v>30</v>
      </c>
      <c r="L235">
        <v>66</v>
      </c>
      <c r="M235">
        <v>28</v>
      </c>
      <c r="N235" t="s">
        <v>502</v>
      </c>
      <c r="O235">
        <v>63</v>
      </c>
      <c r="P235">
        <v>98</v>
      </c>
      <c r="Q235" s="3">
        <v>0.67</v>
      </c>
    </row>
    <row r="236" spans="1:17" x14ac:dyDescent="0.35">
      <c r="A236" t="s">
        <v>435</v>
      </c>
      <c r="B236" t="s">
        <v>18</v>
      </c>
      <c r="C236" t="s">
        <v>1129</v>
      </c>
      <c r="D236" t="s">
        <v>1210</v>
      </c>
      <c r="E236" t="s">
        <v>21</v>
      </c>
      <c r="F236" t="s">
        <v>1211</v>
      </c>
      <c r="G236" t="s">
        <v>1212</v>
      </c>
      <c r="H236" s="1">
        <v>45544</v>
      </c>
      <c r="I236" t="s">
        <v>755</v>
      </c>
      <c r="J236" s="1">
        <v>45635</v>
      </c>
      <c r="K236">
        <v>19</v>
      </c>
      <c r="L236">
        <v>65</v>
      </c>
      <c r="M236">
        <v>48</v>
      </c>
      <c r="N236" t="s">
        <v>344</v>
      </c>
      <c r="O236">
        <v>59</v>
      </c>
      <c r="P236">
        <v>53</v>
      </c>
      <c r="Q236" s="3">
        <v>-0.56000000000000005</v>
      </c>
    </row>
    <row r="237" spans="1:17" x14ac:dyDescent="0.35">
      <c r="A237" t="s">
        <v>222</v>
      </c>
      <c r="B237" t="s">
        <v>65</v>
      </c>
      <c r="C237" t="s">
        <v>1213</v>
      </c>
      <c r="D237" t="s">
        <v>1214</v>
      </c>
      <c r="E237" t="s">
        <v>30</v>
      </c>
      <c r="F237" t="s">
        <v>1215</v>
      </c>
      <c r="G237" t="s">
        <v>1216</v>
      </c>
      <c r="H237" s="1">
        <v>45545</v>
      </c>
      <c r="I237" s="1">
        <v>45608</v>
      </c>
      <c r="J237" t="s">
        <v>780</v>
      </c>
      <c r="K237">
        <v>34</v>
      </c>
      <c r="L237">
        <v>46</v>
      </c>
      <c r="M237">
        <v>45</v>
      </c>
      <c r="N237" t="s">
        <v>49</v>
      </c>
      <c r="O237">
        <v>49</v>
      </c>
      <c r="P237">
        <v>25</v>
      </c>
      <c r="Q237" s="3">
        <v>0.1</v>
      </c>
    </row>
    <row r="238" spans="1:17" x14ac:dyDescent="0.35">
      <c r="A238" t="s">
        <v>96</v>
      </c>
      <c r="B238" t="s">
        <v>36</v>
      </c>
      <c r="C238" t="s">
        <v>1217</v>
      </c>
      <c r="D238" t="s">
        <v>1218</v>
      </c>
      <c r="E238" t="s">
        <v>30</v>
      </c>
      <c r="F238" t="s">
        <v>1219</v>
      </c>
      <c r="G238" t="s">
        <v>1220</v>
      </c>
      <c r="H238" s="1">
        <v>45545</v>
      </c>
      <c r="I238" t="s">
        <v>1221</v>
      </c>
      <c r="J238" t="s">
        <v>206</v>
      </c>
      <c r="K238">
        <v>40</v>
      </c>
      <c r="L238">
        <v>81</v>
      </c>
      <c r="M238">
        <v>40</v>
      </c>
      <c r="N238" t="s">
        <v>88</v>
      </c>
      <c r="O238">
        <v>40</v>
      </c>
      <c r="P238">
        <v>48</v>
      </c>
      <c r="Q238" s="3">
        <v>0.49</v>
      </c>
    </row>
    <row r="239" spans="1:17" x14ac:dyDescent="0.35">
      <c r="A239" t="s">
        <v>695</v>
      </c>
      <c r="B239" t="s">
        <v>65</v>
      </c>
      <c r="C239" t="s">
        <v>1222</v>
      </c>
      <c r="D239" t="s">
        <v>1223</v>
      </c>
      <c r="E239" t="s">
        <v>68</v>
      </c>
      <c r="F239" t="s">
        <v>1224</v>
      </c>
      <c r="G239" t="s">
        <v>1225</v>
      </c>
      <c r="H239" s="1">
        <v>45545</v>
      </c>
      <c r="I239" s="1">
        <v>45299</v>
      </c>
      <c r="J239" s="1">
        <v>45356</v>
      </c>
      <c r="K239">
        <v>89</v>
      </c>
      <c r="L239">
        <v>54</v>
      </c>
      <c r="M239">
        <v>15</v>
      </c>
      <c r="N239" t="s">
        <v>128</v>
      </c>
      <c r="O239">
        <v>64</v>
      </c>
      <c r="P239">
        <v>63</v>
      </c>
      <c r="Q239" s="3">
        <v>-0.2</v>
      </c>
    </row>
    <row r="240" spans="1:17" x14ac:dyDescent="0.35">
      <c r="A240" t="s">
        <v>861</v>
      </c>
      <c r="B240" t="s">
        <v>36</v>
      </c>
      <c r="C240" t="s">
        <v>1226</v>
      </c>
      <c r="D240" t="s">
        <v>1227</v>
      </c>
      <c r="E240" t="s">
        <v>21</v>
      </c>
      <c r="F240" t="s">
        <v>1228</v>
      </c>
      <c r="G240" t="s">
        <v>1229</v>
      </c>
      <c r="H240" s="1">
        <v>45545</v>
      </c>
      <c r="I240" t="s">
        <v>494</v>
      </c>
      <c r="J240" s="1">
        <v>45718</v>
      </c>
      <c r="K240">
        <v>71</v>
      </c>
      <c r="L240">
        <v>93</v>
      </c>
      <c r="M240">
        <v>75</v>
      </c>
      <c r="N240" t="s">
        <v>57</v>
      </c>
      <c r="O240">
        <v>77</v>
      </c>
      <c r="P240">
        <v>58</v>
      </c>
      <c r="Q240" s="3">
        <v>0.02</v>
      </c>
    </row>
    <row r="241" spans="1:17" x14ac:dyDescent="0.35">
      <c r="A241" t="s">
        <v>320</v>
      </c>
      <c r="B241" t="s">
        <v>36</v>
      </c>
      <c r="C241" t="s">
        <v>1230</v>
      </c>
      <c r="D241" t="s">
        <v>1231</v>
      </c>
      <c r="E241" t="s">
        <v>21</v>
      </c>
      <c r="F241" t="s">
        <v>1232</v>
      </c>
      <c r="G241" t="s">
        <v>1233</v>
      </c>
      <c r="H241" s="1">
        <v>45546</v>
      </c>
      <c r="I241" s="1">
        <v>45634</v>
      </c>
      <c r="J241" t="s">
        <v>670</v>
      </c>
      <c r="K241">
        <v>91</v>
      </c>
      <c r="L241">
        <v>7</v>
      </c>
      <c r="M241">
        <v>64</v>
      </c>
      <c r="N241" t="s">
        <v>57</v>
      </c>
      <c r="O241">
        <v>32</v>
      </c>
      <c r="P241">
        <v>65</v>
      </c>
      <c r="Q241" s="3">
        <v>0.25</v>
      </c>
    </row>
    <row r="242" spans="1:17" x14ac:dyDescent="0.35">
      <c r="A242" t="s">
        <v>1234</v>
      </c>
      <c r="B242" t="s">
        <v>27</v>
      </c>
      <c r="C242" t="s">
        <v>332</v>
      </c>
      <c r="D242" t="s">
        <v>1235</v>
      </c>
      <c r="E242" t="s">
        <v>30</v>
      </c>
      <c r="F242" t="s">
        <v>1236</v>
      </c>
      <c r="G242" t="s">
        <v>1237</v>
      </c>
      <c r="H242" s="1">
        <v>45547</v>
      </c>
      <c r="I242" s="1">
        <v>45630</v>
      </c>
      <c r="J242" s="1">
        <v>45544</v>
      </c>
      <c r="K242">
        <v>20</v>
      </c>
      <c r="L242">
        <v>55</v>
      </c>
      <c r="M242">
        <v>15</v>
      </c>
      <c r="N242" t="s">
        <v>128</v>
      </c>
      <c r="O242">
        <v>86</v>
      </c>
      <c r="P242">
        <v>61</v>
      </c>
      <c r="Q242" s="3">
        <v>-1.03</v>
      </c>
    </row>
    <row r="243" spans="1:17" x14ac:dyDescent="0.35">
      <c r="A243" t="s">
        <v>17</v>
      </c>
      <c r="B243" t="s">
        <v>18</v>
      </c>
      <c r="C243" t="s">
        <v>1238</v>
      </c>
      <c r="D243" t="s">
        <v>1239</v>
      </c>
      <c r="E243" t="s">
        <v>68</v>
      </c>
      <c r="F243" t="s">
        <v>1240</v>
      </c>
      <c r="G243" t="s">
        <v>1241</v>
      </c>
      <c r="H243" s="1">
        <v>45568</v>
      </c>
      <c r="I243" t="s">
        <v>986</v>
      </c>
      <c r="J243" s="1">
        <v>45633</v>
      </c>
      <c r="K243">
        <v>96</v>
      </c>
      <c r="L243">
        <v>33</v>
      </c>
      <c r="M243">
        <v>72</v>
      </c>
      <c r="N243" t="s">
        <v>1242</v>
      </c>
      <c r="O243">
        <v>74</v>
      </c>
      <c r="P243">
        <v>100</v>
      </c>
      <c r="Q243" s="3">
        <v>0.28999999999999998</v>
      </c>
    </row>
    <row r="244" spans="1:17" x14ac:dyDescent="0.35">
      <c r="A244" t="s">
        <v>480</v>
      </c>
      <c r="B244" t="s">
        <v>36</v>
      </c>
      <c r="C244" t="s">
        <v>677</v>
      </c>
      <c r="D244" t="s">
        <v>1243</v>
      </c>
      <c r="E244" t="s">
        <v>68</v>
      </c>
      <c r="F244" t="s">
        <v>1244</v>
      </c>
      <c r="G244" t="s">
        <v>1245</v>
      </c>
      <c r="H244" s="1">
        <v>45568</v>
      </c>
      <c r="I244" s="1">
        <v>45607</v>
      </c>
      <c r="J244" t="s">
        <v>1246</v>
      </c>
      <c r="K244">
        <v>14</v>
      </c>
      <c r="L244">
        <v>87</v>
      </c>
      <c r="M244">
        <v>8</v>
      </c>
      <c r="N244" t="s">
        <v>121</v>
      </c>
      <c r="O244">
        <v>90</v>
      </c>
      <c r="P244">
        <v>14</v>
      </c>
      <c r="Q244" s="3">
        <v>-0.35</v>
      </c>
    </row>
    <row r="245" spans="1:17" x14ac:dyDescent="0.35">
      <c r="A245" t="s">
        <v>718</v>
      </c>
      <c r="B245" t="s">
        <v>65</v>
      </c>
      <c r="C245" t="s">
        <v>1247</v>
      </c>
      <c r="D245" t="s">
        <v>1248</v>
      </c>
      <c r="E245" t="s">
        <v>21</v>
      </c>
      <c r="F245" t="s">
        <v>1249</v>
      </c>
      <c r="G245" t="s">
        <v>1250</v>
      </c>
      <c r="H245" s="1">
        <v>45568</v>
      </c>
      <c r="I245" s="1">
        <v>45295</v>
      </c>
      <c r="J245" s="1">
        <v>45570</v>
      </c>
      <c r="K245">
        <v>42</v>
      </c>
      <c r="L245">
        <v>12</v>
      </c>
      <c r="M245">
        <v>28</v>
      </c>
      <c r="N245" t="s">
        <v>34</v>
      </c>
      <c r="O245">
        <v>80</v>
      </c>
      <c r="P245">
        <v>8</v>
      </c>
      <c r="Q245" s="3">
        <v>0.84</v>
      </c>
    </row>
    <row r="246" spans="1:17" x14ac:dyDescent="0.35">
      <c r="A246" t="s">
        <v>975</v>
      </c>
      <c r="B246" t="s">
        <v>18</v>
      </c>
      <c r="C246" t="s">
        <v>1217</v>
      </c>
      <c r="D246" t="s">
        <v>1251</v>
      </c>
      <c r="E246" t="s">
        <v>68</v>
      </c>
      <c r="F246" t="s">
        <v>1252</v>
      </c>
      <c r="G246" t="s">
        <v>1253</v>
      </c>
      <c r="H246" s="1">
        <v>45568</v>
      </c>
      <c r="I246" s="1">
        <v>45542</v>
      </c>
      <c r="J246" t="s">
        <v>140</v>
      </c>
      <c r="K246">
        <v>31</v>
      </c>
      <c r="L246">
        <v>61</v>
      </c>
      <c r="M246">
        <v>28</v>
      </c>
      <c r="N246" t="s">
        <v>1254</v>
      </c>
      <c r="O246">
        <v>55</v>
      </c>
      <c r="P246">
        <v>70</v>
      </c>
      <c r="Q246" s="3">
        <v>0.9</v>
      </c>
    </row>
    <row r="247" spans="1:17" x14ac:dyDescent="0.35">
      <c r="A247" t="s">
        <v>786</v>
      </c>
      <c r="B247" t="s">
        <v>65</v>
      </c>
      <c r="C247" t="s">
        <v>946</v>
      </c>
      <c r="D247" t="s">
        <v>1255</v>
      </c>
      <c r="E247" t="s">
        <v>68</v>
      </c>
      <c r="F247" t="s">
        <v>1256</v>
      </c>
      <c r="G247" t="s">
        <v>1257</v>
      </c>
      <c r="H247" s="1">
        <v>45568</v>
      </c>
      <c r="I247" s="1">
        <v>45603</v>
      </c>
      <c r="J247" t="s">
        <v>1001</v>
      </c>
      <c r="K247">
        <v>47</v>
      </c>
      <c r="L247">
        <v>30</v>
      </c>
      <c r="M247">
        <v>16</v>
      </c>
      <c r="N247" t="s">
        <v>128</v>
      </c>
      <c r="O247">
        <v>22</v>
      </c>
      <c r="P247">
        <v>81</v>
      </c>
      <c r="Q247" s="3">
        <v>-0.27</v>
      </c>
    </row>
    <row r="248" spans="1:17" x14ac:dyDescent="0.35">
      <c r="A248" t="s">
        <v>880</v>
      </c>
      <c r="B248" t="s">
        <v>27</v>
      </c>
      <c r="C248" t="s">
        <v>290</v>
      </c>
      <c r="D248" t="s">
        <v>1258</v>
      </c>
      <c r="E248" t="s">
        <v>21</v>
      </c>
      <c r="F248" t="s">
        <v>1259</v>
      </c>
      <c r="G248" t="s">
        <v>1260</v>
      </c>
      <c r="H248" s="1">
        <v>45569</v>
      </c>
      <c r="I248" t="s">
        <v>808</v>
      </c>
      <c r="J248" t="s">
        <v>233</v>
      </c>
      <c r="K248">
        <v>79</v>
      </c>
      <c r="L248">
        <v>31</v>
      </c>
      <c r="M248">
        <v>66</v>
      </c>
      <c r="N248" t="s">
        <v>884</v>
      </c>
      <c r="O248">
        <v>92</v>
      </c>
      <c r="P248">
        <v>13</v>
      </c>
      <c r="Q248" s="3">
        <v>-2.68</v>
      </c>
    </row>
    <row r="249" spans="1:17" x14ac:dyDescent="0.35">
      <c r="A249" t="s">
        <v>1191</v>
      </c>
      <c r="B249" t="s">
        <v>75</v>
      </c>
      <c r="C249" t="s">
        <v>1261</v>
      </c>
      <c r="D249" t="s">
        <v>1262</v>
      </c>
      <c r="E249" t="s">
        <v>30</v>
      </c>
      <c r="F249" t="s">
        <v>1263</v>
      </c>
      <c r="G249" t="s">
        <v>1264</v>
      </c>
      <c r="H249" s="1">
        <v>45569</v>
      </c>
      <c r="I249" s="1">
        <v>45575</v>
      </c>
      <c r="J249" t="s">
        <v>792</v>
      </c>
      <c r="K249">
        <v>18</v>
      </c>
      <c r="L249">
        <v>46</v>
      </c>
      <c r="M249">
        <v>26</v>
      </c>
      <c r="N249" t="s">
        <v>169</v>
      </c>
      <c r="O249">
        <v>57</v>
      </c>
      <c r="P249">
        <v>95</v>
      </c>
      <c r="Q249" s="3">
        <v>0.86</v>
      </c>
    </row>
    <row r="250" spans="1:17" x14ac:dyDescent="0.35">
      <c r="A250" t="s">
        <v>1191</v>
      </c>
      <c r="B250" t="s">
        <v>75</v>
      </c>
      <c r="C250" t="s">
        <v>460</v>
      </c>
      <c r="D250" t="s">
        <v>1265</v>
      </c>
      <c r="E250" t="s">
        <v>68</v>
      </c>
      <c r="F250" t="s">
        <v>1266</v>
      </c>
      <c r="G250" t="s">
        <v>1267</v>
      </c>
      <c r="H250" s="1">
        <v>45569</v>
      </c>
      <c r="I250" t="s">
        <v>837</v>
      </c>
      <c r="J250" s="1">
        <v>45870</v>
      </c>
      <c r="K250">
        <v>82</v>
      </c>
      <c r="L250">
        <v>31</v>
      </c>
      <c r="M250">
        <v>86</v>
      </c>
      <c r="N250" t="s">
        <v>169</v>
      </c>
      <c r="O250">
        <v>66</v>
      </c>
      <c r="P250">
        <v>74</v>
      </c>
      <c r="Q250" s="3">
        <v>-0.67</v>
      </c>
    </row>
    <row r="251" spans="1:17" x14ac:dyDescent="0.35">
      <c r="A251" t="s">
        <v>96</v>
      </c>
      <c r="B251" t="s">
        <v>36</v>
      </c>
      <c r="C251" t="s">
        <v>1230</v>
      </c>
      <c r="D251" t="s">
        <v>1268</v>
      </c>
      <c r="E251" t="s">
        <v>68</v>
      </c>
      <c r="F251" t="s">
        <v>1269</v>
      </c>
      <c r="G251" t="s">
        <v>1270</v>
      </c>
      <c r="H251" s="1">
        <v>45569</v>
      </c>
      <c r="I251" t="s">
        <v>455</v>
      </c>
      <c r="J251" s="1">
        <v>45902</v>
      </c>
      <c r="K251">
        <v>36</v>
      </c>
      <c r="L251">
        <v>77</v>
      </c>
      <c r="M251">
        <v>49</v>
      </c>
      <c r="N251" t="s">
        <v>88</v>
      </c>
      <c r="O251">
        <v>30</v>
      </c>
      <c r="P251">
        <v>84</v>
      </c>
      <c r="Q251" s="3">
        <v>-0.12</v>
      </c>
    </row>
    <row r="252" spans="1:17" x14ac:dyDescent="0.35">
      <c r="A252" t="s">
        <v>101</v>
      </c>
      <c r="B252" t="s">
        <v>27</v>
      </c>
      <c r="C252" t="s">
        <v>1271</v>
      </c>
      <c r="D252" t="s">
        <v>1272</v>
      </c>
      <c r="E252" t="s">
        <v>21</v>
      </c>
      <c r="F252" t="s">
        <v>1273</v>
      </c>
      <c r="G252" t="s">
        <v>1274</v>
      </c>
      <c r="H252" s="1">
        <v>45569</v>
      </c>
      <c r="I252" t="s">
        <v>548</v>
      </c>
      <c r="J252" t="s">
        <v>369</v>
      </c>
      <c r="K252">
        <v>24</v>
      </c>
      <c r="L252">
        <v>89</v>
      </c>
      <c r="M252">
        <v>27</v>
      </c>
      <c r="N252" t="s">
        <v>82</v>
      </c>
      <c r="O252">
        <v>99</v>
      </c>
      <c r="P252">
        <v>1</v>
      </c>
      <c r="Q252" s="3">
        <v>-1.8</v>
      </c>
    </row>
    <row r="253" spans="1:17" x14ac:dyDescent="0.35">
      <c r="A253" t="s">
        <v>74</v>
      </c>
      <c r="B253" t="s">
        <v>75</v>
      </c>
      <c r="C253" t="s">
        <v>1275</v>
      </c>
      <c r="D253" t="s">
        <v>1276</v>
      </c>
      <c r="E253" t="s">
        <v>21</v>
      </c>
      <c r="F253" t="s">
        <v>1277</v>
      </c>
      <c r="G253" t="s">
        <v>1278</v>
      </c>
      <c r="H253" s="1">
        <v>45570</v>
      </c>
      <c r="I253" s="1">
        <v>45568</v>
      </c>
      <c r="J253" t="s">
        <v>898</v>
      </c>
      <c r="K253">
        <v>88</v>
      </c>
      <c r="L253">
        <v>56</v>
      </c>
      <c r="M253">
        <v>81</v>
      </c>
      <c r="N253" t="s">
        <v>82</v>
      </c>
      <c r="O253">
        <v>98</v>
      </c>
      <c r="P253">
        <v>86</v>
      </c>
      <c r="Q253" s="3">
        <v>0.99</v>
      </c>
    </row>
    <row r="254" spans="1:17" x14ac:dyDescent="0.35">
      <c r="A254" t="s">
        <v>769</v>
      </c>
      <c r="B254" t="s">
        <v>36</v>
      </c>
      <c r="C254" t="s">
        <v>1279</v>
      </c>
      <c r="D254" t="s">
        <v>1280</v>
      </c>
      <c r="E254" t="s">
        <v>21</v>
      </c>
      <c r="F254" t="s">
        <v>1281</v>
      </c>
      <c r="G254" t="s">
        <v>1282</v>
      </c>
      <c r="H254" s="1">
        <v>45570</v>
      </c>
      <c r="I254" s="1">
        <v>45573</v>
      </c>
      <c r="J254" s="1">
        <v>45385</v>
      </c>
      <c r="K254">
        <v>23</v>
      </c>
      <c r="L254">
        <v>100</v>
      </c>
      <c r="M254">
        <v>77</v>
      </c>
      <c r="N254" t="s">
        <v>34</v>
      </c>
      <c r="O254">
        <v>63</v>
      </c>
      <c r="P254">
        <v>26</v>
      </c>
      <c r="Q254" s="3">
        <v>0.12</v>
      </c>
    </row>
    <row r="255" spans="1:17" x14ac:dyDescent="0.35">
      <c r="A255" t="s">
        <v>177</v>
      </c>
      <c r="B255" t="s">
        <v>18</v>
      </c>
      <c r="C255" t="s">
        <v>90</v>
      </c>
      <c r="D255" t="s">
        <v>1283</v>
      </c>
      <c r="E255" t="s">
        <v>21</v>
      </c>
      <c r="F255" t="s">
        <v>1284</v>
      </c>
      <c r="G255" t="s">
        <v>1285</v>
      </c>
      <c r="H255" s="1">
        <v>45571</v>
      </c>
      <c r="I255" s="1">
        <v>45638</v>
      </c>
      <c r="J255" t="s">
        <v>1195</v>
      </c>
      <c r="K255">
        <v>61</v>
      </c>
      <c r="L255">
        <v>14</v>
      </c>
      <c r="M255">
        <v>49</v>
      </c>
      <c r="N255" t="s">
        <v>1286</v>
      </c>
      <c r="O255">
        <v>74</v>
      </c>
      <c r="P255">
        <v>35</v>
      </c>
      <c r="Q255" s="3">
        <v>0.59</v>
      </c>
    </row>
    <row r="256" spans="1:17" x14ac:dyDescent="0.35">
      <c r="A256" t="s">
        <v>17</v>
      </c>
      <c r="B256" t="s">
        <v>18</v>
      </c>
      <c r="C256" t="s">
        <v>1287</v>
      </c>
      <c r="D256" t="s">
        <v>1288</v>
      </c>
      <c r="E256" t="s">
        <v>21</v>
      </c>
      <c r="F256" t="s">
        <v>1289</v>
      </c>
      <c r="G256" t="s">
        <v>1290</v>
      </c>
      <c r="H256" s="1">
        <v>45571</v>
      </c>
      <c r="I256" s="1">
        <v>45809</v>
      </c>
      <c r="J256" t="s">
        <v>1291</v>
      </c>
      <c r="K256">
        <v>89</v>
      </c>
      <c r="L256">
        <v>96</v>
      </c>
      <c r="M256">
        <v>94</v>
      </c>
      <c r="N256" t="s">
        <v>134</v>
      </c>
      <c r="O256">
        <v>38</v>
      </c>
      <c r="P256">
        <v>96</v>
      </c>
      <c r="Q256" s="3">
        <v>0.53</v>
      </c>
    </row>
    <row r="257" spans="1:17" x14ac:dyDescent="0.35">
      <c r="A257" t="s">
        <v>1292</v>
      </c>
      <c r="B257" t="s">
        <v>18</v>
      </c>
      <c r="C257" t="s">
        <v>178</v>
      </c>
      <c r="D257" t="s">
        <v>1293</v>
      </c>
      <c r="E257" t="s">
        <v>30</v>
      </c>
      <c r="F257" t="s">
        <v>1294</v>
      </c>
      <c r="G257" t="s">
        <v>1295</v>
      </c>
      <c r="H257" s="1">
        <v>45572</v>
      </c>
      <c r="I257" t="s">
        <v>903</v>
      </c>
      <c r="J257" t="s">
        <v>1296</v>
      </c>
      <c r="K257">
        <v>58</v>
      </c>
      <c r="L257">
        <v>15</v>
      </c>
      <c r="M257">
        <v>87</v>
      </c>
      <c r="N257" t="s">
        <v>1297</v>
      </c>
      <c r="O257">
        <v>52</v>
      </c>
      <c r="P257">
        <v>81</v>
      </c>
      <c r="Q257" s="3">
        <v>-1.53</v>
      </c>
    </row>
    <row r="258" spans="1:17" x14ac:dyDescent="0.35">
      <c r="A258" t="s">
        <v>496</v>
      </c>
      <c r="B258" t="s">
        <v>18</v>
      </c>
      <c r="C258" t="s">
        <v>1298</v>
      </c>
      <c r="D258" t="s">
        <v>1299</v>
      </c>
      <c r="E258" t="s">
        <v>68</v>
      </c>
      <c r="F258" t="s">
        <v>1300</v>
      </c>
      <c r="G258" t="s">
        <v>1301</v>
      </c>
      <c r="H258" s="1">
        <v>45572</v>
      </c>
      <c r="I258" t="s">
        <v>489</v>
      </c>
      <c r="J258" s="1">
        <v>45575</v>
      </c>
      <c r="K258">
        <v>38</v>
      </c>
      <c r="L258">
        <v>72</v>
      </c>
      <c r="M258">
        <v>39</v>
      </c>
      <c r="N258" t="s">
        <v>502</v>
      </c>
      <c r="O258">
        <v>59</v>
      </c>
      <c r="P258">
        <v>8</v>
      </c>
      <c r="Q258" s="3">
        <v>-0.56000000000000005</v>
      </c>
    </row>
    <row r="259" spans="1:17" x14ac:dyDescent="0.35">
      <c r="A259" t="s">
        <v>872</v>
      </c>
      <c r="B259" t="s">
        <v>18</v>
      </c>
      <c r="C259" t="s">
        <v>1302</v>
      </c>
      <c r="D259" t="s">
        <v>1303</v>
      </c>
      <c r="E259" t="s">
        <v>30</v>
      </c>
      <c r="F259" t="s">
        <v>1304</v>
      </c>
      <c r="G259" t="s">
        <v>1305</v>
      </c>
      <c r="H259" s="1">
        <v>45573</v>
      </c>
      <c r="I259" t="s">
        <v>1306</v>
      </c>
      <c r="J259" s="1">
        <v>45540</v>
      </c>
      <c r="K259">
        <v>45</v>
      </c>
      <c r="L259">
        <v>70</v>
      </c>
      <c r="M259">
        <v>98</v>
      </c>
      <c r="N259" t="s">
        <v>512</v>
      </c>
      <c r="O259">
        <v>25</v>
      </c>
      <c r="P259">
        <v>39</v>
      </c>
      <c r="Q259" s="3">
        <v>0.86</v>
      </c>
    </row>
    <row r="260" spans="1:17" x14ac:dyDescent="0.35">
      <c r="A260" t="s">
        <v>1307</v>
      </c>
      <c r="B260" t="s">
        <v>163</v>
      </c>
      <c r="C260" t="s">
        <v>963</v>
      </c>
      <c r="D260" t="s">
        <v>1308</v>
      </c>
      <c r="E260" t="s">
        <v>68</v>
      </c>
      <c r="F260" t="s">
        <v>1309</v>
      </c>
      <c r="G260" t="s">
        <v>1310</v>
      </c>
      <c r="H260" s="1">
        <v>45573</v>
      </c>
      <c r="I260" t="s">
        <v>1149</v>
      </c>
      <c r="J260" t="s">
        <v>263</v>
      </c>
      <c r="K260">
        <v>26</v>
      </c>
      <c r="L260">
        <v>59</v>
      </c>
      <c r="M260">
        <v>54</v>
      </c>
      <c r="N260" t="s">
        <v>798</v>
      </c>
      <c r="O260">
        <v>92</v>
      </c>
      <c r="P260">
        <v>49</v>
      </c>
      <c r="Q260" s="3">
        <v>-0.56000000000000005</v>
      </c>
    </row>
    <row r="261" spans="1:17" x14ac:dyDescent="0.35">
      <c r="A261" t="s">
        <v>1311</v>
      </c>
      <c r="B261" t="s">
        <v>36</v>
      </c>
      <c r="C261" t="s">
        <v>1047</v>
      </c>
      <c r="D261" t="s">
        <v>1312</v>
      </c>
      <c r="E261" t="s">
        <v>21</v>
      </c>
      <c r="F261" t="s">
        <v>1313</v>
      </c>
      <c r="G261" t="s">
        <v>1314</v>
      </c>
      <c r="H261" s="1">
        <v>45574</v>
      </c>
      <c r="I261" t="s">
        <v>33</v>
      </c>
      <c r="J261" s="1">
        <v>45298</v>
      </c>
      <c r="K261">
        <v>49</v>
      </c>
      <c r="L261">
        <v>49</v>
      </c>
      <c r="M261">
        <v>26</v>
      </c>
      <c r="N261" t="s">
        <v>798</v>
      </c>
      <c r="O261">
        <v>78</v>
      </c>
      <c r="P261">
        <v>61</v>
      </c>
      <c r="Q261" s="3">
        <v>0.47</v>
      </c>
    </row>
    <row r="262" spans="1:17" x14ac:dyDescent="0.35">
      <c r="A262" t="s">
        <v>975</v>
      </c>
      <c r="B262" t="s">
        <v>18</v>
      </c>
      <c r="C262" t="s">
        <v>937</v>
      </c>
      <c r="D262" t="s">
        <v>1315</v>
      </c>
      <c r="E262" t="s">
        <v>68</v>
      </c>
      <c r="F262" t="s">
        <v>1316</v>
      </c>
      <c r="G262" t="s">
        <v>1317</v>
      </c>
      <c r="H262" s="1">
        <v>45574</v>
      </c>
      <c r="I262" t="s">
        <v>1318</v>
      </c>
      <c r="J262" t="s">
        <v>1319</v>
      </c>
      <c r="K262">
        <v>31</v>
      </c>
      <c r="L262">
        <v>55</v>
      </c>
      <c r="M262">
        <v>5</v>
      </c>
      <c r="N262" t="s">
        <v>34</v>
      </c>
      <c r="O262">
        <v>71</v>
      </c>
      <c r="P262">
        <v>46</v>
      </c>
      <c r="Q262" s="3">
        <v>0.22</v>
      </c>
    </row>
    <row r="263" spans="1:17" x14ac:dyDescent="0.35">
      <c r="A263" t="s">
        <v>1320</v>
      </c>
      <c r="B263" t="s">
        <v>18</v>
      </c>
      <c r="C263" t="s">
        <v>1004</v>
      </c>
      <c r="D263" t="s">
        <v>1321</v>
      </c>
      <c r="E263" t="s">
        <v>68</v>
      </c>
      <c r="F263" t="s">
        <v>1322</v>
      </c>
      <c r="G263" t="s">
        <v>1323</v>
      </c>
      <c r="H263" s="1">
        <v>45574</v>
      </c>
      <c r="I263" t="s">
        <v>1324</v>
      </c>
      <c r="J263" s="1">
        <v>45602</v>
      </c>
      <c r="K263">
        <v>57</v>
      </c>
      <c r="L263">
        <v>82</v>
      </c>
      <c r="M263">
        <v>59</v>
      </c>
      <c r="N263" t="s">
        <v>798</v>
      </c>
      <c r="O263">
        <v>44</v>
      </c>
      <c r="P263">
        <v>57</v>
      </c>
      <c r="Q263" s="3">
        <v>0.35</v>
      </c>
    </row>
    <row r="264" spans="1:17" x14ac:dyDescent="0.35">
      <c r="A264" t="s">
        <v>194</v>
      </c>
      <c r="B264" t="s">
        <v>114</v>
      </c>
      <c r="C264" t="s">
        <v>389</v>
      </c>
      <c r="D264" t="s">
        <v>1325</v>
      </c>
      <c r="E264" t="s">
        <v>21</v>
      </c>
      <c r="F264" t="s">
        <v>1326</v>
      </c>
      <c r="G264" t="s">
        <v>1327</v>
      </c>
      <c r="H264" s="1">
        <v>45575</v>
      </c>
      <c r="I264" t="s">
        <v>1328</v>
      </c>
      <c r="J264" t="s">
        <v>275</v>
      </c>
      <c r="K264">
        <v>12</v>
      </c>
      <c r="L264">
        <v>86</v>
      </c>
      <c r="M264">
        <v>98</v>
      </c>
      <c r="N264" t="s">
        <v>121</v>
      </c>
      <c r="O264">
        <v>75</v>
      </c>
      <c r="P264">
        <v>86</v>
      </c>
      <c r="Q264" s="3">
        <v>-0.3</v>
      </c>
    </row>
    <row r="265" spans="1:17" x14ac:dyDescent="0.35">
      <c r="A265" t="s">
        <v>408</v>
      </c>
      <c r="B265" t="s">
        <v>18</v>
      </c>
      <c r="C265" t="s">
        <v>677</v>
      </c>
      <c r="D265" t="s">
        <v>1329</v>
      </c>
      <c r="E265" t="s">
        <v>68</v>
      </c>
      <c r="F265" t="s">
        <v>1330</v>
      </c>
      <c r="G265" t="s">
        <v>1331</v>
      </c>
      <c r="H265" s="1">
        <v>45575</v>
      </c>
      <c r="I265" t="s">
        <v>897</v>
      </c>
      <c r="J265" s="1">
        <v>45575</v>
      </c>
      <c r="K265">
        <v>64</v>
      </c>
      <c r="L265">
        <v>71</v>
      </c>
      <c r="M265">
        <v>69</v>
      </c>
      <c r="N265" t="s">
        <v>1332</v>
      </c>
      <c r="O265">
        <v>60</v>
      </c>
      <c r="P265">
        <v>67</v>
      </c>
      <c r="Q265" s="3">
        <v>-0.15</v>
      </c>
    </row>
    <row r="266" spans="1:17" x14ac:dyDescent="0.35">
      <c r="A266" t="s">
        <v>856</v>
      </c>
      <c r="B266" t="s">
        <v>18</v>
      </c>
      <c r="C266" t="s">
        <v>714</v>
      </c>
      <c r="D266" t="s">
        <v>1333</v>
      </c>
      <c r="E266" t="s">
        <v>21</v>
      </c>
      <c r="F266" t="s">
        <v>1334</v>
      </c>
      <c r="G266" t="s">
        <v>1335</v>
      </c>
      <c r="H266" s="1">
        <v>45575</v>
      </c>
      <c r="I266" s="1">
        <v>45448</v>
      </c>
      <c r="J266" t="s">
        <v>1336</v>
      </c>
      <c r="K266">
        <v>11</v>
      </c>
      <c r="L266">
        <v>10</v>
      </c>
      <c r="M266">
        <v>60</v>
      </c>
      <c r="N266" t="s">
        <v>128</v>
      </c>
      <c r="O266">
        <v>93</v>
      </c>
      <c r="P266">
        <v>53</v>
      </c>
      <c r="Q266" s="3">
        <v>-0.12</v>
      </c>
    </row>
    <row r="267" spans="1:17" x14ac:dyDescent="0.35">
      <c r="A267" t="s">
        <v>188</v>
      </c>
      <c r="B267" t="s">
        <v>65</v>
      </c>
      <c r="C267" t="s">
        <v>1337</v>
      </c>
      <c r="D267" t="s">
        <v>1338</v>
      </c>
      <c r="E267" t="s">
        <v>68</v>
      </c>
      <c r="F267" t="s">
        <v>1339</v>
      </c>
      <c r="G267" t="s">
        <v>1340</v>
      </c>
      <c r="H267" s="1">
        <v>45575</v>
      </c>
      <c r="I267" t="s">
        <v>428</v>
      </c>
      <c r="J267" s="1">
        <v>45576</v>
      </c>
      <c r="K267">
        <v>46</v>
      </c>
      <c r="L267">
        <v>39</v>
      </c>
      <c r="M267">
        <v>11</v>
      </c>
      <c r="N267" t="s">
        <v>193</v>
      </c>
      <c r="O267">
        <v>36</v>
      </c>
      <c r="P267">
        <v>54</v>
      </c>
      <c r="Q267" s="3">
        <v>0.43</v>
      </c>
    </row>
    <row r="268" spans="1:17" x14ac:dyDescent="0.35">
      <c r="A268" t="s">
        <v>1341</v>
      </c>
      <c r="B268" t="s">
        <v>18</v>
      </c>
      <c r="C268" t="s">
        <v>1342</v>
      </c>
      <c r="D268" t="s">
        <v>1343</v>
      </c>
      <c r="E268" t="s">
        <v>30</v>
      </c>
      <c r="F268" t="s">
        <v>1344</v>
      </c>
      <c r="G268" t="s">
        <v>1345</v>
      </c>
      <c r="H268" s="1">
        <v>45576</v>
      </c>
      <c r="I268" t="s">
        <v>1346</v>
      </c>
      <c r="J268" s="1">
        <v>45301</v>
      </c>
      <c r="K268">
        <v>89</v>
      </c>
      <c r="L268">
        <v>56</v>
      </c>
      <c r="M268">
        <v>74</v>
      </c>
      <c r="N268" t="s">
        <v>128</v>
      </c>
      <c r="O268">
        <v>27</v>
      </c>
      <c r="P268">
        <v>51</v>
      </c>
      <c r="Q268" s="3">
        <v>-0.5</v>
      </c>
    </row>
    <row r="269" spans="1:17" x14ac:dyDescent="0.35">
      <c r="A269" t="s">
        <v>113</v>
      </c>
      <c r="B269" t="s">
        <v>114</v>
      </c>
      <c r="C269" t="s">
        <v>451</v>
      </c>
      <c r="D269" t="s">
        <v>1347</v>
      </c>
      <c r="E269" t="s">
        <v>21</v>
      </c>
      <c r="F269" t="s">
        <v>1348</v>
      </c>
      <c r="G269" t="s">
        <v>1349</v>
      </c>
      <c r="H269" s="1">
        <v>45576</v>
      </c>
      <c r="I269" t="s">
        <v>369</v>
      </c>
      <c r="J269" s="1">
        <v>45717</v>
      </c>
      <c r="K269">
        <v>72</v>
      </c>
      <c r="L269">
        <v>78</v>
      </c>
      <c r="M269">
        <v>1</v>
      </c>
      <c r="N269" t="s">
        <v>121</v>
      </c>
      <c r="O269">
        <v>85</v>
      </c>
      <c r="P269">
        <v>30</v>
      </c>
      <c r="Q269" s="3">
        <v>-0.89</v>
      </c>
    </row>
    <row r="270" spans="1:17" x14ac:dyDescent="0.35">
      <c r="A270" t="s">
        <v>1350</v>
      </c>
      <c r="B270" t="s">
        <v>114</v>
      </c>
      <c r="C270" t="s">
        <v>899</v>
      </c>
      <c r="D270" t="s">
        <v>1351</v>
      </c>
      <c r="E270" t="s">
        <v>68</v>
      </c>
      <c r="F270" t="s">
        <v>1352</v>
      </c>
      <c r="G270" t="s">
        <v>1353</v>
      </c>
      <c r="H270" s="1">
        <v>45577</v>
      </c>
      <c r="I270" t="s">
        <v>784</v>
      </c>
      <c r="J270" t="s">
        <v>464</v>
      </c>
      <c r="K270">
        <v>38</v>
      </c>
      <c r="L270">
        <v>93</v>
      </c>
      <c r="M270">
        <v>61</v>
      </c>
      <c r="N270" t="s">
        <v>344</v>
      </c>
      <c r="O270">
        <v>67</v>
      </c>
      <c r="P270">
        <v>100</v>
      </c>
      <c r="Q270" s="3">
        <v>0.65</v>
      </c>
    </row>
    <row r="271" spans="1:17" x14ac:dyDescent="0.35">
      <c r="A271" t="s">
        <v>418</v>
      </c>
      <c r="B271" t="s">
        <v>65</v>
      </c>
      <c r="C271" t="s">
        <v>1025</v>
      </c>
      <c r="D271" t="s">
        <v>1354</v>
      </c>
      <c r="E271" t="s">
        <v>30</v>
      </c>
      <c r="F271" t="s">
        <v>1355</v>
      </c>
      <c r="G271" t="s">
        <v>1356</v>
      </c>
      <c r="H271" s="1">
        <v>45577</v>
      </c>
      <c r="I271" t="s">
        <v>932</v>
      </c>
      <c r="J271" t="s">
        <v>837</v>
      </c>
      <c r="K271">
        <v>79</v>
      </c>
      <c r="L271">
        <v>98</v>
      </c>
      <c r="M271">
        <v>97</v>
      </c>
      <c r="N271" t="s">
        <v>344</v>
      </c>
      <c r="O271">
        <v>26</v>
      </c>
      <c r="P271">
        <v>21</v>
      </c>
      <c r="Q271" s="3">
        <v>-0.49</v>
      </c>
    </row>
    <row r="272" spans="1:17" x14ac:dyDescent="0.35">
      <c r="A272" t="s">
        <v>640</v>
      </c>
      <c r="B272" t="s">
        <v>163</v>
      </c>
      <c r="C272" t="s">
        <v>409</v>
      </c>
      <c r="D272" t="s">
        <v>1357</v>
      </c>
      <c r="E272" t="s">
        <v>68</v>
      </c>
      <c r="F272" t="s">
        <v>1358</v>
      </c>
      <c r="G272" t="s">
        <v>1359</v>
      </c>
      <c r="H272" s="1">
        <v>45577</v>
      </c>
      <c r="I272" t="s">
        <v>269</v>
      </c>
      <c r="J272" t="s">
        <v>252</v>
      </c>
      <c r="K272">
        <v>56</v>
      </c>
      <c r="L272">
        <v>12</v>
      </c>
      <c r="M272">
        <v>85</v>
      </c>
      <c r="N272" t="s">
        <v>73</v>
      </c>
      <c r="O272">
        <v>52</v>
      </c>
      <c r="P272">
        <v>46</v>
      </c>
      <c r="Q272" s="3">
        <v>0.19</v>
      </c>
    </row>
    <row r="273" spans="1:17" x14ac:dyDescent="0.35">
      <c r="A273" t="s">
        <v>1292</v>
      </c>
      <c r="B273" t="s">
        <v>18</v>
      </c>
      <c r="C273" t="s">
        <v>1360</v>
      </c>
      <c r="D273" t="s">
        <v>1361</v>
      </c>
      <c r="E273" t="s">
        <v>68</v>
      </c>
      <c r="F273" t="s">
        <v>1362</v>
      </c>
      <c r="G273" t="s">
        <v>1363</v>
      </c>
      <c r="H273" s="1">
        <v>45599</v>
      </c>
      <c r="I273" t="s">
        <v>903</v>
      </c>
      <c r="J273" t="s">
        <v>897</v>
      </c>
      <c r="K273">
        <v>54</v>
      </c>
      <c r="L273">
        <v>26</v>
      </c>
      <c r="M273">
        <v>16</v>
      </c>
      <c r="N273" t="s">
        <v>344</v>
      </c>
      <c r="O273">
        <v>63</v>
      </c>
      <c r="P273">
        <v>97</v>
      </c>
      <c r="Q273" s="3">
        <v>0.12</v>
      </c>
    </row>
    <row r="274" spans="1:17" x14ac:dyDescent="0.35">
      <c r="A274" t="s">
        <v>148</v>
      </c>
      <c r="B274" t="s">
        <v>18</v>
      </c>
      <c r="C274" t="s">
        <v>399</v>
      </c>
      <c r="D274" t="s">
        <v>1364</v>
      </c>
      <c r="E274" t="s">
        <v>68</v>
      </c>
      <c r="F274" t="s">
        <v>1365</v>
      </c>
      <c r="G274" t="s">
        <v>1366</v>
      </c>
      <c r="H274" s="1">
        <v>45599</v>
      </c>
      <c r="I274" s="1">
        <v>45569</v>
      </c>
      <c r="J274" t="s">
        <v>920</v>
      </c>
      <c r="K274">
        <v>91</v>
      </c>
      <c r="L274">
        <v>55</v>
      </c>
      <c r="M274">
        <v>94</v>
      </c>
      <c r="N274" t="s">
        <v>153</v>
      </c>
      <c r="O274">
        <v>42</v>
      </c>
      <c r="P274">
        <v>93</v>
      </c>
      <c r="Q274" s="3">
        <v>-0.54</v>
      </c>
    </row>
    <row r="275" spans="1:17" x14ac:dyDescent="0.35">
      <c r="A275" t="s">
        <v>129</v>
      </c>
      <c r="B275" t="s">
        <v>18</v>
      </c>
      <c r="C275" t="s">
        <v>1367</v>
      </c>
      <c r="D275" t="s">
        <v>1368</v>
      </c>
      <c r="E275" t="s">
        <v>30</v>
      </c>
      <c r="F275" t="s">
        <v>1369</v>
      </c>
      <c r="G275" t="s">
        <v>1370</v>
      </c>
      <c r="H275" s="1">
        <v>45600</v>
      </c>
      <c r="I275" s="1">
        <v>45637</v>
      </c>
      <c r="J275" s="1">
        <v>45512</v>
      </c>
      <c r="K275">
        <v>82</v>
      </c>
      <c r="L275">
        <v>65</v>
      </c>
      <c r="M275">
        <v>69</v>
      </c>
      <c r="N275" t="s">
        <v>1242</v>
      </c>
      <c r="O275">
        <v>30</v>
      </c>
      <c r="P275">
        <v>78</v>
      </c>
      <c r="Q275" s="3">
        <v>-1.21</v>
      </c>
    </row>
    <row r="276" spans="1:17" x14ac:dyDescent="0.35">
      <c r="A276" t="s">
        <v>1371</v>
      </c>
      <c r="B276" t="s">
        <v>36</v>
      </c>
      <c r="C276" t="s">
        <v>1372</v>
      </c>
      <c r="D276" t="s">
        <v>1373</v>
      </c>
      <c r="E276" t="s">
        <v>30</v>
      </c>
      <c r="F276" t="s">
        <v>1374</v>
      </c>
      <c r="G276" t="s">
        <v>1375</v>
      </c>
      <c r="H276" s="1">
        <v>45600</v>
      </c>
      <c r="I276" s="1">
        <v>45354</v>
      </c>
      <c r="J276" t="s">
        <v>141</v>
      </c>
      <c r="K276">
        <v>36</v>
      </c>
      <c r="L276">
        <v>30</v>
      </c>
      <c r="M276">
        <v>44</v>
      </c>
      <c r="N276" t="s">
        <v>1376</v>
      </c>
      <c r="O276">
        <v>68</v>
      </c>
      <c r="P276">
        <v>88</v>
      </c>
      <c r="Q276" s="3">
        <v>-1.6</v>
      </c>
    </row>
    <row r="277" spans="1:17" x14ac:dyDescent="0.35">
      <c r="A277" t="s">
        <v>527</v>
      </c>
      <c r="B277" t="s">
        <v>65</v>
      </c>
      <c r="C277" t="s">
        <v>1377</v>
      </c>
      <c r="D277" t="s">
        <v>1378</v>
      </c>
      <c r="E277" t="s">
        <v>68</v>
      </c>
      <c r="F277" t="s">
        <v>1379</v>
      </c>
      <c r="G277" t="s">
        <v>1380</v>
      </c>
      <c r="H277" s="1">
        <v>45600</v>
      </c>
      <c r="I277" t="s">
        <v>168</v>
      </c>
      <c r="J277" t="s">
        <v>1296</v>
      </c>
      <c r="K277">
        <v>22</v>
      </c>
      <c r="L277">
        <v>77</v>
      </c>
      <c r="M277">
        <v>15</v>
      </c>
      <c r="N277" t="s">
        <v>153</v>
      </c>
      <c r="O277">
        <v>68</v>
      </c>
      <c r="P277">
        <v>46</v>
      </c>
      <c r="Q277" s="3">
        <v>-0.28999999999999998</v>
      </c>
    </row>
    <row r="278" spans="1:17" x14ac:dyDescent="0.35">
      <c r="A278" t="s">
        <v>503</v>
      </c>
      <c r="B278" t="s">
        <v>27</v>
      </c>
      <c r="C278" t="s">
        <v>1271</v>
      </c>
      <c r="D278" t="s">
        <v>1381</v>
      </c>
      <c r="E278" t="s">
        <v>21</v>
      </c>
      <c r="F278" t="s">
        <v>1382</v>
      </c>
      <c r="G278" t="s">
        <v>1383</v>
      </c>
      <c r="H278" s="1">
        <v>45601</v>
      </c>
      <c r="I278" t="s">
        <v>343</v>
      </c>
      <c r="J278" t="s">
        <v>1125</v>
      </c>
      <c r="K278">
        <v>87</v>
      </c>
      <c r="L278">
        <v>24</v>
      </c>
      <c r="M278">
        <v>19</v>
      </c>
      <c r="N278" t="s">
        <v>128</v>
      </c>
      <c r="O278">
        <v>83</v>
      </c>
      <c r="P278">
        <v>3</v>
      </c>
      <c r="Q278" s="3">
        <v>0.32</v>
      </c>
    </row>
    <row r="279" spans="1:17" x14ac:dyDescent="0.35">
      <c r="A279" t="s">
        <v>106</v>
      </c>
      <c r="B279" t="s">
        <v>18</v>
      </c>
      <c r="C279" t="s">
        <v>383</v>
      </c>
      <c r="D279" t="s">
        <v>1384</v>
      </c>
      <c r="E279" t="s">
        <v>68</v>
      </c>
      <c r="F279" t="s">
        <v>1385</v>
      </c>
      <c r="G279" t="s">
        <v>1386</v>
      </c>
      <c r="H279" s="1">
        <v>45601</v>
      </c>
      <c r="I279" s="1">
        <v>45577</v>
      </c>
      <c r="J279" s="1">
        <v>45390</v>
      </c>
      <c r="K279">
        <v>44</v>
      </c>
      <c r="L279">
        <v>8</v>
      </c>
      <c r="M279">
        <v>52</v>
      </c>
      <c r="N279" t="s">
        <v>1387</v>
      </c>
      <c r="O279">
        <v>42</v>
      </c>
      <c r="P279">
        <v>66</v>
      </c>
      <c r="Q279" s="3">
        <v>0.96</v>
      </c>
    </row>
    <row r="280" spans="1:17" x14ac:dyDescent="0.35">
      <c r="A280" t="s">
        <v>793</v>
      </c>
      <c r="B280" t="s">
        <v>75</v>
      </c>
      <c r="C280" t="s">
        <v>51</v>
      </c>
      <c r="D280" t="s">
        <v>1388</v>
      </c>
      <c r="E280" t="s">
        <v>68</v>
      </c>
      <c r="F280" t="s">
        <v>1389</v>
      </c>
      <c r="G280" t="s">
        <v>1390</v>
      </c>
      <c r="H280" s="1">
        <v>45601</v>
      </c>
      <c r="I280" t="s">
        <v>1162</v>
      </c>
      <c r="J280" t="s">
        <v>233</v>
      </c>
      <c r="K280">
        <v>96</v>
      </c>
      <c r="L280">
        <v>12</v>
      </c>
      <c r="M280">
        <v>8</v>
      </c>
      <c r="N280" t="s">
        <v>798</v>
      </c>
      <c r="O280">
        <v>97</v>
      </c>
      <c r="P280">
        <v>92</v>
      </c>
      <c r="Q280" s="3">
        <v>-0.56999999999999995</v>
      </c>
    </row>
    <row r="281" spans="1:17" x14ac:dyDescent="0.35">
      <c r="A281" t="s">
        <v>376</v>
      </c>
      <c r="B281" t="s">
        <v>18</v>
      </c>
      <c r="C281" t="s">
        <v>1391</v>
      </c>
      <c r="D281" t="s">
        <v>1392</v>
      </c>
      <c r="E281" t="s">
        <v>68</v>
      </c>
      <c r="F281" t="s">
        <v>1393</v>
      </c>
      <c r="G281" t="s">
        <v>1394</v>
      </c>
      <c r="H281" s="1">
        <v>45602</v>
      </c>
      <c r="I281" t="s">
        <v>577</v>
      </c>
      <c r="J281" t="s">
        <v>629</v>
      </c>
      <c r="K281">
        <v>39</v>
      </c>
      <c r="L281">
        <v>22</v>
      </c>
      <c r="M281">
        <v>73</v>
      </c>
      <c r="N281" t="s">
        <v>34</v>
      </c>
      <c r="O281">
        <v>60</v>
      </c>
      <c r="P281">
        <v>2</v>
      </c>
      <c r="Q281" s="3">
        <v>0.05</v>
      </c>
    </row>
    <row r="282" spans="1:17" x14ac:dyDescent="0.35">
      <c r="A282" t="s">
        <v>596</v>
      </c>
      <c r="B282" t="s">
        <v>18</v>
      </c>
      <c r="C282" t="s">
        <v>1395</v>
      </c>
      <c r="D282" t="s">
        <v>1396</v>
      </c>
      <c r="E282" t="s">
        <v>30</v>
      </c>
      <c r="F282" t="s">
        <v>1397</v>
      </c>
      <c r="G282" t="s">
        <v>1398</v>
      </c>
      <c r="H282" s="1">
        <v>45602</v>
      </c>
      <c r="I282" t="s">
        <v>779</v>
      </c>
      <c r="J282" s="1">
        <v>45360</v>
      </c>
      <c r="K282">
        <v>15</v>
      </c>
      <c r="L282">
        <v>27</v>
      </c>
      <c r="M282">
        <v>21</v>
      </c>
      <c r="N282" t="s">
        <v>121</v>
      </c>
      <c r="O282">
        <v>37</v>
      </c>
      <c r="P282">
        <v>67</v>
      </c>
      <c r="Q282" s="3">
        <v>0.97</v>
      </c>
    </row>
    <row r="283" spans="1:17" x14ac:dyDescent="0.35">
      <c r="A283" t="s">
        <v>1341</v>
      </c>
      <c r="B283" t="s">
        <v>18</v>
      </c>
      <c r="C283" t="s">
        <v>1399</v>
      </c>
      <c r="D283" t="s">
        <v>1400</v>
      </c>
      <c r="E283" t="s">
        <v>21</v>
      </c>
      <c r="F283" t="s">
        <v>1401</v>
      </c>
      <c r="G283" t="s">
        <v>1402</v>
      </c>
      <c r="H283" s="1">
        <v>45602</v>
      </c>
      <c r="I283" s="1">
        <v>45386</v>
      </c>
      <c r="J283" s="1">
        <v>45568</v>
      </c>
      <c r="K283">
        <v>52</v>
      </c>
      <c r="L283">
        <v>79</v>
      </c>
      <c r="M283">
        <v>87</v>
      </c>
      <c r="N283" t="s">
        <v>128</v>
      </c>
      <c r="O283">
        <v>36</v>
      </c>
      <c r="P283">
        <v>100</v>
      </c>
      <c r="Q283" s="3">
        <v>-0.81</v>
      </c>
    </row>
    <row r="284" spans="1:17" x14ac:dyDescent="0.35">
      <c r="A284" t="s">
        <v>557</v>
      </c>
      <c r="B284" t="s">
        <v>18</v>
      </c>
      <c r="C284" t="s">
        <v>1403</v>
      </c>
      <c r="D284" t="s">
        <v>1404</v>
      </c>
      <c r="E284" t="s">
        <v>21</v>
      </c>
      <c r="F284" t="s">
        <v>1405</v>
      </c>
      <c r="G284" t="s">
        <v>1406</v>
      </c>
      <c r="H284" s="1">
        <v>45602</v>
      </c>
      <c r="I284" t="s">
        <v>1407</v>
      </c>
      <c r="J284" s="1">
        <v>45449</v>
      </c>
      <c r="K284">
        <v>16</v>
      </c>
      <c r="L284">
        <v>53</v>
      </c>
      <c r="M284">
        <v>12</v>
      </c>
      <c r="N284" t="s">
        <v>73</v>
      </c>
      <c r="O284">
        <v>21</v>
      </c>
      <c r="P284">
        <v>29</v>
      </c>
      <c r="Q284" s="3">
        <v>-1.78</v>
      </c>
    </row>
    <row r="285" spans="1:17" x14ac:dyDescent="0.35">
      <c r="A285" t="s">
        <v>101</v>
      </c>
      <c r="B285" t="s">
        <v>27</v>
      </c>
      <c r="C285" t="s">
        <v>223</v>
      </c>
      <c r="D285" t="s">
        <v>1408</v>
      </c>
      <c r="E285" t="s">
        <v>68</v>
      </c>
      <c r="F285" t="s">
        <v>1409</v>
      </c>
      <c r="G285" t="s">
        <v>1410</v>
      </c>
      <c r="H285" s="1">
        <v>45602</v>
      </c>
      <c r="I285" s="1">
        <v>45485</v>
      </c>
      <c r="J285" t="s">
        <v>958</v>
      </c>
      <c r="K285">
        <v>30</v>
      </c>
      <c r="L285">
        <v>48</v>
      </c>
      <c r="M285">
        <v>52</v>
      </c>
      <c r="N285" t="s">
        <v>82</v>
      </c>
      <c r="O285">
        <v>22</v>
      </c>
      <c r="P285">
        <v>78</v>
      </c>
      <c r="Q285" s="3">
        <v>-0.38</v>
      </c>
    </row>
    <row r="286" spans="1:17" x14ac:dyDescent="0.35">
      <c r="A286" t="s">
        <v>413</v>
      </c>
      <c r="B286" t="s">
        <v>65</v>
      </c>
      <c r="C286" t="s">
        <v>1411</v>
      </c>
      <c r="D286" t="s">
        <v>1412</v>
      </c>
      <c r="E286" t="s">
        <v>30</v>
      </c>
      <c r="F286" t="s">
        <v>1413</v>
      </c>
      <c r="G286" t="s">
        <v>1414</v>
      </c>
      <c r="H286" s="1">
        <v>45603</v>
      </c>
      <c r="I286" t="s">
        <v>1097</v>
      </c>
      <c r="J286" t="s">
        <v>652</v>
      </c>
      <c r="K286">
        <v>75</v>
      </c>
      <c r="L286">
        <v>69</v>
      </c>
      <c r="M286">
        <v>100</v>
      </c>
      <c r="N286" t="s">
        <v>134</v>
      </c>
      <c r="O286">
        <v>43</v>
      </c>
      <c r="P286">
        <v>18</v>
      </c>
      <c r="Q286" s="3">
        <v>-2.5499999999999998</v>
      </c>
    </row>
    <row r="287" spans="1:17" x14ac:dyDescent="0.35">
      <c r="A287" t="s">
        <v>1415</v>
      </c>
      <c r="B287" t="s">
        <v>114</v>
      </c>
      <c r="C287" t="s">
        <v>1416</v>
      </c>
      <c r="D287" t="s">
        <v>1417</v>
      </c>
      <c r="E287" t="s">
        <v>68</v>
      </c>
      <c r="F287" t="s">
        <v>1418</v>
      </c>
      <c r="G287" t="s">
        <v>1419</v>
      </c>
      <c r="H287" s="1">
        <v>45603</v>
      </c>
      <c r="I287" t="s">
        <v>176</v>
      </c>
      <c r="J287" s="1">
        <v>45448</v>
      </c>
      <c r="K287">
        <v>30</v>
      </c>
      <c r="L287">
        <v>91</v>
      </c>
      <c r="M287">
        <v>34</v>
      </c>
      <c r="N287" t="s">
        <v>128</v>
      </c>
      <c r="O287">
        <v>97</v>
      </c>
      <c r="P287">
        <v>88</v>
      </c>
      <c r="Q287" s="3">
        <v>0.57999999999999996</v>
      </c>
    </row>
    <row r="288" spans="1:17" x14ac:dyDescent="0.35">
      <c r="A288" t="s">
        <v>1201</v>
      </c>
      <c r="B288" t="s">
        <v>18</v>
      </c>
      <c r="C288" t="s">
        <v>1420</v>
      </c>
      <c r="D288" t="s">
        <v>1421</v>
      </c>
      <c r="E288" t="s">
        <v>68</v>
      </c>
      <c r="F288" t="s">
        <v>1422</v>
      </c>
      <c r="G288" t="s">
        <v>1423</v>
      </c>
      <c r="H288" s="1">
        <v>45603</v>
      </c>
      <c r="I288" s="1">
        <v>45448</v>
      </c>
      <c r="J288" s="1">
        <v>45296</v>
      </c>
      <c r="K288">
        <v>79</v>
      </c>
      <c r="L288">
        <v>72</v>
      </c>
      <c r="M288">
        <v>6</v>
      </c>
      <c r="N288" t="s">
        <v>121</v>
      </c>
      <c r="O288">
        <v>67</v>
      </c>
      <c r="P288">
        <v>63</v>
      </c>
      <c r="Q288" s="3">
        <v>0.09</v>
      </c>
    </row>
    <row r="289" spans="1:17" x14ac:dyDescent="0.35">
      <c r="A289" t="s">
        <v>671</v>
      </c>
      <c r="B289" t="s">
        <v>65</v>
      </c>
      <c r="C289" t="s">
        <v>804</v>
      </c>
      <c r="D289" t="s">
        <v>1424</v>
      </c>
      <c r="E289" t="s">
        <v>68</v>
      </c>
      <c r="F289" t="s">
        <v>1425</v>
      </c>
      <c r="G289" t="s">
        <v>1426</v>
      </c>
      <c r="H289" s="1">
        <v>45604</v>
      </c>
      <c r="I289" t="s">
        <v>1427</v>
      </c>
      <c r="J289" t="s">
        <v>141</v>
      </c>
      <c r="K289">
        <v>71</v>
      </c>
      <c r="L289">
        <v>10</v>
      </c>
      <c r="M289">
        <v>49</v>
      </c>
      <c r="N289" t="s">
        <v>49</v>
      </c>
      <c r="O289">
        <v>66</v>
      </c>
      <c r="P289">
        <v>43</v>
      </c>
      <c r="Q289" s="3">
        <v>0.06</v>
      </c>
    </row>
    <row r="290" spans="1:17" x14ac:dyDescent="0.35">
      <c r="A290" t="s">
        <v>356</v>
      </c>
      <c r="B290" t="s">
        <v>18</v>
      </c>
      <c r="C290" t="s">
        <v>490</v>
      </c>
      <c r="D290" t="s">
        <v>1428</v>
      </c>
      <c r="E290" t="s">
        <v>68</v>
      </c>
      <c r="F290" t="s">
        <v>1429</v>
      </c>
      <c r="G290" t="s">
        <v>1430</v>
      </c>
      <c r="H290" s="1">
        <v>45604</v>
      </c>
      <c r="I290" t="s">
        <v>1431</v>
      </c>
      <c r="J290" t="s">
        <v>676</v>
      </c>
      <c r="K290">
        <v>65</v>
      </c>
      <c r="L290">
        <v>35</v>
      </c>
      <c r="M290">
        <v>3</v>
      </c>
      <c r="N290" t="s">
        <v>282</v>
      </c>
      <c r="O290">
        <v>25</v>
      </c>
      <c r="P290">
        <v>13</v>
      </c>
      <c r="Q290" s="3">
        <v>0.35</v>
      </c>
    </row>
    <row r="291" spans="1:17" x14ac:dyDescent="0.35">
      <c r="A291" t="s">
        <v>308</v>
      </c>
      <c r="B291" t="s">
        <v>27</v>
      </c>
      <c r="C291" t="s">
        <v>1432</v>
      </c>
      <c r="D291" t="s">
        <v>1433</v>
      </c>
      <c r="E291" t="s">
        <v>68</v>
      </c>
      <c r="F291" t="s">
        <v>1434</v>
      </c>
      <c r="G291" t="s">
        <v>1435</v>
      </c>
      <c r="H291" s="1">
        <v>45604</v>
      </c>
      <c r="I291" s="1">
        <v>45630</v>
      </c>
      <c r="J291" s="1">
        <v>45388</v>
      </c>
      <c r="K291">
        <v>100</v>
      </c>
      <c r="L291">
        <v>86</v>
      </c>
      <c r="M291">
        <v>94</v>
      </c>
      <c r="N291" t="s">
        <v>313</v>
      </c>
      <c r="O291">
        <v>77</v>
      </c>
      <c r="P291">
        <v>57</v>
      </c>
      <c r="Q291" s="3">
        <v>0.48</v>
      </c>
    </row>
    <row r="292" spans="1:17" x14ac:dyDescent="0.35">
      <c r="A292" t="s">
        <v>532</v>
      </c>
      <c r="B292" t="s">
        <v>75</v>
      </c>
      <c r="C292" t="s">
        <v>1436</v>
      </c>
      <c r="D292" t="s">
        <v>1437</v>
      </c>
      <c r="E292" t="s">
        <v>21</v>
      </c>
      <c r="F292" t="s">
        <v>1438</v>
      </c>
      <c r="G292" t="s">
        <v>1439</v>
      </c>
      <c r="H292" s="1">
        <v>45605</v>
      </c>
      <c r="I292" t="s">
        <v>1125</v>
      </c>
      <c r="J292" t="s">
        <v>72</v>
      </c>
      <c r="K292">
        <v>58</v>
      </c>
      <c r="L292">
        <v>77</v>
      </c>
      <c r="M292">
        <v>96</v>
      </c>
      <c r="N292" t="s">
        <v>537</v>
      </c>
      <c r="O292">
        <v>25</v>
      </c>
      <c r="P292">
        <v>17</v>
      </c>
      <c r="Q292" s="3">
        <v>0.26</v>
      </c>
    </row>
    <row r="293" spans="1:17" x14ac:dyDescent="0.35">
      <c r="A293" t="s">
        <v>1440</v>
      </c>
      <c r="B293" t="s">
        <v>18</v>
      </c>
      <c r="C293" t="s">
        <v>1441</v>
      </c>
      <c r="D293" t="s">
        <v>1442</v>
      </c>
      <c r="E293" t="s">
        <v>68</v>
      </c>
      <c r="F293" t="s">
        <v>1443</v>
      </c>
      <c r="G293" t="s">
        <v>1444</v>
      </c>
      <c r="H293" s="1">
        <v>45605</v>
      </c>
      <c r="I293" s="1">
        <v>45931</v>
      </c>
      <c r="J293" s="1">
        <v>45363</v>
      </c>
      <c r="K293">
        <v>75</v>
      </c>
      <c r="L293">
        <v>10</v>
      </c>
      <c r="M293">
        <v>68</v>
      </c>
      <c r="N293" t="s">
        <v>153</v>
      </c>
      <c r="O293">
        <v>90</v>
      </c>
      <c r="P293">
        <v>42</v>
      </c>
      <c r="Q293" s="3">
        <v>0.32</v>
      </c>
    </row>
    <row r="294" spans="1:17" x14ac:dyDescent="0.35">
      <c r="A294" t="s">
        <v>83</v>
      </c>
      <c r="B294" t="s">
        <v>36</v>
      </c>
      <c r="C294" t="s">
        <v>1445</v>
      </c>
      <c r="D294" t="s">
        <v>1446</v>
      </c>
      <c r="E294" t="s">
        <v>68</v>
      </c>
      <c r="F294" t="s">
        <v>1447</v>
      </c>
      <c r="G294" t="s">
        <v>1448</v>
      </c>
      <c r="H294" s="1">
        <v>45605</v>
      </c>
      <c r="I294" t="s">
        <v>526</v>
      </c>
      <c r="J294" t="s">
        <v>342</v>
      </c>
      <c r="K294">
        <v>69</v>
      </c>
      <c r="L294">
        <v>53</v>
      </c>
      <c r="M294">
        <v>32</v>
      </c>
      <c r="N294" t="s">
        <v>239</v>
      </c>
      <c r="O294">
        <v>28</v>
      </c>
      <c r="P294">
        <v>56</v>
      </c>
      <c r="Q294" s="3">
        <v>0.53</v>
      </c>
    </row>
    <row r="295" spans="1:17" x14ac:dyDescent="0.35">
      <c r="A295" t="s">
        <v>283</v>
      </c>
      <c r="B295" t="s">
        <v>163</v>
      </c>
      <c r="C295" t="s">
        <v>51</v>
      </c>
      <c r="D295" t="s">
        <v>1449</v>
      </c>
      <c r="E295" t="s">
        <v>30</v>
      </c>
      <c r="F295" t="s">
        <v>1450</v>
      </c>
      <c r="G295" t="s">
        <v>1451</v>
      </c>
      <c r="H295" s="1">
        <v>45605</v>
      </c>
      <c r="I295" t="s">
        <v>1452</v>
      </c>
      <c r="J295" t="s">
        <v>306</v>
      </c>
      <c r="K295">
        <v>59</v>
      </c>
      <c r="L295">
        <v>62</v>
      </c>
      <c r="M295">
        <v>57</v>
      </c>
      <c r="N295" t="s">
        <v>1453</v>
      </c>
      <c r="O295">
        <v>90</v>
      </c>
      <c r="P295">
        <v>94</v>
      </c>
      <c r="Q295" s="3">
        <v>-1</v>
      </c>
    </row>
    <row r="296" spans="1:17" x14ac:dyDescent="0.35">
      <c r="A296" t="s">
        <v>916</v>
      </c>
      <c r="B296" t="s">
        <v>114</v>
      </c>
      <c r="C296" t="s">
        <v>1454</v>
      </c>
      <c r="D296" t="s">
        <v>1455</v>
      </c>
      <c r="E296" t="s">
        <v>68</v>
      </c>
      <c r="F296" t="s">
        <v>1456</v>
      </c>
      <c r="G296" t="s">
        <v>1457</v>
      </c>
      <c r="H296" s="1">
        <v>45606</v>
      </c>
      <c r="I296" t="s">
        <v>1328</v>
      </c>
      <c r="J296" t="s">
        <v>915</v>
      </c>
      <c r="K296">
        <v>34</v>
      </c>
      <c r="L296">
        <v>55</v>
      </c>
      <c r="M296">
        <v>22</v>
      </c>
      <c r="N296" t="s">
        <v>73</v>
      </c>
      <c r="O296">
        <v>77</v>
      </c>
      <c r="P296">
        <v>85</v>
      </c>
      <c r="Q296" s="3">
        <v>-0.04</v>
      </c>
    </row>
    <row r="297" spans="1:17" x14ac:dyDescent="0.35">
      <c r="A297" t="s">
        <v>880</v>
      </c>
      <c r="B297" t="s">
        <v>27</v>
      </c>
      <c r="C297" t="s">
        <v>937</v>
      </c>
      <c r="D297" t="s">
        <v>1458</v>
      </c>
      <c r="E297" t="s">
        <v>30</v>
      </c>
      <c r="F297" t="s">
        <v>1459</v>
      </c>
      <c r="G297" t="s">
        <v>1460</v>
      </c>
      <c r="H297" s="1">
        <v>45606</v>
      </c>
      <c r="I297" t="s">
        <v>712</v>
      </c>
      <c r="J297" t="s">
        <v>1461</v>
      </c>
      <c r="K297">
        <v>19</v>
      </c>
      <c r="L297">
        <v>80</v>
      </c>
      <c r="M297">
        <v>87</v>
      </c>
      <c r="N297" t="s">
        <v>884</v>
      </c>
      <c r="O297">
        <v>33</v>
      </c>
      <c r="P297">
        <v>38</v>
      </c>
      <c r="Q297" s="3">
        <v>-0.1</v>
      </c>
    </row>
    <row r="298" spans="1:17" x14ac:dyDescent="0.35">
      <c r="A298" t="s">
        <v>861</v>
      </c>
      <c r="B298" t="s">
        <v>36</v>
      </c>
      <c r="C298" t="s">
        <v>143</v>
      </c>
      <c r="D298" t="s">
        <v>1462</v>
      </c>
      <c r="E298" t="s">
        <v>30</v>
      </c>
      <c r="F298" t="s">
        <v>1463</v>
      </c>
      <c r="G298" t="s">
        <v>1464</v>
      </c>
      <c r="H298" s="1">
        <v>45607</v>
      </c>
      <c r="I298" t="s">
        <v>160</v>
      </c>
      <c r="J298" s="1">
        <v>45329</v>
      </c>
      <c r="K298">
        <v>97</v>
      </c>
      <c r="L298">
        <v>77</v>
      </c>
      <c r="M298">
        <v>13</v>
      </c>
      <c r="N298" t="s">
        <v>57</v>
      </c>
      <c r="O298">
        <v>43</v>
      </c>
      <c r="P298">
        <v>40</v>
      </c>
      <c r="Q298" s="3">
        <v>-0.15</v>
      </c>
    </row>
    <row r="299" spans="1:17" x14ac:dyDescent="0.35">
      <c r="A299" t="s">
        <v>750</v>
      </c>
      <c r="B299" t="s">
        <v>36</v>
      </c>
      <c r="C299" t="s">
        <v>424</v>
      </c>
      <c r="D299" t="s">
        <v>1465</v>
      </c>
      <c r="E299" t="s">
        <v>68</v>
      </c>
      <c r="F299" t="s">
        <v>1466</v>
      </c>
      <c r="G299" t="s">
        <v>1467</v>
      </c>
      <c r="H299" s="1">
        <v>45607</v>
      </c>
      <c r="I299" s="1">
        <v>45603</v>
      </c>
      <c r="J299" t="s">
        <v>369</v>
      </c>
      <c r="K299">
        <v>70</v>
      </c>
      <c r="L299">
        <v>66</v>
      </c>
      <c r="M299">
        <v>74</v>
      </c>
      <c r="N299" t="s">
        <v>128</v>
      </c>
      <c r="O299">
        <v>47</v>
      </c>
      <c r="P299">
        <v>77</v>
      </c>
      <c r="Q299" s="3">
        <v>7.0000000000000007E-2</v>
      </c>
    </row>
    <row r="300" spans="1:17" x14ac:dyDescent="0.35">
      <c r="A300" t="s">
        <v>653</v>
      </c>
      <c r="B300" t="s">
        <v>163</v>
      </c>
      <c r="C300" t="s">
        <v>1271</v>
      </c>
      <c r="D300" t="s">
        <v>1468</v>
      </c>
      <c r="E300" t="s">
        <v>30</v>
      </c>
      <c r="F300" t="s">
        <v>1469</v>
      </c>
      <c r="G300" t="s">
        <v>1470</v>
      </c>
      <c r="H300" s="1">
        <v>45608</v>
      </c>
      <c r="I300" s="1">
        <v>45481</v>
      </c>
      <c r="J300" t="s">
        <v>1471</v>
      </c>
      <c r="K300">
        <v>36</v>
      </c>
      <c r="L300">
        <v>90</v>
      </c>
      <c r="M300">
        <v>57</v>
      </c>
      <c r="N300" t="s">
        <v>659</v>
      </c>
      <c r="O300">
        <v>35</v>
      </c>
      <c r="P300">
        <v>68</v>
      </c>
      <c r="Q300" s="3">
        <v>-0.64</v>
      </c>
    </row>
    <row r="301" spans="1:17" x14ac:dyDescent="0.35">
      <c r="A301" t="s">
        <v>503</v>
      </c>
      <c r="B301" t="s">
        <v>27</v>
      </c>
      <c r="C301" t="s">
        <v>1133</v>
      </c>
      <c r="D301" t="s">
        <v>1472</v>
      </c>
      <c r="E301" t="s">
        <v>21</v>
      </c>
      <c r="F301" t="s">
        <v>1473</v>
      </c>
      <c r="G301" t="s">
        <v>1474</v>
      </c>
      <c r="H301" s="1">
        <v>45608</v>
      </c>
      <c r="I301" t="s">
        <v>629</v>
      </c>
      <c r="J301" s="1">
        <v>45547</v>
      </c>
      <c r="K301">
        <v>88</v>
      </c>
      <c r="L301">
        <v>100</v>
      </c>
      <c r="M301">
        <v>17</v>
      </c>
      <c r="N301" t="s">
        <v>128</v>
      </c>
      <c r="O301">
        <v>25</v>
      </c>
      <c r="P301">
        <v>28</v>
      </c>
      <c r="Q301" s="3">
        <v>-0.94</v>
      </c>
    </row>
    <row r="302" spans="1:17" x14ac:dyDescent="0.35">
      <c r="A302" t="s">
        <v>106</v>
      </c>
      <c r="B302" t="s">
        <v>18</v>
      </c>
      <c r="C302" t="s">
        <v>377</v>
      </c>
      <c r="D302" t="s">
        <v>1475</v>
      </c>
      <c r="E302" t="s">
        <v>30</v>
      </c>
      <c r="F302" t="s">
        <v>1476</v>
      </c>
      <c r="G302" t="s">
        <v>1477</v>
      </c>
      <c r="H302" s="1">
        <v>45608</v>
      </c>
      <c r="I302" t="s">
        <v>140</v>
      </c>
      <c r="J302" t="s">
        <v>1016</v>
      </c>
      <c r="K302">
        <v>75</v>
      </c>
      <c r="L302">
        <v>48</v>
      </c>
      <c r="M302">
        <v>25</v>
      </c>
      <c r="N302" t="s">
        <v>153</v>
      </c>
      <c r="O302">
        <v>96</v>
      </c>
      <c r="P302">
        <v>65</v>
      </c>
      <c r="Q302" s="3">
        <v>-0.12</v>
      </c>
    </row>
    <row r="303" spans="1:17" x14ac:dyDescent="0.35">
      <c r="A303" t="s">
        <v>200</v>
      </c>
      <c r="B303" t="s">
        <v>163</v>
      </c>
      <c r="C303" t="s">
        <v>1478</v>
      </c>
      <c r="D303" t="s">
        <v>1479</v>
      </c>
      <c r="E303" t="s">
        <v>68</v>
      </c>
      <c r="F303" t="s">
        <v>1480</v>
      </c>
      <c r="G303" t="s">
        <v>1481</v>
      </c>
      <c r="H303" s="1">
        <v>45629</v>
      </c>
      <c r="I303" s="1">
        <v>45993</v>
      </c>
      <c r="J303" t="s">
        <v>1482</v>
      </c>
      <c r="K303">
        <v>62</v>
      </c>
      <c r="L303">
        <v>89</v>
      </c>
      <c r="M303">
        <v>18</v>
      </c>
      <c r="N303" t="s">
        <v>42</v>
      </c>
      <c r="O303">
        <v>35</v>
      </c>
      <c r="P303">
        <v>36</v>
      </c>
      <c r="Q303" s="3">
        <v>0.32</v>
      </c>
    </row>
    <row r="304" spans="1:17" x14ac:dyDescent="0.35">
      <c r="A304" t="s">
        <v>122</v>
      </c>
      <c r="B304" t="s">
        <v>18</v>
      </c>
      <c r="C304" t="s">
        <v>178</v>
      </c>
      <c r="D304" t="s">
        <v>1483</v>
      </c>
      <c r="E304" t="s">
        <v>30</v>
      </c>
      <c r="F304" t="s">
        <v>1484</v>
      </c>
      <c r="G304" t="s">
        <v>1485</v>
      </c>
      <c r="H304" s="1">
        <v>45629</v>
      </c>
      <c r="I304" s="1">
        <v>45604</v>
      </c>
      <c r="J304" s="1">
        <v>45632</v>
      </c>
      <c r="K304">
        <v>19</v>
      </c>
      <c r="L304">
        <v>73</v>
      </c>
      <c r="M304">
        <v>60</v>
      </c>
      <c r="N304" t="s">
        <v>512</v>
      </c>
      <c r="O304">
        <v>70</v>
      </c>
      <c r="P304">
        <v>48</v>
      </c>
      <c r="Q304" s="3">
        <v>-0.03</v>
      </c>
    </row>
    <row r="305" spans="1:17" x14ac:dyDescent="0.35">
      <c r="A305" t="s">
        <v>690</v>
      </c>
      <c r="B305" t="s">
        <v>36</v>
      </c>
      <c r="C305" t="s">
        <v>1202</v>
      </c>
      <c r="D305" t="s">
        <v>1486</v>
      </c>
      <c r="E305" t="s">
        <v>21</v>
      </c>
      <c r="F305" t="s">
        <v>1487</v>
      </c>
      <c r="G305" t="s">
        <v>1488</v>
      </c>
      <c r="H305" s="1">
        <v>45630</v>
      </c>
      <c r="I305" t="s">
        <v>1097</v>
      </c>
      <c r="J305" s="1">
        <v>45389</v>
      </c>
      <c r="K305">
        <v>35</v>
      </c>
      <c r="L305">
        <v>78</v>
      </c>
      <c r="M305">
        <v>68</v>
      </c>
      <c r="N305" t="s">
        <v>128</v>
      </c>
      <c r="O305">
        <v>95</v>
      </c>
      <c r="P305">
        <v>91</v>
      </c>
      <c r="Q305" s="3">
        <v>0.31</v>
      </c>
    </row>
    <row r="306" spans="1:17" x14ac:dyDescent="0.35">
      <c r="A306" t="s">
        <v>1311</v>
      </c>
      <c r="B306" t="s">
        <v>36</v>
      </c>
      <c r="C306" t="s">
        <v>460</v>
      </c>
      <c r="D306" t="s">
        <v>1489</v>
      </c>
      <c r="E306" t="s">
        <v>30</v>
      </c>
      <c r="F306" t="s">
        <v>1490</v>
      </c>
      <c r="G306" t="s">
        <v>1491</v>
      </c>
      <c r="H306" s="1">
        <v>45631</v>
      </c>
      <c r="I306" t="s">
        <v>1492</v>
      </c>
      <c r="J306" t="s">
        <v>837</v>
      </c>
      <c r="K306">
        <v>50</v>
      </c>
      <c r="L306">
        <v>99</v>
      </c>
      <c r="M306">
        <v>73</v>
      </c>
      <c r="N306" t="s">
        <v>798</v>
      </c>
      <c r="O306">
        <v>42</v>
      </c>
      <c r="P306">
        <v>1</v>
      </c>
      <c r="Q306" s="3">
        <v>0.04</v>
      </c>
    </row>
    <row r="307" spans="1:17" x14ac:dyDescent="0.35">
      <c r="A307" t="s">
        <v>793</v>
      </c>
      <c r="B307" t="s">
        <v>75</v>
      </c>
      <c r="C307" t="s">
        <v>1493</v>
      </c>
      <c r="D307" t="s">
        <v>1494</v>
      </c>
      <c r="E307" t="s">
        <v>21</v>
      </c>
      <c r="F307" t="s">
        <v>1495</v>
      </c>
      <c r="G307" t="s">
        <v>1496</v>
      </c>
      <c r="H307" s="1">
        <v>45631</v>
      </c>
      <c r="I307" s="1">
        <v>45361</v>
      </c>
      <c r="J307" t="s">
        <v>566</v>
      </c>
      <c r="K307">
        <v>65</v>
      </c>
      <c r="L307">
        <v>79</v>
      </c>
      <c r="M307">
        <v>52</v>
      </c>
      <c r="N307" t="s">
        <v>798</v>
      </c>
      <c r="O307">
        <v>56</v>
      </c>
      <c r="P307">
        <v>94</v>
      </c>
      <c r="Q307" s="3">
        <v>0.98</v>
      </c>
    </row>
    <row r="308" spans="1:17" x14ac:dyDescent="0.35">
      <c r="A308" t="s">
        <v>640</v>
      </c>
      <c r="B308" t="s">
        <v>163</v>
      </c>
      <c r="C308" t="s">
        <v>1497</v>
      </c>
      <c r="D308" t="s">
        <v>1498</v>
      </c>
      <c r="E308" t="s">
        <v>68</v>
      </c>
      <c r="F308" t="s">
        <v>1499</v>
      </c>
      <c r="G308" t="s">
        <v>1500</v>
      </c>
      <c r="H308" s="1">
        <v>45631</v>
      </c>
      <c r="I308" s="1">
        <v>45296</v>
      </c>
      <c r="J308" t="s">
        <v>489</v>
      </c>
      <c r="K308">
        <v>18</v>
      </c>
      <c r="L308">
        <v>36</v>
      </c>
      <c r="M308">
        <v>53</v>
      </c>
      <c r="N308" t="s">
        <v>1501</v>
      </c>
      <c r="O308">
        <v>65</v>
      </c>
      <c r="P308">
        <v>100</v>
      </c>
      <c r="Q308" s="3">
        <v>-0.68</v>
      </c>
    </row>
    <row r="309" spans="1:17" x14ac:dyDescent="0.35">
      <c r="A309" t="s">
        <v>1502</v>
      </c>
      <c r="B309" t="s">
        <v>114</v>
      </c>
      <c r="C309" t="s">
        <v>899</v>
      </c>
      <c r="D309" t="s">
        <v>1503</v>
      </c>
      <c r="E309" t="s">
        <v>21</v>
      </c>
      <c r="F309" t="s">
        <v>1504</v>
      </c>
      <c r="G309" t="s">
        <v>1505</v>
      </c>
      <c r="H309" s="1">
        <v>45631</v>
      </c>
      <c r="I309" t="s">
        <v>543</v>
      </c>
      <c r="J309" t="s">
        <v>1506</v>
      </c>
      <c r="K309">
        <v>89</v>
      </c>
      <c r="L309">
        <v>22</v>
      </c>
      <c r="M309">
        <v>23</v>
      </c>
      <c r="N309" t="s">
        <v>502</v>
      </c>
      <c r="O309">
        <v>83</v>
      </c>
      <c r="P309">
        <v>25</v>
      </c>
      <c r="Q309" s="3">
        <v>-0.54</v>
      </c>
    </row>
    <row r="310" spans="1:17" x14ac:dyDescent="0.35">
      <c r="A310" t="s">
        <v>624</v>
      </c>
      <c r="B310" t="s">
        <v>18</v>
      </c>
      <c r="C310" t="s">
        <v>1507</v>
      </c>
      <c r="D310" t="s">
        <v>1508</v>
      </c>
      <c r="E310" t="s">
        <v>21</v>
      </c>
      <c r="F310" t="s">
        <v>1509</v>
      </c>
      <c r="G310" t="s">
        <v>1510</v>
      </c>
      <c r="H310" s="1">
        <v>45632</v>
      </c>
      <c r="I310" t="s">
        <v>888</v>
      </c>
      <c r="J310" s="1">
        <v>45513</v>
      </c>
      <c r="K310">
        <v>34</v>
      </c>
      <c r="L310">
        <v>1</v>
      </c>
      <c r="M310">
        <v>79</v>
      </c>
      <c r="N310" t="s">
        <v>147</v>
      </c>
      <c r="O310">
        <v>58</v>
      </c>
      <c r="P310">
        <v>36</v>
      </c>
      <c r="Q310" s="3">
        <v>0.7</v>
      </c>
    </row>
    <row r="311" spans="1:17" x14ac:dyDescent="0.35">
      <c r="A311" t="s">
        <v>222</v>
      </c>
      <c r="B311" t="s">
        <v>65</v>
      </c>
      <c r="C311" t="s">
        <v>846</v>
      </c>
      <c r="D311" t="s">
        <v>1511</v>
      </c>
      <c r="E311" t="s">
        <v>68</v>
      </c>
      <c r="F311" t="s">
        <v>1512</v>
      </c>
      <c r="G311" t="s">
        <v>1513</v>
      </c>
      <c r="H311" s="1">
        <v>45632</v>
      </c>
      <c r="I311" t="s">
        <v>1514</v>
      </c>
      <c r="J311" t="s">
        <v>1515</v>
      </c>
      <c r="K311">
        <v>87</v>
      </c>
      <c r="L311">
        <v>97</v>
      </c>
      <c r="M311">
        <v>28</v>
      </c>
      <c r="N311" t="s">
        <v>49</v>
      </c>
      <c r="O311">
        <v>58</v>
      </c>
      <c r="P311">
        <v>21</v>
      </c>
      <c r="Q311" s="3">
        <v>0.38</v>
      </c>
    </row>
    <row r="312" spans="1:17" x14ac:dyDescent="0.35">
      <c r="A312" t="s">
        <v>880</v>
      </c>
      <c r="B312" t="s">
        <v>27</v>
      </c>
      <c r="C312" t="s">
        <v>332</v>
      </c>
      <c r="D312" t="s">
        <v>1516</v>
      </c>
      <c r="E312" t="s">
        <v>30</v>
      </c>
      <c r="F312" t="s">
        <v>1517</v>
      </c>
      <c r="G312" t="s">
        <v>1518</v>
      </c>
      <c r="H312" s="1">
        <v>45632</v>
      </c>
      <c r="I312" s="1">
        <v>45301</v>
      </c>
      <c r="J312" s="1">
        <v>45748</v>
      </c>
      <c r="K312">
        <v>53</v>
      </c>
      <c r="L312">
        <v>20</v>
      </c>
      <c r="M312">
        <v>75</v>
      </c>
      <c r="N312" t="s">
        <v>884</v>
      </c>
      <c r="O312">
        <v>83</v>
      </c>
      <c r="P312">
        <v>77</v>
      </c>
      <c r="Q312" s="3">
        <v>0.64</v>
      </c>
    </row>
    <row r="313" spans="1:17" x14ac:dyDescent="0.35">
      <c r="A313" t="s">
        <v>893</v>
      </c>
      <c r="B313" t="s">
        <v>65</v>
      </c>
      <c r="C313" t="s">
        <v>1519</v>
      </c>
      <c r="D313" t="s">
        <v>1520</v>
      </c>
      <c r="E313" t="s">
        <v>68</v>
      </c>
      <c r="F313" t="s">
        <v>1521</v>
      </c>
      <c r="G313" t="s">
        <v>1522</v>
      </c>
      <c r="H313" s="1">
        <v>45633</v>
      </c>
      <c r="I313" t="s">
        <v>892</v>
      </c>
      <c r="J313" t="s">
        <v>756</v>
      </c>
      <c r="K313">
        <v>56</v>
      </c>
      <c r="L313">
        <v>53</v>
      </c>
      <c r="M313">
        <v>77</v>
      </c>
      <c r="N313" t="s">
        <v>134</v>
      </c>
      <c r="O313">
        <v>69</v>
      </c>
      <c r="P313">
        <v>69</v>
      </c>
      <c r="Q313" s="3">
        <v>7.0000000000000007E-2</v>
      </c>
    </row>
    <row r="314" spans="1:17" x14ac:dyDescent="0.35">
      <c r="A314" t="s">
        <v>832</v>
      </c>
      <c r="B314" t="s">
        <v>18</v>
      </c>
      <c r="C314" t="s">
        <v>573</v>
      </c>
      <c r="D314" t="s">
        <v>1523</v>
      </c>
      <c r="E314" t="s">
        <v>21</v>
      </c>
      <c r="F314" t="s">
        <v>1524</v>
      </c>
      <c r="G314" t="s">
        <v>1525</v>
      </c>
      <c r="H314" s="1">
        <v>45633</v>
      </c>
      <c r="I314" t="s">
        <v>1029</v>
      </c>
      <c r="J314" t="s">
        <v>645</v>
      </c>
      <c r="K314">
        <v>38</v>
      </c>
      <c r="L314">
        <v>91</v>
      </c>
      <c r="M314">
        <v>94</v>
      </c>
      <c r="N314" t="s">
        <v>1526</v>
      </c>
      <c r="O314">
        <v>53</v>
      </c>
      <c r="P314">
        <v>87</v>
      </c>
      <c r="Q314" s="3">
        <v>0</v>
      </c>
    </row>
    <row r="315" spans="1:17" x14ac:dyDescent="0.35">
      <c r="A315" t="s">
        <v>1527</v>
      </c>
      <c r="B315" t="s">
        <v>18</v>
      </c>
      <c r="C315" t="s">
        <v>404</v>
      </c>
      <c r="D315" t="s">
        <v>1528</v>
      </c>
      <c r="E315" t="s">
        <v>68</v>
      </c>
      <c r="F315" t="s">
        <v>1529</v>
      </c>
      <c r="G315" t="s">
        <v>1530</v>
      </c>
      <c r="H315" s="1">
        <v>45633</v>
      </c>
      <c r="I315" t="s">
        <v>275</v>
      </c>
      <c r="J315" t="s">
        <v>81</v>
      </c>
      <c r="K315">
        <v>97</v>
      </c>
      <c r="L315">
        <v>97</v>
      </c>
      <c r="M315">
        <v>71</v>
      </c>
      <c r="N315" t="s">
        <v>134</v>
      </c>
      <c r="O315">
        <v>53</v>
      </c>
      <c r="P315">
        <v>31</v>
      </c>
      <c r="Q315" s="3">
        <v>-0.64</v>
      </c>
    </row>
    <row r="316" spans="1:17" x14ac:dyDescent="0.35">
      <c r="A316" t="s">
        <v>371</v>
      </c>
      <c r="B316" t="s">
        <v>75</v>
      </c>
      <c r="C316" t="s">
        <v>1531</v>
      </c>
      <c r="D316" t="s">
        <v>1532</v>
      </c>
      <c r="E316" t="s">
        <v>30</v>
      </c>
      <c r="F316" t="s">
        <v>1533</v>
      </c>
      <c r="G316" t="s">
        <v>1534</v>
      </c>
      <c r="H316" s="1">
        <v>45634</v>
      </c>
      <c r="I316" t="s">
        <v>319</v>
      </c>
      <c r="J316" t="s">
        <v>325</v>
      </c>
      <c r="K316">
        <v>91</v>
      </c>
      <c r="L316">
        <v>68</v>
      </c>
      <c r="M316">
        <v>80</v>
      </c>
      <c r="N316" t="s">
        <v>1535</v>
      </c>
      <c r="O316">
        <v>81</v>
      </c>
      <c r="P316">
        <v>85</v>
      </c>
      <c r="Q316" s="3">
        <v>0.42</v>
      </c>
    </row>
    <row r="317" spans="1:17" x14ac:dyDescent="0.35">
      <c r="A317" t="s">
        <v>619</v>
      </c>
      <c r="B317" t="s">
        <v>18</v>
      </c>
      <c r="C317" t="s">
        <v>1536</v>
      </c>
      <c r="D317" t="s">
        <v>1537</v>
      </c>
      <c r="E317" t="s">
        <v>68</v>
      </c>
      <c r="F317" t="s">
        <v>1538</v>
      </c>
      <c r="G317" t="s">
        <v>1539</v>
      </c>
      <c r="H317" s="1">
        <v>45635</v>
      </c>
      <c r="I317" t="s">
        <v>1540</v>
      </c>
      <c r="J317" t="s">
        <v>585</v>
      </c>
      <c r="K317">
        <v>22</v>
      </c>
      <c r="L317">
        <v>40</v>
      </c>
      <c r="M317">
        <v>7</v>
      </c>
      <c r="N317" t="s">
        <v>73</v>
      </c>
      <c r="O317">
        <v>98</v>
      </c>
      <c r="P317">
        <v>60</v>
      </c>
      <c r="Q317" s="3">
        <v>-0.05</v>
      </c>
    </row>
    <row r="318" spans="1:17" x14ac:dyDescent="0.35">
      <c r="A318" t="s">
        <v>1415</v>
      </c>
      <c r="B318" t="s">
        <v>114</v>
      </c>
      <c r="C318" t="s">
        <v>1536</v>
      </c>
      <c r="D318" t="s">
        <v>1541</v>
      </c>
      <c r="E318" t="s">
        <v>30</v>
      </c>
      <c r="F318" t="s">
        <v>1542</v>
      </c>
      <c r="G318" t="s">
        <v>1543</v>
      </c>
      <c r="H318" s="1">
        <v>45635</v>
      </c>
      <c r="I318" s="1">
        <v>45415</v>
      </c>
      <c r="J318" t="s">
        <v>1336</v>
      </c>
      <c r="K318">
        <v>78</v>
      </c>
      <c r="L318">
        <v>68</v>
      </c>
      <c r="M318">
        <v>68</v>
      </c>
      <c r="N318" t="s">
        <v>128</v>
      </c>
      <c r="O318">
        <v>89</v>
      </c>
      <c r="P318">
        <v>24</v>
      </c>
      <c r="Q318" s="3">
        <v>0.39</v>
      </c>
    </row>
    <row r="319" spans="1:17" x14ac:dyDescent="0.35">
      <c r="A319" t="s">
        <v>1440</v>
      </c>
      <c r="B319" t="s">
        <v>18</v>
      </c>
      <c r="C319" t="s">
        <v>28</v>
      </c>
      <c r="D319" t="s">
        <v>1544</v>
      </c>
      <c r="E319" t="s">
        <v>30</v>
      </c>
      <c r="F319" t="s">
        <v>1545</v>
      </c>
      <c r="G319" t="s">
        <v>1546</v>
      </c>
      <c r="H319" s="1">
        <v>45636</v>
      </c>
      <c r="I319" t="s">
        <v>577</v>
      </c>
      <c r="J319" t="s">
        <v>756</v>
      </c>
      <c r="K319">
        <v>23</v>
      </c>
      <c r="L319">
        <v>85</v>
      </c>
      <c r="M319">
        <v>94</v>
      </c>
      <c r="N319" t="s">
        <v>153</v>
      </c>
      <c r="O319">
        <v>92</v>
      </c>
      <c r="P319">
        <v>72</v>
      </c>
      <c r="Q319" s="3">
        <v>0.73</v>
      </c>
    </row>
    <row r="320" spans="1:17" x14ac:dyDescent="0.35">
      <c r="A320" t="s">
        <v>619</v>
      </c>
      <c r="B320" t="s">
        <v>18</v>
      </c>
      <c r="C320" t="s">
        <v>1547</v>
      </c>
      <c r="D320" t="s">
        <v>1548</v>
      </c>
      <c r="E320" t="s">
        <v>30</v>
      </c>
      <c r="F320" t="s">
        <v>1549</v>
      </c>
      <c r="G320" t="s">
        <v>1550</v>
      </c>
      <c r="H320" s="1">
        <v>45636</v>
      </c>
      <c r="I320" s="1">
        <v>45394</v>
      </c>
      <c r="J320" s="1">
        <v>45297</v>
      </c>
      <c r="K320">
        <v>78</v>
      </c>
      <c r="L320">
        <v>16</v>
      </c>
      <c r="M320">
        <v>37</v>
      </c>
      <c r="N320" t="s">
        <v>646</v>
      </c>
      <c r="O320">
        <v>25</v>
      </c>
      <c r="P320">
        <v>96</v>
      </c>
      <c r="Q320" s="3">
        <v>0.22</v>
      </c>
    </row>
    <row r="321" spans="1:17" x14ac:dyDescent="0.35">
      <c r="A321" t="s">
        <v>170</v>
      </c>
      <c r="B321" t="s">
        <v>18</v>
      </c>
      <c r="C321" t="s">
        <v>1372</v>
      </c>
      <c r="D321" t="s">
        <v>1551</v>
      </c>
      <c r="E321" t="s">
        <v>30</v>
      </c>
      <c r="F321" t="s">
        <v>1552</v>
      </c>
      <c r="G321" t="s">
        <v>1553</v>
      </c>
      <c r="H321" s="1">
        <v>45636</v>
      </c>
      <c r="I321" s="1">
        <v>45325</v>
      </c>
      <c r="J321" s="1">
        <v>45390</v>
      </c>
      <c r="K321">
        <v>95</v>
      </c>
      <c r="L321">
        <v>87</v>
      </c>
      <c r="M321">
        <v>13</v>
      </c>
      <c r="N321" t="s">
        <v>34</v>
      </c>
      <c r="O321">
        <v>61</v>
      </c>
      <c r="P321">
        <v>4</v>
      </c>
      <c r="Q321" s="3">
        <v>-2.84</v>
      </c>
    </row>
    <row r="322" spans="1:17" x14ac:dyDescent="0.35">
      <c r="A322" t="s">
        <v>142</v>
      </c>
      <c r="B322" t="s">
        <v>36</v>
      </c>
      <c r="C322" t="s">
        <v>1554</v>
      </c>
      <c r="D322" t="s">
        <v>1555</v>
      </c>
      <c r="E322" t="s">
        <v>68</v>
      </c>
      <c r="F322" t="s">
        <v>1556</v>
      </c>
      <c r="G322" t="s">
        <v>1557</v>
      </c>
      <c r="H322" s="1">
        <v>45638</v>
      </c>
      <c r="I322" s="1">
        <v>45573</v>
      </c>
      <c r="J322" t="s">
        <v>1558</v>
      </c>
      <c r="K322">
        <v>49</v>
      </c>
      <c r="L322">
        <v>94</v>
      </c>
      <c r="M322">
        <v>18</v>
      </c>
      <c r="N322" t="s">
        <v>344</v>
      </c>
      <c r="O322">
        <v>38</v>
      </c>
      <c r="P322">
        <v>11</v>
      </c>
      <c r="Q322" s="3">
        <v>0.93</v>
      </c>
    </row>
    <row r="323" spans="1:17" x14ac:dyDescent="0.35">
      <c r="A323" t="s">
        <v>408</v>
      </c>
      <c r="B323" t="s">
        <v>18</v>
      </c>
      <c r="C323" t="s">
        <v>1559</v>
      </c>
      <c r="D323" t="s">
        <v>1560</v>
      </c>
      <c r="E323" t="s">
        <v>68</v>
      </c>
      <c r="F323" t="s">
        <v>1561</v>
      </c>
      <c r="G323" t="s">
        <v>1562</v>
      </c>
      <c r="H323" s="1">
        <v>45638</v>
      </c>
      <c r="I323" s="1">
        <v>45510</v>
      </c>
      <c r="J323" t="s">
        <v>295</v>
      </c>
      <c r="K323">
        <v>26</v>
      </c>
      <c r="L323">
        <v>69</v>
      </c>
      <c r="M323">
        <v>90</v>
      </c>
      <c r="N323" t="s">
        <v>121</v>
      </c>
      <c r="O323">
        <v>47</v>
      </c>
      <c r="P323">
        <v>35</v>
      </c>
      <c r="Q323" s="3">
        <v>0.71</v>
      </c>
    </row>
    <row r="324" spans="1:17" x14ac:dyDescent="0.35">
      <c r="A324" t="s">
        <v>376</v>
      </c>
      <c r="B324" t="s">
        <v>18</v>
      </c>
      <c r="C324" t="s">
        <v>1563</v>
      </c>
      <c r="D324" t="s">
        <v>1564</v>
      </c>
      <c r="E324" t="s">
        <v>21</v>
      </c>
      <c r="F324" t="s">
        <v>1565</v>
      </c>
      <c r="G324" t="s">
        <v>1566</v>
      </c>
      <c r="H324" s="1">
        <v>45638</v>
      </c>
      <c r="I324" s="1">
        <v>45540</v>
      </c>
      <c r="J324" s="1">
        <v>45418</v>
      </c>
      <c r="K324">
        <v>50</v>
      </c>
      <c r="L324">
        <v>68</v>
      </c>
      <c r="M324">
        <v>90</v>
      </c>
      <c r="N324" t="s">
        <v>34</v>
      </c>
      <c r="O324">
        <v>40</v>
      </c>
      <c r="P324">
        <v>13</v>
      </c>
      <c r="Q324" s="3">
        <v>0.26</v>
      </c>
    </row>
    <row r="325" spans="1:17" x14ac:dyDescent="0.35">
      <c r="A325" t="s">
        <v>308</v>
      </c>
      <c r="B325" t="s">
        <v>27</v>
      </c>
      <c r="C325" t="s">
        <v>1105</v>
      </c>
      <c r="D325" t="s">
        <v>1567</v>
      </c>
      <c r="E325" t="s">
        <v>30</v>
      </c>
      <c r="F325" t="s">
        <v>1568</v>
      </c>
      <c r="G325" t="s">
        <v>1569</v>
      </c>
      <c r="H325" s="1">
        <v>45638</v>
      </c>
      <c r="I325" s="1">
        <v>45634</v>
      </c>
      <c r="J325" s="1">
        <v>45298</v>
      </c>
      <c r="K325">
        <v>50</v>
      </c>
      <c r="L325">
        <v>36</v>
      </c>
      <c r="M325">
        <v>96</v>
      </c>
      <c r="N325" t="s">
        <v>313</v>
      </c>
      <c r="O325">
        <v>53</v>
      </c>
      <c r="P325">
        <v>73</v>
      </c>
      <c r="Q325" s="3">
        <v>0.68</v>
      </c>
    </row>
    <row r="326" spans="1:17" x14ac:dyDescent="0.35">
      <c r="A326" t="s">
        <v>188</v>
      </c>
      <c r="B326" t="s">
        <v>65</v>
      </c>
      <c r="C326" t="s">
        <v>1570</v>
      </c>
      <c r="D326" t="s">
        <v>1571</v>
      </c>
      <c r="E326" t="s">
        <v>21</v>
      </c>
      <c r="F326" t="s">
        <v>1572</v>
      </c>
      <c r="G326" t="s">
        <v>1573</v>
      </c>
      <c r="H326" s="1">
        <v>45659</v>
      </c>
      <c r="I326" t="s">
        <v>281</v>
      </c>
      <c r="J326" s="1">
        <v>45485</v>
      </c>
      <c r="K326">
        <v>91</v>
      </c>
      <c r="L326">
        <v>73</v>
      </c>
      <c r="M326">
        <v>77</v>
      </c>
      <c r="N326" t="s">
        <v>193</v>
      </c>
      <c r="O326">
        <v>51</v>
      </c>
      <c r="P326">
        <v>49</v>
      </c>
      <c r="Q326" s="3">
        <v>-0.38</v>
      </c>
    </row>
    <row r="327" spans="1:17" x14ac:dyDescent="0.35">
      <c r="A327" t="s">
        <v>793</v>
      </c>
      <c r="B327" t="s">
        <v>75</v>
      </c>
      <c r="C327" t="s">
        <v>787</v>
      </c>
      <c r="D327" t="s">
        <v>1574</v>
      </c>
      <c r="E327" t="s">
        <v>30</v>
      </c>
      <c r="F327" t="s">
        <v>1575</v>
      </c>
      <c r="G327" t="s">
        <v>1576</v>
      </c>
      <c r="H327" s="1">
        <v>45659</v>
      </c>
      <c r="I327" t="s">
        <v>784</v>
      </c>
      <c r="J327" t="s">
        <v>707</v>
      </c>
      <c r="K327">
        <v>23</v>
      </c>
      <c r="L327">
        <v>42</v>
      </c>
      <c r="M327">
        <v>87</v>
      </c>
      <c r="N327" t="s">
        <v>798</v>
      </c>
      <c r="O327">
        <v>63</v>
      </c>
      <c r="P327">
        <v>5</v>
      </c>
      <c r="Q327" s="3">
        <v>0.04</v>
      </c>
    </row>
    <row r="328" spans="1:17" x14ac:dyDescent="0.35">
      <c r="A328" t="s">
        <v>83</v>
      </c>
      <c r="B328" t="s">
        <v>36</v>
      </c>
      <c r="C328" t="s">
        <v>1275</v>
      </c>
      <c r="D328" t="s">
        <v>1577</v>
      </c>
      <c r="E328" t="s">
        <v>21</v>
      </c>
      <c r="F328" t="s">
        <v>1578</v>
      </c>
      <c r="G328" t="s">
        <v>1579</v>
      </c>
      <c r="H328" s="1">
        <v>45659</v>
      </c>
      <c r="I328" t="s">
        <v>159</v>
      </c>
      <c r="J328" s="1">
        <v>45448</v>
      </c>
      <c r="K328">
        <v>76</v>
      </c>
      <c r="L328">
        <v>15</v>
      </c>
      <c r="M328">
        <v>99</v>
      </c>
      <c r="N328" t="s">
        <v>572</v>
      </c>
      <c r="O328">
        <v>60</v>
      </c>
      <c r="P328">
        <v>49</v>
      </c>
      <c r="Q328" s="3">
        <v>0.92</v>
      </c>
    </row>
    <row r="329" spans="1:17" x14ac:dyDescent="0.35">
      <c r="A329" t="s">
        <v>769</v>
      </c>
      <c r="B329" t="s">
        <v>36</v>
      </c>
      <c r="C329" t="s">
        <v>1580</v>
      </c>
      <c r="D329" t="s">
        <v>1581</v>
      </c>
      <c r="E329" t="s">
        <v>21</v>
      </c>
      <c r="F329" t="s">
        <v>1582</v>
      </c>
      <c r="G329" t="s">
        <v>1583</v>
      </c>
      <c r="H329" s="1">
        <v>45659</v>
      </c>
      <c r="I329" s="1">
        <v>45993</v>
      </c>
      <c r="J329" t="s">
        <v>755</v>
      </c>
      <c r="K329">
        <v>15</v>
      </c>
      <c r="L329">
        <v>75</v>
      </c>
      <c r="M329">
        <v>78</v>
      </c>
      <c r="N329" t="s">
        <v>1584</v>
      </c>
      <c r="O329">
        <v>71</v>
      </c>
      <c r="P329">
        <v>21</v>
      </c>
      <c r="Q329" s="3">
        <v>0.18</v>
      </c>
    </row>
    <row r="330" spans="1:17" x14ac:dyDescent="0.35">
      <c r="A330" t="s">
        <v>1196</v>
      </c>
      <c r="B330" t="s">
        <v>75</v>
      </c>
      <c r="C330" t="s">
        <v>1585</v>
      </c>
      <c r="D330" t="s">
        <v>1586</v>
      </c>
      <c r="E330" t="s">
        <v>68</v>
      </c>
      <c r="F330" t="s">
        <v>1587</v>
      </c>
      <c r="G330" t="s">
        <v>1588</v>
      </c>
      <c r="H330" s="1">
        <v>45659</v>
      </c>
      <c r="I330" t="s">
        <v>1141</v>
      </c>
      <c r="J330" t="s">
        <v>837</v>
      </c>
      <c r="K330">
        <v>79</v>
      </c>
      <c r="L330">
        <v>28</v>
      </c>
      <c r="M330">
        <v>4</v>
      </c>
      <c r="N330" t="s">
        <v>713</v>
      </c>
      <c r="O330">
        <v>42</v>
      </c>
      <c r="P330">
        <v>46</v>
      </c>
      <c r="Q330" s="3">
        <v>0.7</v>
      </c>
    </row>
    <row r="331" spans="1:17" x14ac:dyDescent="0.35">
      <c r="A331" t="s">
        <v>270</v>
      </c>
      <c r="B331" t="s">
        <v>36</v>
      </c>
      <c r="C331" t="s">
        <v>1589</v>
      </c>
      <c r="D331" t="s">
        <v>1590</v>
      </c>
      <c r="E331" t="s">
        <v>30</v>
      </c>
      <c r="F331" t="s">
        <v>1591</v>
      </c>
      <c r="G331" t="s">
        <v>1592</v>
      </c>
      <c r="H331" s="1">
        <v>45659</v>
      </c>
      <c r="I331" t="s">
        <v>159</v>
      </c>
      <c r="J331" s="1">
        <v>45514</v>
      </c>
      <c r="K331">
        <v>22</v>
      </c>
      <c r="L331">
        <v>43</v>
      </c>
      <c r="M331">
        <v>3</v>
      </c>
      <c r="N331" t="s">
        <v>1002</v>
      </c>
      <c r="O331">
        <v>45</v>
      </c>
      <c r="P331">
        <v>87</v>
      </c>
      <c r="Q331" s="3">
        <v>-0.1</v>
      </c>
    </row>
    <row r="332" spans="1:17" x14ac:dyDescent="0.35">
      <c r="A332" t="s">
        <v>1021</v>
      </c>
      <c r="B332" t="s">
        <v>36</v>
      </c>
      <c r="C332" t="s">
        <v>647</v>
      </c>
      <c r="D332" t="s">
        <v>1593</v>
      </c>
      <c r="E332" t="s">
        <v>68</v>
      </c>
      <c r="F332" t="s">
        <v>1594</v>
      </c>
      <c r="G332" t="s">
        <v>1595</v>
      </c>
      <c r="H332" s="1">
        <v>45689</v>
      </c>
      <c r="I332" t="s">
        <v>1096</v>
      </c>
      <c r="J332" t="s">
        <v>1482</v>
      </c>
      <c r="K332">
        <v>37</v>
      </c>
      <c r="L332">
        <v>5</v>
      </c>
      <c r="M332">
        <v>1</v>
      </c>
      <c r="N332" t="s">
        <v>73</v>
      </c>
      <c r="O332">
        <v>68</v>
      </c>
      <c r="P332">
        <v>99</v>
      </c>
      <c r="Q332" s="3">
        <v>-0.93</v>
      </c>
    </row>
    <row r="333" spans="1:17" x14ac:dyDescent="0.35">
      <c r="A333" t="s">
        <v>532</v>
      </c>
      <c r="B333" t="s">
        <v>75</v>
      </c>
      <c r="C333" t="s">
        <v>592</v>
      </c>
      <c r="D333" t="s">
        <v>1596</v>
      </c>
      <c r="E333" t="s">
        <v>68</v>
      </c>
      <c r="F333" t="s">
        <v>1597</v>
      </c>
      <c r="G333" t="s">
        <v>1598</v>
      </c>
      <c r="H333" s="1">
        <v>45689</v>
      </c>
      <c r="I333" s="1">
        <v>45422</v>
      </c>
      <c r="J333" s="1">
        <v>45387</v>
      </c>
      <c r="K333">
        <v>25</v>
      </c>
      <c r="L333">
        <v>75</v>
      </c>
      <c r="M333">
        <v>27</v>
      </c>
      <c r="N333" t="s">
        <v>537</v>
      </c>
      <c r="O333">
        <v>31</v>
      </c>
      <c r="P333">
        <v>36</v>
      </c>
      <c r="Q333" s="3">
        <v>-0.46</v>
      </c>
    </row>
    <row r="334" spans="1:17" x14ac:dyDescent="0.35">
      <c r="A334" t="s">
        <v>842</v>
      </c>
      <c r="B334" t="s">
        <v>75</v>
      </c>
      <c r="C334" t="s">
        <v>1599</v>
      </c>
      <c r="D334" t="s">
        <v>1600</v>
      </c>
      <c r="E334" t="s">
        <v>68</v>
      </c>
      <c r="F334" t="s">
        <v>1601</v>
      </c>
      <c r="G334" t="s">
        <v>1602</v>
      </c>
      <c r="H334" s="1">
        <v>45689</v>
      </c>
      <c r="I334" s="1">
        <v>45449</v>
      </c>
      <c r="J334" s="1">
        <v>45902</v>
      </c>
      <c r="K334">
        <v>11</v>
      </c>
      <c r="L334">
        <v>87</v>
      </c>
      <c r="M334">
        <v>43</v>
      </c>
      <c r="N334" t="s">
        <v>88</v>
      </c>
      <c r="O334">
        <v>86</v>
      </c>
      <c r="P334">
        <v>91</v>
      </c>
      <c r="Q334" s="3">
        <v>-0.16</v>
      </c>
    </row>
    <row r="335" spans="1:17" x14ac:dyDescent="0.35">
      <c r="A335" t="s">
        <v>1603</v>
      </c>
      <c r="B335" t="s">
        <v>36</v>
      </c>
      <c r="C335" t="s">
        <v>1604</v>
      </c>
      <c r="D335" t="s">
        <v>1605</v>
      </c>
      <c r="E335" t="s">
        <v>21</v>
      </c>
      <c r="F335" t="s">
        <v>1606</v>
      </c>
      <c r="G335" t="s">
        <v>1607</v>
      </c>
      <c r="H335" s="1">
        <v>45717</v>
      </c>
      <c r="I335" t="s">
        <v>651</v>
      </c>
      <c r="J335" t="s">
        <v>403</v>
      </c>
      <c r="K335">
        <v>21</v>
      </c>
      <c r="L335">
        <v>87</v>
      </c>
      <c r="M335">
        <v>67</v>
      </c>
      <c r="N335" t="s">
        <v>1608</v>
      </c>
      <c r="O335">
        <v>64</v>
      </c>
      <c r="P335">
        <v>69</v>
      </c>
      <c r="Q335" s="3">
        <v>-0.06</v>
      </c>
    </row>
    <row r="336" spans="1:17" x14ac:dyDescent="0.35">
      <c r="A336" t="s">
        <v>727</v>
      </c>
      <c r="B336" t="s">
        <v>36</v>
      </c>
      <c r="C336" t="s">
        <v>143</v>
      </c>
      <c r="D336" t="s">
        <v>1609</v>
      </c>
      <c r="E336" t="s">
        <v>30</v>
      </c>
      <c r="F336" t="s">
        <v>1610</v>
      </c>
      <c r="G336" t="s">
        <v>1611</v>
      </c>
      <c r="H336" s="1">
        <v>45717</v>
      </c>
      <c r="I336" s="1">
        <v>45629</v>
      </c>
      <c r="J336" t="s">
        <v>354</v>
      </c>
      <c r="K336">
        <v>34</v>
      </c>
      <c r="L336">
        <v>94</v>
      </c>
      <c r="M336">
        <v>69</v>
      </c>
      <c r="N336" t="s">
        <v>733</v>
      </c>
      <c r="O336">
        <v>96</v>
      </c>
      <c r="P336">
        <v>30</v>
      </c>
      <c r="Q336" s="3">
        <v>-0.08</v>
      </c>
    </row>
    <row r="337" spans="1:17" x14ac:dyDescent="0.35">
      <c r="A337" t="s">
        <v>690</v>
      </c>
      <c r="B337" t="s">
        <v>36</v>
      </c>
      <c r="C337" t="s">
        <v>1612</v>
      </c>
      <c r="D337" t="s">
        <v>1613</v>
      </c>
      <c r="E337" t="s">
        <v>21</v>
      </c>
      <c r="F337" t="s">
        <v>1614</v>
      </c>
      <c r="G337" t="s">
        <v>1615</v>
      </c>
      <c r="H337" s="1">
        <v>45718</v>
      </c>
      <c r="I337" s="1">
        <v>45539</v>
      </c>
      <c r="J337" s="1">
        <v>45779</v>
      </c>
      <c r="K337">
        <v>44</v>
      </c>
      <c r="L337">
        <v>90</v>
      </c>
      <c r="M337">
        <v>17</v>
      </c>
      <c r="N337" t="s">
        <v>128</v>
      </c>
      <c r="O337">
        <v>21</v>
      </c>
      <c r="P337">
        <v>91</v>
      </c>
      <c r="Q337" s="3">
        <v>0.69</v>
      </c>
    </row>
    <row r="338" spans="1:17" x14ac:dyDescent="0.35">
      <c r="A338" t="s">
        <v>106</v>
      </c>
      <c r="B338" t="s">
        <v>18</v>
      </c>
      <c r="C338" t="s">
        <v>404</v>
      </c>
      <c r="D338" t="s">
        <v>1616</v>
      </c>
      <c r="E338" t="s">
        <v>21</v>
      </c>
      <c r="F338" t="s">
        <v>1617</v>
      </c>
      <c r="G338" t="s">
        <v>1618</v>
      </c>
      <c r="H338" s="1">
        <v>45718</v>
      </c>
      <c r="I338" t="s">
        <v>336</v>
      </c>
      <c r="J338" t="s">
        <v>263</v>
      </c>
      <c r="K338">
        <v>88</v>
      </c>
      <c r="L338">
        <v>37</v>
      </c>
      <c r="M338">
        <v>61</v>
      </c>
      <c r="N338" t="s">
        <v>112</v>
      </c>
      <c r="O338">
        <v>63</v>
      </c>
      <c r="P338">
        <v>35</v>
      </c>
      <c r="Q338" s="3">
        <v>-3.33</v>
      </c>
    </row>
    <row r="339" spans="1:17" x14ac:dyDescent="0.35">
      <c r="A339" t="s">
        <v>708</v>
      </c>
      <c r="B339" t="s">
        <v>163</v>
      </c>
      <c r="C339" t="s">
        <v>1619</v>
      </c>
      <c r="D339" t="s">
        <v>1620</v>
      </c>
      <c r="E339" t="s">
        <v>21</v>
      </c>
      <c r="F339" t="s">
        <v>1621</v>
      </c>
      <c r="G339" t="s">
        <v>1622</v>
      </c>
      <c r="H339" s="1">
        <v>45718</v>
      </c>
      <c r="I339" t="s">
        <v>94</v>
      </c>
      <c r="J339" s="1">
        <v>45354</v>
      </c>
      <c r="K339">
        <v>61</v>
      </c>
      <c r="L339">
        <v>43</v>
      </c>
      <c r="M339">
        <v>29</v>
      </c>
      <c r="N339" t="s">
        <v>713</v>
      </c>
      <c r="O339">
        <v>67</v>
      </c>
      <c r="P339">
        <v>6</v>
      </c>
      <c r="Q339" s="3">
        <v>0.44</v>
      </c>
    </row>
    <row r="340" spans="1:17" x14ac:dyDescent="0.35">
      <c r="A340" t="s">
        <v>1623</v>
      </c>
      <c r="B340" t="s">
        <v>36</v>
      </c>
      <c r="C340" t="s">
        <v>1624</v>
      </c>
      <c r="D340" t="s">
        <v>1625</v>
      </c>
      <c r="E340" t="s">
        <v>21</v>
      </c>
      <c r="F340" t="s">
        <v>1626</v>
      </c>
      <c r="G340" t="s">
        <v>1627</v>
      </c>
      <c r="H340" s="1">
        <v>45718</v>
      </c>
      <c r="I340" t="s">
        <v>1427</v>
      </c>
      <c r="J340" s="1">
        <v>45300</v>
      </c>
      <c r="K340">
        <v>12</v>
      </c>
      <c r="L340">
        <v>60</v>
      </c>
      <c r="M340">
        <v>73</v>
      </c>
      <c r="N340" t="s">
        <v>121</v>
      </c>
      <c r="O340">
        <v>20</v>
      </c>
      <c r="P340">
        <v>35</v>
      </c>
      <c r="Q340" s="3">
        <v>0.91</v>
      </c>
    </row>
    <row r="341" spans="1:17" x14ac:dyDescent="0.35">
      <c r="A341" t="s">
        <v>376</v>
      </c>
      <c r="B341" t="s">
        <v>18</v>
      </c>
      <c r="C341" t="s">
        <v>1628</v>
      </c>
      <c r="D341" t="s">
        <v>1629</v>
      </c>
      <c r="E341" t="s">
        <v>68</v>
      </c>
      <c r="F341" t="s">
        <v>1630</v>
      </c>
      <c r="G341" t="s">
        <v>1631</v>
      </c>
      <c r="H341" s="1">
        <v>45718</v>
      </c>
      <c r="I341" t="s">
        <v>206</v>
      </c>
      <c r="J341" t="s">
        <v>111</v>
      </c>
      <c r="K341">
        <v>98</v>
      </c>
      <c r="L341">
        <v>40</v>
      </c>
      <c r="M341">
        <v>100</v>
      </c>
      <c r="N341" t="s">
        <v>34</v>
      </c>
      <c r="O341">
        <v>46</v>
      </c>
      <c r="P341">
        <v>9</v>
      </c>
      <c r="Q341" s="3">
        <v>-0.75</v>
      </c>
    </row>
    <row r="342" spans="1:17" x14ac:dyDescent="0.35">
      <c r="A342" t="s">
        <v>162</v>
      </c>
      <c r="B342" t="s">
        <v>163</v>
      </c>
      <c r="C342" t="s">
        <v>1632</v>
      </c>
      <c r="D342" t="s">
        <v>1633</v>
      </c>
      <c r="E342" t="s">
        <v>30</v>
      </c>
      <c r="F342" t="s">
        <v>1634</v>
      </c>
      <c r="G342" t="s">
        <v>1635</v>
      </c>
      <c r="H342" s="1">
        <v>45748</v>
      </c>
      <c r="I342" t="s">
        <v>294</v>
      </c>
      <c r="J342" s="1">
        <v>45446</v>
      </c>
      <c r="K342">
        <v>46</v>
      </c>
      <c r="L342">
        <v>31</v>
      </c>
      <c r="M342">
        <v>89</v>
      </c>
      <c r="N342" t="s">
        <v>169</v>
      </c>
      <c r="O342">
        <v>59</v>
      </c>
      <c r="P342">
        <v>65</v>
      </c>
      <c r="Q342" s="3">
        <v>0.8</v>
      </c>
    </row>
    <row r="343" spans="1:17" x14ac:dyDescent="0.35">
      <c r="A343" t="s">
        <v>83</v>
      </c>
      <c r="B343" t="s">
        <v>36</v>
      </c>
      <c r="C343" t="s">
        <v>937</v>
      </c>
      <c r="D343" t="s">
        <v>1636</v>
      </c>
      <c r="E343" t="s">
        <v>21</v>
      </c>
      <c r="F343" t="s">
        <v>1637</v>
      </c>
      <c r="G343" t="s">
        <v>1638</v>
      </c>
      <c r="H343" s="1">
        <v>45748</v>
      </c>
      <c r="I343" t="s">
        <v>941</v>
      </c>
      <c r="J343" s="1">
        <v>45810</v>
      </c>
      <c r="K343">
        <v>88</v>
      </c>
      <c r="L343">
        <v>53</v>
      </c>
      <c r="M343">
        <v>44</v>
      </c>
      <c r="N343" t="s">
        <v>88</v>
      </c>
      <c r="O343">
        <v>56</v>
      </c>
      <c r="P343">
        <v>14</v>
      </c>
      <c r="Q343" s="3">
        <v>-0.1</v>
      </c>
    </row>
    <row r="344" spans="1:17" x14ac:dyDescent="0.35">
      <c r="A344" t="s">
        <v>690</v>
      </c>
      <c r="B344" t="s">
        <v>36</v>
      </c>
      <c r="C344" t="s">
        <v>1372</v>
      </c>
      <c r="D344" t="s">
        <v>1639</v>
      </c>
      <c r="E344" t="s">
        <v>21</v>
      </c>
      <c r="F344" t="s">
        <v>1640</v>
      </c>
      <c r="G344" t="s">
        <v>1641</v>
      </c>
      <c r="H344" s="1">
        <v>45748</v>
      </c>
      <c r="I344" t="s">
        <v>275</v>
      </c>
      <c r="J344" s="1">
        <v>45871</v>
      </c>
      <c r="K344">
        <v>88</v>
      </c>
      <c r="L344">
        <v>22</v>
      </c>
      <c r="M344">
        <v>61</v>
      </c>
      <c r="N344" t="s">
        <v>128</v>
      </c>
      <c r="O344">
        <v>54</v>
      </c>
      <c r="P344">
        <v>100</v>
      </c>
      <c r="Q344" s="3">
        <v>0.75</v>
      </c>
    </row>
    <row r="345" spans="1:17" x14ac:dyDescent="0.35">
      <c r="A345" t="s">
        <v>194</v>
      </c>
      <c r="B345" t="s">
        <v>114</v>
      </c>
      <c r="C345" t="s">
        <v>804</v>
      </c>
      <c r="D345" t="s">
        <v>1642</v>
      </c>
      <c r="E345" t="s">
        <v>30</v>
      </c>
      <c r="F345" t="s">
        <v>1643</v>
      </c>
      <c r="G345" t="s">
        <v>1644</v>
      </c>
      <c r="H345" s="1">
        <v>45748</v>
      </c>
      <c r="I345" s="1">
        <v>45334</v>
      </c>
      <c r="J345" t="s">
        <v>676</v>
      </c>
      <c r="K345">
        <v>94</v>
      </c>
      <c r="L345">
        <v>56</v>
      </c>
      <c r="M345">
        <v>80</v>
      </c>
      <c r="N345" t="s">
        <v>121</v>
      </c>
      <c r="O345">
        <v>47</v>
      </c>
      <c r="P345">
        <v>96</v>
      </c>
      <c r="Q345" s="3">
        <v>-0.85</v>
      </c>
    </row>
    <row r="346" spans="1:17" x14ac:dyDescent="0.35">
      <c r="A346" t="s">
        <v>418</v>
      </c>
      <c r="B346" t="s">
        <v>65</v>
      </c>
      <c r="C346" t="s">
        <v>1547</v>
      </c>
      <c r="D346" t="s">
        <v>1645</v>
      </c>
      <c r="E346" t="s">
        <v>68</v>
      </c>
      <c r="F346" t="s">
        <v>1646</v>
      </c>
      <c r="G346" t="s">
        <v>1647</v>
      </c>
      <c r="H346" s="1">
        <v>45748</v>
      </c>
      <c r="I346" s="1">
        <v>45419</v>
      </c>
      <c r="J346" t="s">
        <v>1648</v>
      </c>
      <c r="K346">
        <v>18</v>
      </c>
      <c r="L346">
        <v>78</v>
      </c>
      <c r="M346">
        <v>43</v>
      </c>
      <c r="N346" t="s">
        <v>344</v>
      </c>
      <c r="O346">
        <v>85</v>
      </c>
      <c r="P346">
        <v>97</v>
      </c>
      <c r="Q346" s="3">
        <v>-1.04</v>
      </c>
    </row>
    <row r="347" spans="1:17" x14ac:dyDescent="0.35">
      <c r="A347" t="s">
        <v>17</v>
      </c>
      <c r="B347" t="s">
        <v>18</v>
      </c>
      <c r="C347" t="s">
        <v>1649</v>
      </c>
      <c r="D347" t="s">
        <v>1650</v>
      </c>
      <c r="E347" t="s">
        <v>21</v>
      </c>
      <c r="F347" t="s">
        <v>1651</v>
      </c>
      <c r="G347" t="s">
        <v>1652</v>
      </c>
      <c r="H347" s="1">
        <v>45748</v>
      </c>
      <c r="I347" t="s">
        <v>548</v>
      </c>
      <c r="J347" t="s">
        <v>764</v>
      </c>
      <c r="K347">
        <v>94</v>
      </c>
      <c r="L347">
        <v>18</v>
      </c>
      <c r="M347">
        <v>84</v>
      </c>
      <c r="N347" t="s">
        <v>134</v>
      </c>
      <c r="O347">
        <v>44</v>
      </c>
      <c r="P347">
        <v>49</v>
      </c>
      <c r="Q347" s="3">
        <v>-0.14000000000000001</v>
      </c>
    </row>
    <row r="348" spans="1:17" x14ac:dyDescent="0.35">
      <c r="A348" t="s">
        <v>106</v>
      </c>
      <c r="B348" t="s">
        <v>18</v>
      </c>
      <c r="C348" t="s">
        <v>1653</v>
      </c>
      <c r="D348" t="s">
        <v>1654</v>
      </c>
      <c r="E348" t="s">
        <v>21</v>
      </c>
      <c r="F348" t="s">
        <v>1655</v>
      </c>
      <c r="G348" t="s">
        <v>1656</v>
      </c>
      <c r="H348" s="1">
        <v>45749</v>
      </c>
      <c r="I348" t="s">
        <v>159</v>
      </c>
      <c r="J348" t="s">
        <v>639</v>
      </c>
      <c r="K348">
        <v>41</v>
      </c>
      <c r="L348">
        <v>94</v>
      </c>
      <c r="M348">
        <v>4</v>
      </c>
      <c r="N348" t="s">
        <v>153</v>
      </c>
      <c r="O348">
        <v>88</v>
      </c>
      <c r="P348">
        <v>92</v>
      </c>
      <c r="Q348" s="3">
        <v>-0.11</v>
      </c>
    </row>
    <row r="349" spans="1:17" x14ac:dyDescent="0.35">
      <c r="A349" t="s">
        <v>382</v>
      </c>
      <c r="B349" t="s">
        <v>36</v>
      </c>
      <c r="C349" t="s">
        <v>1657</v>
      </c>
      <c r="D349" t="s">
        <v>1658</v>
      </c>
      <c r="E349" t="s">
        <v>30</v>
      </c>
      <c r="F349" t="s">
        <v>1659</v>
      </c>
      <c r="G349" t="s">
        <v>1660</v>
      </c>
      <c r="H349" s="1">
        <v>45778</v>
      </c>
      <c r="I349" s="1">
        <v>45631</v>
      </c>
      <c r="J349" t="s">
        <v>1661</v>
      </c>
      <c r="K349">
        <v>18</v>
      </c>
      <c r="L349">
        <v>14</v>
      </c>
      <c r="M349">
        <v>77</v>
      </c>
      <c r="N349" t="s">
        <v>128</v>
      </c>
      <c r="O349">
        <v>78</v>
      </c>
      <c r="P349">
        <v>4</v>
      </c>
      <c r="Q349" s="3">
        <v>-0.05</v>
      </c>
    </row>
    <row r="350" spans="1:17" x14ac:dyDescent="0.35">
      <c r="A350" t="s">
        <v>975</v>
      </c>
      <c r="B350" t="s">
        <v>18</v>
      </c>
      <c r="C350" t="s">
        <v>37</v>
      </c>
      <c r="D350" t="s">
        <v>1662</v>
      </c>
      <c r="E350" t="s">
        <v>68</v>
      </c>
      <c r="F350" t="s">
        <v>1663</v>
      </c>
      <c r="G350" t="s">
        <v>1664</v>
      </c>
      <c r="H350" s="1">
        <v>45778</v>
      </c>
      <c r="I350" s="1">
        <v>45962</v>
      </c>
      <c r="J350" t="s">
        <v>808</v>
      </c>
      <c r="K350">
        <v>19</v>
      </c>
      <c r="L350">
        <v>92</v>
      </c>
      <c r="M350">
        <v>41</v>
      </c>
      <c r="N350" t="s">
        <v>34</v>
      </c>
      <c r="O350">
        <v>51</v>
      </c>
      <c r="P350">
        <v>79</v>
      </c>
      <c r="Q350" s="3">
        <v>0.95</v>
      </c>
    </row>
    <row r="351" spans="1:17" x14ac:dyDescent="0.35">
      <c r="A351" t="s">
        <v>418</v>
      </c>
      <c r="B351" t="s">
        <v>65</v>
      </c>
      <c r="C351" t="s">
        <v>1279</v>
      </c>
      <c r="D351" t="s">
        <v>1665</v>
      </c>
      <c r="E351" t="s">
        <v>30</v>
      </c>
      <c r="F351" t="s">
        <v>1666</v>
      </c>
      <c r="G351" t="s">
        <v>1667</v>
      </c>
      <c r="H351" s="1">
        <v>45778</v>
      </c>
      <c r="I351" t="s">
        <v>855</v>
      </c>
      <c r="J351" t="s">
        <v>1431</v>
      </c>
      <c r="K351">
        <v>98</v>
      </c>
      <c r="L351">
        <v>41</v>
      </c>
      <c r="M351">
        <v>98</v>
      </c>
      <c r="N351" t="s">
        <v>1668</v>
      </c>
      <c r="O351">
        <v>70</v>
      </c>
      <c r="P351">
        <v>75</v>
      </c>
      <c r="Q351" s="3">
        <v>-0.55000000000000004</v>
      </c>
    </row>
    <row r="352" spans="1:17" x14ac:dyDescent="0.35">
      <c r="A352" t="s">
        <v>786</v>
      </c>
      <c r="B352" t="s">
        <v>65</v>
      </c>
      <c r="C352" t="s">
        <v>1133</v>
      </c>
      <c r="D352" t="s">
        <v>1669</v>
      </c>
      <c r="E352" t="s">
        <v>68</v>
      </c>
      <c r="F352" t="s">
        <v>1670</v>
      </c>
      <c r="G352" t="s">
        <v>1671</v>
      </c>
      <c r="H352" s="1">
        <v>45779</v>
      </c>
      <c r="I352" s="1">
        <v>45606</v>
      </c>
      <c r="J352" s="1">
        <v>45512</v>
      </c>
      <c r="K352">
        <v>21</v>
      </c>
      <c r="L352">
        <v>15</v>
      </c>
      <c r="M352">
        <v>27</v>
      </c>
      <c r="N352" t="s">
        <v>128</v>
      </c>
      <c r="O352">
        <v>37</v>
      </c>
      <c r="P352">
        <v>41</v>
      </c>
      <c r="Q352" s="3">
        <v>-7.0000000000000007E-2</v>
      </c>
    </row>
    <row r="353" spans="1:17" x14ac:dyDescent="0.35">
      <c r="A353" t="s">
        <v>1350</v>
      </c>
      <c r="B353" t="s">
        <v>114</v>
      </c>
      <c r="C353" t="s">
        <v>1066</v>
      </c>
      <c r="D353" t="s">
        <v>1672</v>
      </c>
      <c r="E353" t="s">
        <v>68</v>
      </c>
      <c r="F353" t="s">
        <v>1673</v>
      </c>
      <c r="G353" t="s">
        <v>1674</v>
      </c>
      <c r="H353" s="1">
        <v>45779</v>
      </c>
      <c r="I353" s="1">
        <v>45327</v>
      </c>
      <c r="J353" t="s">
        <v>301</v>
      </c>
      <c r="K353">
        <v>74</v>
      </c>
      <c r="L353">
        <v>81</v>
      </c>
      <c r="M353">
        <v>41</v>
      </c>
      <c r="N353" t="s">
        <v>344</v>
      </c>
      <c r="O353">
        <v>51</v>
      </c>
      <c r="P353">
        <v>67</v>
      </c>
      <c r="Q353" s="3">
        <v>-0.11</v>
      </c>
    </row>
    <row r="354" spans="1:17" x14ac:dyDescent="0.35">
      <c r="A354" t="s">
        <v>665</v>
      </c>
      <c r="B354" t="s">
        <v>65</v>
      </c>
      <c r="C354" t="s">
        <v>1675</v>
      </c>
      <c r="D354" t="s">
        <v>1676</v>
      </c>
      <c r="E354" t="s">
        <v>30</v>
      </c>
      <c r="F354" t="s">
        <v>1677</v>
      </c>
      <c r="G354" t="s">
        <v>1678</v>
      </c>
      <c r="H354" s="1">
        <v>45809</v>
      </c>
      <c r="I354" s="1">
        <v>45297</v>
      </c>
      <c r="J354" s="1">
        <v>45448</v>
      </c>
      <c r="K354">
        <v>20</v>
      </c>
      <c r="L354">
        <v>20</v>
      </c>
      <c r="M354">
        <v>56</v>
      </c>
      <c r="N354" t="s">
        <v>235</v>
      </c>
      <c r="O354">
        <v>62</v>
      </c>
      <c r="P354">
        <v>69</v>
      </c>
      <c r="Q354" s="3">
        <v>-0.31</v>
      </c>
    </row>
    <row r="355" spans="1:17" x14ac:dyDescent="0.35">
      <c r="A355" t="s">
        <v>624</v>
      </c>
      <c r="B355" t="s">
        <v>18</v>
      </c>
      <c r="C355" t="s">
        <v>1445</v>
      </c>
      <c r="D355" t="s">
        <v>1679</v>
      </c>
      <c r="E355" t="s">
        <v>30</v>
      </c>
      <c r="F355" t="s">
        <v>1680</v>
      </c>
      <c r="G355" t="s">
        <v>1681</v>
      </c>
      <c r="H355" s="1">
        <v>45809</v>
      </c>
      <c r="I355" t="s">
        <v>1682</v>
      </c>
      <c r="J355" s="1">
        <v>45546</v>
      </c>
      <c r="K355">
        <v>35</v>
      </c>
      <c r="L355">
        <v>19</v>
      </c>
      <c r="M355">
        <v>30</v>
      </c>
      <c r="N355" t="s">
        <v>313</v>
      </c>
      <c r="O355">
        <v>88</v>
      </c>
      <c r="P355">
        <v>6</v>
      </c>
      <c r="Q355" s="3">
        <v>-0.11</v>
      </c>
    </row>
    <row r="356" spans="1:17" x14ac:dyDescent="0.35">
      <c r="A356" t="s">
        <v>1527</v>
      </c>
      <c r="B356" t="s">
        <v>18</v>
      </c>
      <c r="C356" t="s">
        <v>654</v>
      </c>
      <c r="D356" t="s">
        <v>1683</v>
      </c>
      <c r="E356" t="s">
        <v>30</v>
      </c>
      <c r="F356" t="s">
        <v>1684</v>
      </c>
      <c r="G356" t="s">
        <v>1685</v>
      </c>
      <c r="H356" s="1">
        <v>45809</v>
      </c>
      <c r="I356" s="1">
        <v>45390</v>
      </c>
      <c r="J356" t="s">
        <v>1195</v>
      </c>
      <c r="K356">
        <v>81</v>
      </c>
      <c r="L356">
        <v>16</v>
      </c>
      <c r="M356">
        <v>69</v>
      </c>
      <c r="N356" t="s">
        <v>1686</v>
      </c>
      <c r="O356">
        <v>23</v>
      </c>
      <c r="P356">
        <v>96</v>
      </c>
      <c r="Q356" s="3">
        <v>0.93</v>
      </c>
    </row>
    <row r="357" spans="1:17" x14ac:dyDescent="0.35">
      <c r="A357" t="s">
        <v>1623</v>
      </c>
      <c r="B357" t="s">
        <v>36</v>
      </c>
      <c r="C357" t="s">
        <v>290</v>
      </c>
      <c r="D357" t="s">
        <v>1687</v>
      </c>
      <c r="E357" t="s">
        <v>21</v>
      </c>
      <c r="F357" t="s">
        <v>1688</v>
      </c>
      <c r="G357" t="s">
        <v>1689</v>
      </c>
      <c r="H357" s="1">
        <v>45809</v>
      </c>
      <c r="I357" t="s">
        <v>1121</v>
      </c>
      <c r="J357" s="1">
        <v>45544</v>
      </c>
      <c r="K357">
        <v>85</v>
      </c>
      <c r="L357">
        <v>66</v>
      </c>
      <c r="M357">
        <v>85</v>
      </c>
      <c r="N357" t="s">
        <v>1182</v>
      </c>
      <c r="O357">
        <v>65</v>
      </c>
      <c r="P357">
        <v>58</v>
      </c>
      <c r="Q357" s="3">
        <v>-3.17</v>
      </c>
    </row>
    <row r="358" spans="1:17" x14ac:dyDescent="0.35">
      <c r="A358" t="s">
        <v>640</v>
      </c>
      <c r="B358" t="s">
        <v>163</v>
      </c>
      <c r="C358" t="s">
        <v>1690</v>
      </c>
      <c r="D358" t="s">
        <v>1691</v>
      </c>
      <c r="E358" t="s">
        <v>68</v>
      </c>
      <c r="F358" t="s">
        <v>1692</v>
      </c>
      <c r="G358" t="s">
        <v>1693</v>
      </c>
      <c r="H358" s="1">
        <v>45809</v>
      </c>
      <c r="I358" t="s">
        <v>294</v>
      </c>
      <c r="J358" t="s">
        <v>72</v>
      </c>
      <c r="K358">
        <v>45</v>
      </c>
      <c r="L358">
        <v>58</v>
      </c>
      <c r="M358">
        <v>84</v>
      </c>
      <c r="N358" t="s">
        <v>73</v>
      </c>
      <c r="O358">
        <v>90</v>
      </c>
      <c r="P358">
        <v>67</v>
      </c>
      <c r="Q358" s="3">
        <v>0.11</v>
      </c>
    </row>
    <row r="359" spans="1:17" x14ac:dyDescent="0.35">
      <c r="A359" t="s">
        <v>832</v>
      </c>
      <c r="B359" t="s">
        <v>18</v>
      </c>
      <c r="C359" t="s">
        <v>959</v>
      </c>
      <c r="D359" t="s">
        <v>1694</v>
      </c>
      <c r="E359" t="s">
        <v>21</v>
      </c>
      <c r="F359" t="s">
        <v>1695</v>
      </c>
      <c r="G359" t="s">
        <v>1696</v>
      </c>
      <c r="H359" s="1">
        <v>45810</v>
      </c>
      <c r="I359" s="1">
        <v>45361</v>
      </c>
      <c r="J359" s="1">
        <v>45358</v>
      </c>
      <c r="K359">
        <v>47</v>
      </c>
      <c r="L359">
        <v>75</v>
      </c>
      <c r="M359">
        <v>53</v>
      </c>
      <c r="N359" t="s">
        <v>344</v>
      </c>
      <c r="O359">
        <v>70</v>
      </c>
      <c r="P359">
        <v>20</v>
      </c>
      <c r="Q359" s="3">
        <v>0.26</v>
      </c>
    </row>
    <row r="360" spans="1:17" x14ac:dyDescent="0.35">
      <c r="A360" t="s">
        <v>1350</v>
      </c>
      <c r="B360" t="s">
        <v>114</v>
      </c>
      <c r="C360" t="s">
        <v>1697</v>
      </c>
      <c r="D360" t="s">
        <v>1698</v>
      </c>
      <c r="E360" t="s">
        <v>21</v>
      </c>
      <c r="F360" t="s">
        <v>1699</v>
      </c>
      <c r="G360" t="s">
        <v>1700</v>
      </c>
      <c r="H360" s="1">
        <v>45810</v>
      </c>
      <c r="I360" t="s">
        <v>1029</v>
      </c>
      <c r="J360" t="s">
        <v>739</v>
      </c>
      <c r="K360">
        <v>12</v>
      </c>
      <c r="L360">
        <v>7</v>
      </c>
      <c r="M360">
        <v>23</v>
      </c>
      <c r="N360" t="s">
        <v>344</v>
      </c>
      <c r="O360">
        <v>72</v>
      </c>
      <c r="P360">
        <v>16</v>
      </c>
      <c r="Q360" s="3">
        <v>0.71</v>
      </c>
    </row>
    <row r="361" spans="1:17" x14ac:dyDescent="0.35">
      <c r="A361" t="s">
        <v>653</v>
      </c>
      <c r="B361" t="s">
        <v>163</v>
      </c>
      <c r="C361" t="s">
        <v>611</v>
      </c>
      <c r="D361" t="s">
        <v>1701</v>
      </c>
      <c r="E361" t="s">
        <v>68</v>
      </c>
      <c r="F361" t="s">
        <v>1702</v>
      </c>
      <c r="G361" t="s">
        <v>1703</v>
      </c>
      <c r="H361" s="1">
        <v>45839</v>
      </c>
      <c r="I361" t="s">
        <v>774</v>
      </c>
      <c r="J361" t="s">
        <v>211</v>
      </c>
      <c r="K361">
        <v>20</v>
      </c>
      <c r="L361">
        <v>43</v>
      </c>
      <c r="M361">
        <v>43</v>
      </c>
      <c r="N361" t="s">
        <v>659</v>
      </c>
      <c r="O361">
        <v>73</v>
      </c>
      <c r="P361">
        <v>6</v>
      </c>
      <c r="Q361" s="3">
        <v>0.78</v>
      </c>
    </row>
    <row r="362" spans="1:17" x14ac:dyDescent="0.35">
      <c r="A362" t="s">
        <v>1704</v>
      </c>
      <c r="B362" t="s">
        <v>18</v>
      </c>
      <c r="C362" t="s">
        <v>1619</v>
      </c>
      <c r="D362" t="s">
        <v>1705</v>
      </c>
      <c r="E362" t="s">
        <v>30</v>
      </c>
      <c r="F362" t="s">
        <v>1706</v>
      </c>
      <c r="G362" t="s">
        <v>1707</v>
      </c>
      <c r="H362" s="1">
        <v>45839</v>
      </c>
      <c r="I362" s="1">
        <v>45418</v>
      </c>
      <c r="J362" s="1">
        <v>45448</v>
      </c>
      <c r="K362">
        <v>87</v>
      </c>
      <c r="L362">
        <v>51</v>
      </c>
      <c r="M362">
        <v>67</v>
      </c>
      <c r="N362" t="s">
        <v>82</v>
      </c>
      <c r="O362">
        <v>55</v>
      </c>
      <c r="P362">
        <v>100</v>
      </c>
      <c r="Q362" s="3">
        <v>0.92</v>
      </c>
    </row>
    <row r="363" spans="1:17" x14ac:dyDescent="0.35">
      <c r="A363" t="s">
        <v>289</v>
      </c>
      <c r="B363" t="s">
        <v>114</v>
      </c>
      <c r="C363" t="s">
        <v>481</v>
      </c>
      <c r="D363" t="s">
        <v>1708</v>
      </c>
      <c r="E363" t="s">
        <v>30</v>
      </c>
      <c r="F363" t="s">
        <v>1709</v>
      </c>
      <c r="G363" t="s">
        <v>1710</v>
      </c>
      <c r="H363" s="1">
        <v>45839</v>
      </c>
      <c r="I363" t="s">
        <v>1291</v>
      </c>
      <c r="J363" s="1">
        <v>45300</v>
      </c>
      <c r="K363">
        <v>23</v>
      </c>
      <c r="L363">
        <v>76</v>
      </c>
      <c r="M363">
        <v>70</v>
      </c>
      <c r="N363" t="s">
        <v>73</v>
      </c>
      <c r="O363">
        <v>97</v>
      </c>
      <c r="P363">
        <v>38</v>
      </c>
      <c r="Q363" s="3">
        <v>-0.82</v>
      </c>
    </row>
    <row r="364" spans="1:17" x14ac:dyDescent="0.35">
      <c r="A364" t="s">
        <v>106</v>
      </c>
      <c r="B364" t="s">
        <v>18</v>
      </c>
      <c r="C364" t="s">
        <v>857</v>
      </c>
      <c r="D364" t="s">
        <v>1711</v>
      </c>
      <c r="E364" t="s">
        <v>30</v>
      </c>
      <c r="F364" t="s">
        <v>1712</v>
      </c>
      <c r="G364" t="s">
        <v>1713</v>
      </c>
      <c r="H364" s="1">
        <v>45840</v>
      </c>
      <c r="I364" t="s">
        <v>932</v>
      </c>
      <c r="J364" t="s">
        <v>343</v>
      </c>
      <c r="K364">
        <v>92</v>
      </c>
      <c r="L364">
        <v>54</v>
      </c>
      <c r="M364">
        <v>73</v>
      </c>
      <c r="N364" t="s">
        <v>1608</v>
      </c>
      <c r="O364">
        <v>79</v>
      </c>
      <c r="P364">
        <v>1</v>
      </c>
      <c r="Q364" s="3">
        <v>0.61</v>
      </c>
    </row>
    <row r="365" spans="1:17" x14ac:dyDescent="0.35">
      <c r="A365" t="s">
        <v>1371</v>
      </c>
      <c r="B365" t="s">
        <v>36</v>
      </c>
      <c r="C365" t="s">
        <v>1714</v>
      </c>
      <c r="D365" t="s">
        <v>1715</v>
      </c>
      <c r="E365" t="s">
        <v>68</v>
      </c>
      <c r="F365" t="s">
        <v>1716</v>
      </c>
      <c r="G365" t="s">
        <v>1717</v>
      </c>
      <c r="H365" s="1">
        <v>45840</v>
      </c>
      <c r="I365" t="s">
        <v>1718</v>
      </c>
      <c r="J365" t="s">
        <v>1719</v>
      </c>
      <c r="K365">
        <v>22</v>
      </c>
      <c r="L365">
        <v>58</v>
      </c>
      <c r="M365">
        <v>2</v>
      </c>
      <c r="N365" t="s">
        <v>1376</v>
      </c>
      <c r="O365">
        <v>33</v>
      </c>
      <c r="P365">
        <v>68</v>
      </c>
      <c r="Q365" s="3">
        <v>0.99</v>
      </c>
    </row>
    <row r="366" spans="1:17" x14ac:dyDescent="0.35">
      <c r="A366" t="s">
        <v>188</v>
      </c>
      <c r="B366" t="s">
        <v>65</v>
      </c>
      <c r="C366" t="s">
        <v>19</v>
      </c>
      <c r="D366" t="s">
        <v>1720</v>
      </c>
      <c r="E366" t="s">
        <v>30</v>
      </c>
      <c r="F366" t="s">
        <v>1721</v>
      </c>
      <c r="G366" t="s">
        <v>1722</v>
      </c>
      <c r="H366" s="1">
        <v>45840</v>
      </c>
      <c r="I366" t="s">
        <v>1319</v>
      </c>
      <c r="J366" t="s">
        <v>837</v>
      </c>
      <c r="K366">
        <v>26</v>
      </c>
      <c r="L366">
        <v>83</v>
      </c>
      <c r="M366">
        <v>24</v>
      </c>
      <c r="N366" t="s">
        <v>193</v>
      </c>
      <c r="O366">
        <v>75</v>
      </c>
      <c r="P366">
        <v>12</v>
      </c>
      <c r="Q366" s="3">
        <v>-1.06</v>
      </c>
    </row>
    <row r="367" spans="1:17" x14ac:dyDescent="0.35">
      <c r="A367" t="s">
        <v>591</v>
      </c>
      <c r="B367" t="s">
        <v>18</v>
      </c>
      <c r="C367" t="s">
        <v>436</v>
      </c>
      <c r="D367" t="s">
        <v>1723</v>
      </c>
      <c r="E367" t="s">
        <v>21</v>
      </c>
      <c r="F367" t="s">
        <v>1724</v>
      </c>
      <c r="G367" t="s">
        <v>1725</v>
      </c>
      <c r="H367" s="1">
        <v>45870</v>
      </c>
      <c r="I367" t="s">
        <v>1558</v>
      </c>
      <c r="J367" t="s">
        <v>1726</v>
      </c>
      <c r="K367">
        <v>62</v>
      </c>
      <c r="L367">
        <v>44</v>
      </c>
      <c r="M367">
        <v>11</v>
      </c>
      <c r="N367" t="s">
        <v>1727</v>
      </c>
      <c r="O367">
        <v>92</v>
      </c>
      <c r="P367">
        <v>37</v>
      </c>
      <c r="Q367" s="3">
        <v>0.84</v>
      </c>
    </row>
    <row r="368" spans="1:17" x14ac:dyDescent="0.35">
      <c r="A368" t="s">
        <v>222</v>
      </c>
      <c r="B368" t="s">
        <v>65</v>
      </c>
      <c r="C368" t="s">
        <v>1728</v>
      </c>
      <c r="D368" t="s">
        <v>1729</v>
      </c>
      <c r="E368" t="s">
        <v>30</v>
      </c>
      <c r="F368" t="s">
        <v>1730</v>
      </c>
      <c r="G368" t="s">
        <v>1731</v>
      </c>
      <c r="H368" s="1">
        <v>45870</v>
      </c>
      <c r="I368" s="1">
        <v>45485</v>
      </c>
      <c r="J368" t="s">
        <v>381</v>
      </c>
      <c r="K368">
        <v>84</v>
      </c>
      <c r="L368">
        <v>91</v>
      </c>
      <c r="M368">
        <v>86</v>
      </c>
      <c r="N368" t="s">
        <v>49</v>
      </c>
      <c r="O368">
        <v>83</v>
      </c>
      <c r="P368">
        <v>95</v>
      </c>
      <c r="Q368" s="3">
        <v>0.6</v>
      </c>
    </row>
    <row r="369" spans="1:17" x14ac:dyDescent="0.35">
      <c r="A369" t="s">
        <v>435</v>
      </c>
      <c r="B369" t="s">
        <v>18</v>
      </c>
      <c r="C369" t="s">
        <v>703</v>
      </c>
      <c r="D369" t="s">
        <v>1732</v>
      </c>
      <c r="E369" t="s">
        <v>30</v>
      </c>
      <c r="F369" t="s">
        <v>1733</v>
      </c>
      <c r="G369" t="s">
        <v>1734</v>
      </c>
      <c r="H369" s="1">
        <v>45870</v>
      </c>
      <c r="I369" t="s">
        <v>258</v>
      </c>
      <c r="J369" s="1">
        <v>45544</v>
      </c>
      <c r="K369">
        <v>81</v>
      </c>
      <c r="L369">
        <v>87</v>
      </c>
      <c r="M369">
        <v>15</v>
      </c>
      <c r="N369" t="s">
        <v>344</v>
      </c>
      <c r="O369">
        <v>94</v>
      </c>
      <c r="P369">
        <v>10</v>
      </c>
      <c r="Q369" s="3">
        <v>-0.14000000000000001</v>
      </c>
    </row>
    <row r="370" spans="1:17" x14ac:dyDescent="0.35">
      <c r="A370" t="s">
        <v>842</v>
      </c>
      <c r="B370" t="s">
        <v>75</v>
      </c>
      <c r="C370" t="s">
        <v>115</v>
      </c>
      <c r="D370" t="s">
        <v>1735</v>
      </c>
      <c r="E370" t="s">
        <v>68</v>
      </c>
      <c r="F370" t="s">
        <v>1736</v>
      </c>
      <c r="G370" t="s">
        <v>1737</v>
      </c>
      <c r="H370" s="1">
        <v>45870</v>
      </c>
      <c r="I370" t="s">
        <v>1738</v>
      </c>
      <c r="J370" s="1">
        <v>45541</v>
      </c>
      <c r="K370">
        <v>61</v>
      </c>
      <c r="L370">
        <v>91</v>
      </c>
      <c r="M370">
        <v>40</v>
      </c>
      <c r="N370" t="s">
        <v>88</v>
      </c>
      <c r="O370">
        <v>34</v>
      </c>
      <c r="P370">
        <v>76</v>
      </c>
      <c r="Q370" s="3">
        <v>0.89</v>
      </c>
    </row>
    <row r="371" spans="1:17" x14ac:dyDescent="0.35">
      <c r="A371" t="s">
        <v>96</v>
      </c>
      <c r="B371" t="s">
        <v>36</v>
      </c>
      <c r="C371" t="s">
        <v>1739</v>
      </c>
      <c r="D371" t="s">
        <v>1740</v>
      </c>
      <c r="E371" t="s">
        <v>30</v>
      </c>
      <c r="F371" t="s">
        <v>1741</v>
      </c>
      <c r="G371" t="s">
        <v>1742</v>
      </c>
      <c r="H371" s="1">
        <v>45871</v>
      </c>
      <c r="I371" t="s">
        <v>489</v>
      </c>
      <c r="J371" t="s">
        <v>932</v>
      </c>
      <c r="K371">
        <v>70</v>
      </c>
      <c r="L371">
        <v>96</v>
      </c>
      <c r="M371">
        <v>35</v>
      </c>
      <c r="N371" t="s">
        <v>88</v>
      </c>
      <c r="O371">
        <v>63</v>
      </c>
      <c r="P371">
        <v>84</v>
      </c>
      <c r="Q371" s="3">
        <v>-1.24</v>
      </c>
    </row>
    <row r="372" spans="1:17" x14ac:dyDescent="0.35">
      <c r="A372" t="s">
        <v>142</v>
      </c>
      <c r="B372" t="s">
        <v>36</v>
      </c>
      <c r="C372" t="s">
        <v>1743</v>
      </c>
      <c r="D372" t="s">
        <v>1744</v>
      </c>
      <c r="E372" t="s">
        <v>21</v>
      </c>
      <c r="F372" t="s">
        <v>1745</v>
      </c>
      <c r="G372" t="s">
        <v>1746</v>
      </c>
      <c r="H372" s="1">
        <v>45901</v>
      </c>
      <c r="I372" t="s">
        <v>879</v>
      </c>
      <c r="J372" t="s">
        <v>1747</v>
      </c>
      <c r="K372">
        <v>49</v>
      </c>
      <c r="L372">
        <v>28</v>
      </c>
      <c r="M372">
        <v>74</v>
      </c>
      <c r="N372" t="s">
        <v>344</v>
      </c>
      <c r="O372">
        <v>70</v>
      </c>
      <c r="P372">
        <v>38</v>
      </c>
      <c r="Q372" s="3">
        <v>-0.33</v>
      </c>
    </row>
    <row r="373" spans="1:17" x14ac:dyDescent="0.35">
      <c r="A373" t="s">
        <v>200</v>
      </c>
      <c r="B373" t="s">
        <v>163</v>
      </c>
      <c r="C373" t="s">
        <v>1411</v>
      </c>
      <c r="D373" t="s">
        <v>1748</v>
      </c>
      <c r="E373" t="s">
        <v>68</v>
      </c>
      <c r="F373" t="s">
        <v>1749</v>
      </c>
      <c r="G373" t="s">
        <v>1750</v>
      </c>
      <c r="H373" s="1">
        <v>45901</v>
      </c>
      <c r="I373" s="1">
        <v>45389</v>
      </c>
      <c r="J373" s="1">
        <v>45333</v>
      </c>
      <c r="K373">
        <v>20</v>
      </c>
      <c r="L373">
        <v>68</v>
      </c>
      <c r="M373">
        <v>20</v>
      </c>
      <c r="N373" t="s">
        <v>42</v>
      </c>
      <c r="O373">
        <v>38</v>
      </c>
      <c r="P373">
        <v>51</v>
      </c>
      <c r="Q373" s="3">
        <v>0.46</v>
      </c>
    </row>
    <row r="374" spans="1:17" x14ac:dyDescent="0.35">
      <c r="A374" t="s">
        <v>188</v>
      </c>
      <c r="B374" t="s">
        <v>65</v>
      </c>
      <c r="C374" t="s">
        <v>1261</v>
      </c>
      <c r="D374" t="s">
        <v>1751</v>
      </c>
      <c r="E374" t="s">
        <v>68</v>
      </c>
      <c r="F374" t="s">
        <v>1752</v>
      </c>
      <c r="G374" t="s">
        <v>1753</v>
      </c>
      <c r="H374" s="1">
        <v>45901</v>
      </c>
      <c r="I374" t="s">
        <v>369</v>
      </c>
      <c r="J374" t="s">
        <v>1754</v>
      </c>
      <c r="K374">
        <v>50</v>
      </c>
      <c r="L374">
        <v>14</v>
      </c>
      <c r="M374">
        <v>99</v>
      </c>
      <c r="N374" t="s">
        <v>193</v>
      </c>
      <c r="O374">
        <v>52</v>
      </c>
      <c r="P374">
        <v>75</v>
      </c>
      <c r="Q374" s="3">
        <v>-0.34</v>
      </c>
    </row>
    <row r="375" spans="1:17" x14ac:dyDescent="0.35">
      <c r="A375" t="s">
        <v>1341</v>
      </c>
      <c r="B375" t="s">
        <v>18</v>
      </c>
      <c r="C375" t="s">
        <v>1117</v>
      </c>
      <c r="D375" t="s">
        <v>1755</v>
      </c>
      <c r="E375" t="s">
        <v>30</v>
      </c>
      <c r="F375" t="s">
        <v>1756</v>
      </c>
      <c r="G375" t="s">
        <v>1757</v>
      </c>
      <c r="H375" s="1">
        <v>45901</v>
      </c>
      <c r="I375" s="1">
        <v>45479</v>
      </c>
      <c r="J375" t="s">
        <v>234</v>
      </c>
      <c r="K375">
        <v>63</v>
      </c>
      <c r="L375">
        <v>56</v>
      </c>
      <c r="M375">
        <v>33</v>
      </c>
      <c r="N375" t="s">
        <v>128</v>
      </c>
      <c r="O375">
        <v>35</v>
      </c>
      <c r="P375">
        <v>16</v>
      </c>
      <c r="Q375" s="3">
        <v>-0.44</v>
      </c>
    </row>
    <row r="376" spans="1:17" x14ac:dyDescent="0.35">
      <c r="A376" t="s">
        <v>975</v>
      </c>
      <c r="B376" t="s">
        <v>18</v>
      </c>
      <c r="C376" t="s">
        <v>229</v>
      </c>
      <c r="D376" t="s">
        <v>1758</v>
      </c>
      <c r="E376" t="s">
        <v>68</v>
      </c>
      <c r="F376" t="s">
        <v>1759</v>
      </c>
      <c r="G376" t="s">
        <v>1760</v>
      </c>
      <c r="H376" s="1">
        <v>45901</v>
      </c>
      <c r="I376" t="s">
        <v>252</v>
      </c>
      <c r="J376" t="s">
        <v>639</v>
      </c>
      <c r="K376">
        <v>42</v>
      </c>
      <c r="L376">
        <v>48</v>
      </c>
      <c r="M376">
        <v>18</v>
      </c>
      <c r="N376" t="s">
        <v>34</v>
      </c>
      <c r="O376">
        <v>39</v>
      </c>
      <c r="P376">
        <v>57</v>
      </c>
      <c r="Q376" s="3">
        <v>0.54</v>
      </c>
    </row>
    <row r="377" spans="1:17" x14ac:dyDescent="0.35">
      <c r="A377" t="s">
        <v>496</v>
      </c>
      <c r="B377" t="s">
        <v>18</v>
      </c>
      <c r="C377" t="s">
        <v>1004</v>
      </c>
      <c r="D377" t="s">
        <v>1761</v>
      </c>
      <c r="E377" t="s">
        <v>30</v>
      </c>
      <c r="F377" t="s">
        <v>1762</v>
      </c>
      <c r="G377" t="s">
        <v>1763</v>
      </c>
      <c r="H377" s="1">
        <v>45902</v>
      </c>
      <c r="I377" t="s">
        <v>488</v>
      </c>
      <c r="J377" t="s">
        <v>1178</v>
      </c>
      <c r="K377">
        <v>22</v>
      </c>
      <c r="L377">
        <v>69</v>
      </c>
      <c r="M377">
        <v>87</v>
      </c>
      <c r="N377" t="s">
        <v>502</v>
      </c>
      <c r="O377">
        <v>34</v>
      </c>
      <c r="P377">
        <v>26</v>
      </c>
      <c r="Q377" s="3">
        <v>-0.46</v>
      </c>
    </row>
    <row r="378" spans="1:17" x14ac:dyDescent="0.35">
      <c r="A378" t="s">
        <v>1527</v>
      </c>
      <c r="B378" t="s">
        <v>18</v>
      </c>
      <c r="C378" t="s">
        <v>1764</v>
      </c>
      <c r="D378" t="s">
        <v>1765</v>
      </c>
      <c r="E378" t="s">
        <v>21</v>
      </c>
      <c r="F378" t="s">
        <v>1766</v>
      </c>
      <c r="G378" t="s">
        <v>1767</v>
      </c>
      <c r="H378" s="1">
        <v>45902</v>
      </c>
      <c r="I378" t="s">
        <v>307</v>
      </c>
      <c r="J378" t="s">
        <v>276</v>
      </c>
      <c r="K378">
        <v>84</v>
      </c>
      <c r="L378">
        <v>28</v>
      </c>
      <c r="M378">
        <v>29</v>
      </c>
      <c r="N378" t="s">
        <v>1137</v>
      </c>
      <c r="O378">
        <v>54</v>
      </c>
      <c r="P378">
        <v>32</v>
      </c>
      <c r="Q378" s="3">
        <v>0.24</v>
      </c>
    </row>
    <row r="379" spans="1:17" x14ac:dyDescent="0.35">
      <c r="A379" t="s">
        <v>727</v>
      </c>
      <c r="B379" t="s">
        <v>36</v>
      </c>
      <c r="C379" t="s">
        <v>933</v>
      </c>
      <c r="D379" t="s">
        <v>1768</v>
      </c>
      <c r="E379" t="s">
        <v>21</v>
      </c>
      <c r="F379" t="s">
        <v>1769</v>
      </c>
      <c r="G379" t="s">
        <v>1770</v>
      </c>
      <c r="H379" s="1">
        <v>45902</v>
      </c>
      <c r="I379" s="1">
        <v>45599</v>
      </c>
      <c r="J379" t="s">
        <v>764</v>
      </c>
      <c r="K379">
        <v>93</v>
      </c>
      <c r="L379">
        <v>68</v>
      </c>
      <c r="M379">
        <v>71</v>
      </c>
      <c r="N379" t="s">
        <v>733</v>
      </c>
      <c r="O379">
        <v>30</v>
      </c>
      <c r="P379">
        <v>37</v>
      </c>
      <c r="Q379" s="3">
        <v>0.41</v>
      </c>
    </row>
    <row r="380" spans="1:17" x14ac:dyDescent="0.35">
      <c r="A380" t="s">
        <v>1030</v>
      </c>
      <c r="B380" t="s">
        <v>114</v>
      </c>
      <c r="C380" t="s">
        <v>1771</v>
      </c>
      <c r="D380" t="s">
        <v>1772</v>
      </c>
      <c r="E380" t="s">
        <v>30</v>
      </c>
      <c r="F380" t="s">
        <v>1773</v>
      </c>
      <c r="G380" t="s">
        <v>1774</v>
      </c>
      <c r="H380" s="1">
        <v>45931</v>
      </c>
      <c r="I380" s="1">
        <v>45422</v>
      </c>
      <c r="J380" t="s">
        <v>764</v>
      </c>
      <c r="K380">
        <v>46</v>
      </c>
      <c r="L380">
        <v>43</v>
      </c>
      <c r="M380">
        <v>46</v>
      </c>
      <c r="N380" t="s">
        <v>282</v>
      </c>
      <c r="O380">
        <v>68</v>
      </c>
      <c r="P380">
        <v>59</v>
      </c>
      <c r="Q380" s="3">
        <v>-0.23</v>
      </c>
    </row>
    <row r="381" spans="1:17" x14ac:dyDescent="0.35">
      <c r="A381" t="s">
        <v>1704</v>
      </c>
      <c r="B381" t="s">
        <v>18</v>
      </c>
      <c r="C381" t="s">
        <v>1775</v>
      </c>
      <c r="D381" t="s">
        <v>1776</v>
      </c>
      <c r="E381" t="s">
        <v>68</v>
      </c>
      <c r="F381" t="s">
        <v>1777</v>
      </c>
      <c r="G381" t="s">
        <v>1778</v>
      </c>
      <c r="H381" s="1">
        <v>45931</v>
      </c>
      <c r="I381" s="1">
        <v>45419</v>
      </c>
      <c r="J381" s="1">
        <v>45630</v>
      </c>
      <c r="K381">
        <v>42</v>
      </c>
      <c r="L381">
        <v>4</v>
      </c>
      <c r="M381">
        <v>53</v>
      </c>
      <c r="N381" t="s">
        <v>82</v>
      </c>
      <c r="O381">
        <v>37</v>
      </c>
      <c r="P381">
        <v>53</v>
      </c>
      <c r="Q381" s="3">
        <v>0.13</v>
      </c>
    </row>
    <row r="382" spans="1:17" x14ac:dyDescent="0.35">
      <c r="A382" t="s">
        <v>277</v>
      </c>
      <c r="B382" t="s">
        <v>114</v>
      </c>
      <c r="C382" t="s">
        <v>866</v>
      </c>
      <c r="D382" t="s">
        <v>1779</v>
      </c>
      <c r="E382" t="s">
        <v>68</v>
      </c>
      <c r="F382" t="s">
        <v>1780</v>
      </c>
      <c r="G382" t="s">
        <v>1781</v>
      </c>
      <c r="H382" s="1">
        <v>45931</v>
      </c>
      <c r="I382" s="1">
        <v>45299</v>
      </c>
      <c r="J382" s="1">
        <v>45357</v>
      </c>
      <c r="K382">
        <v>91</v>
      </c>
      <c r="L382">
        <v>71</v>
      </c>
      <c r="M382">
        <v>17</v>
      </c>
      <c r="N382" t="s">
        <v>282</v>
      </c>
      <c r="O382">
        <v>74</v>
      </c>
      <c r="P382">
        <v>57</v>
      </c>
      <c r="Q382" s="3">
        <v>-0.43</v>
      </c>
    </row>
    <row r="383" spans="1:17" x14ac:dyDescent="0.35">
      <c r="A383" t="s">
        <v>1782</v>
      </c>
      <c r="B383" t="s">
        <v>36</v>
      </c>
      <c r="C383" t="s">
        <v>1536</v>
      </c>
      <c r="D383" t="s">
        <v>1783</v>
      </c>
      <c r="E383" t="s">
        <v>21</v>
      </c>
      <c r="F383" t="s">
        <v>1784</v>
      </c>
      <c r="G383" t="s">
        <v>1785</v>
      </c>
      <c r="H383" s="1">
        <v>45932</v>
      </c>
      <c r="I383" s="1">
        <v>45568</v>
      </c>
      <c r="J383" s="1">
        <v>45332</v>
      </c>
      <c r="K383">
        <v>16</v>
      </c>
      <c r="L383">
        <v>56</v>
      </c>
      <c r="M383">
        <v>13</v>
      </c>
      <c r="N383" t="s">
        <v>1786</v>
      </c>
      <c r="O383">
        <v>56</v>
      </c>
      <c r="P383">
        <v>28</v>
      </c>
      <c r="Q383" s="3">
        <v>0.23</v>
      </c>
    </row>
    <row r="384" spans="1:17" x14ac:dyDescent="0.35">
      <c r="A384" t="s">
        <v>142</v>
      </c>
      <c r="B384" t="s">
        <v>36</v>
      </c>
      <c r="C384" t="s">
        <v>1657</v>
      </c>
      <c r="D384" t="s">
        <v>1787</v>
      </c>
      <c r="E384" t="s">
        <v>30</v>
      </c>
      <c r="F384" t="s">
        <v>1788</v>
      </c>
      <c r="G384" t="s">
        <v>1789</v>
      </c>
      <c r="H384" s="1">
        <v>45932</v>
      </c>
      <c r="I384" t="s">
        <v>258</v>
      </c>
      <c r="J384" t="s">
        <v>1790</v>
      </c>
      <c r="K384">
        <v>91</v>
      </c>
      <c r="L384">
        <v>14</v>
      </c>
      <c r="M384">
        <v>99</v>
      </c>
      <c r="N384" t="s">
        <v>344</v>
      </c>
      <c r="O384">
        <v>50</v>
      </c>
      <c r="P384">
        <v>5</v>
      </c>
      <c r="Q384" s="3">
        <v>0.5</v>
      </c>
    </row>
    <row r="385" spans="1:17" x14ac:dyDescent="0.35">
      <c r="A385" t="s">
        <v>435</v>
      </c>
      <c r="B385" t="s">
        <v>18</v>
      </c>
      <c r="C385" t="s">
        <v>178</v>
      </c>
      <c r="D385" t="s">
        <v>1791</v>
      </c>
      <c r="E385" t="s">
        <v>30</v>
      </c>
      <c r="F385" t="s">
        <v>1792</v>
      </c>
      <c r="G385" t="s">
        <v>1793</v>
      </c>
      <c r="H385" s="1">
        <v>45932</v>
      </c>
      <c r="I385" s="1">
        <v>45416</v>
      </c>
      <c r="J385" s="1">
        <v>45334</v>
      </c>
      <c r="K385">
        <v>26</v>
      </c>
      <c r="L385">
        <v>1</v>
      </c>
      <c r="M385">
        <v>9</v>
      </c>
      <c r="N385" t="s">
        <v>344</v>
      </c>
      <c r="O385">
        <v>82</v>
      </c>
      <c r="P385">
        <v>8</v>
      </c>
      <c r="Q385" s="3">
        <v>0.9</v>
      </c>
    </row>
    <row r="386" spans="1:17" x14ac:dyDescent="0.35">
      <c r="A386" t="s">
        <v>832</v>
      </c>
      <c r="B386" t="s">
        <v>18</v>
      </c>
      <c r="C386" t="s">
        <v>1794</v>
      </c>
      <c r="D386" t="s">
        <v>1795</v>
      </c>
      <c r="E386" t="s">
        <v>21</v>
      </c>
      <c r="F386" t="s">
        <v>1796</v>
      </c>
      <c r="G386" t="s">
        <v>1797</v>
      </c>
      <c r="H386" s="1">
        <v>45962</v>
      </c>
      <c r="I386" t="s">
        <v>175</v>
      </c>
      <c r="J386" s="1">
        <v>45570</v>
      </c>
      <c r="K386">
        <v>63</v>
      </c>
      <c r="L386">
        <v>57</v>
      </c>
      <c r="M386">
        <v>11</v>
      </c>
      <c r="N386" t="s">
        <v>1798</v>
      </c>
      <c r="O386">
        <v>20</v>
      </c>
      <c r="P386">
        <v>100</v>
      </c>
      <c r="Q386" s="3">
        <v>0.9</v>
      </c>
    </row>
    <row r="387" spans="1:17" x14ac:dyDescent="0.35">
      <c r="A387" t="s">
        <v>690</v>
      </c>
      <c r="B387" t="s">
        <v>36</v>
      </c>
      <c r="C387" t="s">
        <v>804</v>
      </c>
      <c r="D387" t="s">
        <v>1799</v>
      </c>
      <c r="E387" t="s">
        <v>30</v>
      </c>
      <c r="F387" t="s">
        <v>1800</v>
      </c>
      <c r="G387" t="s">
        <v>1801</v>
      </c>
      <c r="H387" s="1">
        <v>45962</v>
      </c>
      <c r="I387" s="1">
        <v>45325</v>
      </c>
      <c r="J387" s="1">
        <v>45631</v>
      </c>
      <c r="K387">
        <v>50</v>
      </c>
      <c r="L387">
        <v>93</v>
      </c>
      <c r="M387">
        <v>37</v>
      </c>
      <c r="N387" t="s">
        <v>512</v>
      </c>
      <c r="O387">
        <v>78</v>
      </c>
      <c r="P387">
        <v>79</v>
      </c>
      <c r="Q387" s="3">
        <v>-4</v>
      </c>
    </row>
    <row r="388" spans="1:17" x14ac:dyDescent="0.35">
      <c r="A388" t="s">
        <v>1030</v>
      </c>
      <c r="B388" t="s">
        <v>114</v>
      </c>
      <c r="C388" t="s">
        <v>51</v>
      </c>
      <c r="D388" t="s">
        <v>1802</v>
      </c>
      <c r="E388" t="s">
        <v>30</v>
      </c>
      <c r="F388" t="s">
        <v>1803</v>
      </c>
      <c r="G388" t="s">
        <v>1804</v>
      </c>
      <c r="H388" s="1">
        <v>45963</v>
      </c>
      <c r="I388" s="1">
        <v>45415</v>
      </c>
      <c r="J388" t="s">
        <v>111</v>
      </c>
      <c r="K388">
        <v>93</v>
      </c>
      <c r="L388">
        <v>55</v>
      </c>
      <c r="M388">
        <v>95</v>
      </c>
      <c r="N388" t="s">
        <v>1805</v>
      </c>
      <c r="O388">
        <v>56</v>
      </c>
      <c r="P388">
        <v>72</v>
      </c>
      <c r="Q388" s="3">
        <v>-0.01</v>
      </c>
    </row>
    <row r="389" spans="1:17" x14ac:dyDescent="0.35">
      <c r="A389" t="s">
        <v>314</v>
      </c>
      <c r="B389" t="s">
        <v>18</v>
      </c>
      <c r="C389" t="s">
        <v>1806</v>
      </c>
      <c r="D389" t="s">
        <v>1807</v>
      </c>
      <c r="E389" t="s">
        <v>68</v>
      </c>
      <c r="F389" t="s">
        <v>1808</v>
      </c>
      <c r="G389" t="s">
        <v>1809</v>
      </c>
      <c r="H389" s="1">
        <v>45992</v>
      </c>
      <c r="I389" s="1">
        <v>45630</v>
      </c>
      <c r="J389" t="s">
        <v>1718</v>
      </c>
      <c r="K389">
        <v>88</v>
      </c>
      <c r="L389">
        <v>56</v>
      </c>
      <c r="M389">
        <v>72</v>
      </c>
      <c r="N389" t="s">
        <v>34</v>
      </c>
      <c r="O389">
        <v>25</v>
      </c>
      <c r="P389">
        <v>36</v>
      </c>
      <c r="Q389" s="3">
        <v>-0.28999999999999998</v>
      </c>
    </row>
    <row r="390" spans="1:17" x14ac:dyDescent="0.35">
      <c r="A390" t="s">
        <v>496</v>
      </c>
      <c r="B390" t="s">
        <v>18</v>
      </c>
      <c r="C390" t="s">
        <v>1810</v>
      </c>
      <c r="D390" t="s">
        <v>1811</v>
      </c>
      <c r="E390" t="s">
        <v>30</v>
      </c>
      <c r="F390" t="s">
        <v>1812</v>
      </c>
      <c r="G390" t="s">
        <v>1813</v>
      </c>
      <c r="H390" s="1">
        <v>45993</v>
      </c>
      <c r="I390" t="s">
        <v>1162</v>
      </c>
      <c r="J390" t="s">
        <v>252</v>
      </c>
      <c r="K390">
        <v>54</v>
      </c>
      <c r="L390">
        <v>88</v>
      </c>
      <c r="M390">
        <v>43</v>
      </c>
      <c r="N390" t="s">
        <v>502</v>
      </c>
      <c r="O390">
        <v>81</v>
      </c>
      <c r="P390">
        <v>77</v>
      </c>
      <c r="Q390" s="3">
        <v>-0.44</v>
      </c>
    </row>
    <row r="391" spans="1:17" x14ac:dyDescent="0.35">
      <c r="A391" t="s">
        <v>89</v>
      </c>
      <c r="B391" t="s">
        <v>36</v>
      </c>
      <c r="C391" t="s">
        <v>1025</v>
      </c>
      <c r="D391" t="s">
        <v>1814</v>
      </c>
      <c r="E391" t="s">
        <v>21</v>
      </c>
      <c r="F391" t="s">
        <v>1815</v>
      </c>
      <c r="G391" t="s">
        <v>1816</v>
      </c>
      <c r="H391" s="1">
        <v>45993</v>
      </c>
      <c r="I391" s="1">
        <v>45480</v>
      </c>
      <c r="J391" s="1">
        <v>45359</v>
      </c>
      <c r="K391">
        <v>86</v>
      </c>
      <c r="L391">
        <v>20</v>
      </c>
      <c r="M391">
        <v>67</v>
      </c>
      <c r="N391" t="s">
        <v>370</v>
      </c>
      <c r="O391">
        <v>83</v>
      </c>
      <c r="P391">
        <v>82</v>
      </c>
      <c r="Q391" s="3">
        <v>0.05</v>
      </c>
    </row>
    <row r="392" spans="1:17" x14ac:dyDescent="0.35">
      <c r="A392" t="s">
        <v>122</v>
      </c>
      <c r="B392" t="s">
        <v>18</v>
      </c>
      <c r="C392" t="s">
        <v>728</v>
      </c>
      <c r="D392" t="s">
        <v>1817</v>
      </c>
      <c r="E392" t="s">
        <v>21</v>
      </c>
      <c r="F392" t="s">
        <v>1818</v>
      </c>
      <c r="G392" t="s">
        <v>1819</v>
      </c>
      <c r="H392" t="s">
        <v>1820</v>
      </c>
      <c r="I392" s="1">
        <v>45630</v>
      </c>
      <c r="J392" t="s">
        <v>566</v>
      </c>
      <c r="K392">
        <v>48</v>
      </c>
      <c r="L392">
        <v>27</v>
      </c>
      <c r="M392">
        <v>73</v>
      </c>
      <c r="N392" t="s">
        <v>1821</v>
      </c>
      <c r="O392">
        <v>52</v>
      </c>
      <c r="P392">
        <v>97</v>
      </c>
      <c r="Q392" s="3">
        <v>0.01</v>
      </c>
    </row>
    <row r="393" spans="1:17" x14ac:dyDescent="0.35">
      <c r="A393" t="s">
        <v>308</v>
      </c>
      <c r="B393" t="s">
        <v>27</v>
      </c>
      <c r="C393" t="s">
        <v>1822</v>
      </c>
      <c r="D393" t="s">
        <v>1823</v>
      </c>
      <c r="E393" t="s">
        <v>68</v>
      </c>
      <c r="F393" t="s">
        <v>1824</v>
      </c>
      <c r="G393" t="s">
        <v>1825</v>
      </c>
      <c r="H393" t="s">
        <v>1820</v>
      </c>
      <c r="I393" t="s">
        <v>325</v>
      </c>
      <c r="J393" t="s">
        <v>827</v>
      </c>
      <c r="K393">
        <v>89</v>
      </c>
      <c r="L393">
        <v>66</v>
      </c>
      <c r="M393">
        <v>28</v>
      </c>
      <c r="N393" t="s">
        <v>313</v>
      </c>
      <c r="O393">
        <v>39</v>
      </c>
      <c r="P393">
        <v>25</v>
      </c>
      <c r="Q393" s="3">
        <v>-0.87</v>
      </c>
    </row>
    <row r="394" spans="1:17" x14ac:dyDescent="0.35">
      <c r="A394" t="s">
        <v>222</v>
      </c>
      <c r="B394" t="s">
        <v>65</v>
      </c>
      <c r="C394" t="s">
        <v>630</v>
      </c>
      <c r="D394" t="s">
        <v>1826</v>
      </c>
      <c r="E394" t="s">
        <v>21</v>
      </c>
      <c r="F394" t="s">
        <v>1827</v>
      </c>
      <c r="G394" t="s">
        <v>1828</v>
      </c>
      <c r="H394" t="s">
        <v>879</v>
      </c>
      <c r="I394" s="1">
        <v>45392</v>
      </c>
      <c r="J394" s="1">
        <v>45839</v>
      </c>
      <c r="K394">
        <v>97</v>
      </c>
      <c r="L394">
        <v>41</v>
      </c>
      <c r="M394">
        <v>68</v>
      </c>
      <c r="N394" t="s">
        <v>49</v>
      </c>
      <c r="O394">
        <v>35</v>
      </c>
      <c r="P394">
        <v>16</v>
      </c>
      <c r="Q394" s="3">
        <v>0.36</v>
      </c>
    </row>
    <row r="395" spans="1:17" x14ac:dyDescent="0.35">
      <c r="A395" t="s">
        <v>842</v>
      </c>
      <c r="B395" t="s">
        <v>75</v>
      </c>
      <c r="C395" t="s">
        <v>1829</v>
      </c>
      <c r="D395" t="s">
        <v>1830</v>
      </c>
      <c r="E395" t="s">
        <v>68</v>
      </c>
      <c r="F395" t="s">
        <v>1831</v>
      </c>
      <c r="G395" t="s">
        <v>1832</v>
      </c>
      <c r="H395" t="s">
        <v>879</v>
      </c>
      <c r="I395" t="s">
        <v>639</v>
      </c>
      <c r="J395" s="1">
        <v>45538</v>
      </c>
      <c r="K395">
        <v>84</v>
      </c>
      <c r="L395">
        <v>8</v>
      </c>
      <c r="M395">
        <v>54</v>
      </c>
      <c r="N395" t="s">
        <v>88</v>
      </c>
      <c r="O395">
        <v>60</v>
      </c>
      <c r="P395">
        <v>38</v>
      </c>
      <c r="Q395" s="3">
        <v>0.54</v>
      </c>
    </row>
    <row r="396" spans="1:17" x14ac:dyDescent="0.35">
      <c r="A396" t="s">
        <v>880</v>
      </c>
      <c r="B396" t="s">
        <v>27</v>
      </c>
      <c r="C396" t="s">
        <v>1206</v>
      </c>
      <c r="D396" t="s">
        <v>1833</v>
      </c>
      <c r="E396" t="s">
        <v>30</v>
      </c>
      <c r="F396" t="s">
        <v>1834</v>
      </c>
      <c r="G396" t="s">
        <v>1835</v>
      </c>
      <c r="H396" t="s">
        <v>879</v>
      </c>
      <c r="I396" t="s">
        <v>1836</v>
      </c>
      <c r="J396" t="s">
        <v>168</v>
      </c>
      <c r="K396">
        <v>69</v>
      </c>
      <c r="L396">
        <v>17</v>
      </c>
      <c r="M396">
        <v>27</v>
      </c>
      <c r="N396" t="s">
        <v>884</v>
      </c>
      <c r="O396">
        <v>79</v>
      </c>
      <c r="P396">
        <v>75</v>
      </c>
      <c r="Q396" s="3">
        <v>0.37</v>
      </c>
    </row>
    <row r="397" spans="1:17" x14ac:dyDescent="0.35">
      <c r="A397" t="s">
        <v>619</v>
      </c>
      <c r="B397" t="s">
        <v>18</v>
      </c>
      <c r="C397" t="s">
        <v>1837</v>
      </c>
      <c r="D397" t="s">
        <v>1838</v>
      </c>
      <c r="E397" t="s">
        <v>21</v>
      </c>
      <c r="F397" t="s">
        <v>1839</v>
      </c>
      <c r="G397" t="s">
        <v>1840</v>
      </c>
      <c r="H397" t="s">
        <v>879</v>
      </c>
      <c r="I397" t="s">
        <v>1407</v>
      </c>
      <c r="J397" t="s">
        <v>605</v>
      </c>
      <c r="K397">
        <v>80</v>
      </c>
      <c r="L397">
        <v>6</v>
      </c>
      <c r="M397">
        <v>92</v>
      </c>
      <c r="N397" t="s">
        <v>73</v>
      </c>
      <c r="O397">
        <v>26</v>
      </c>
      <c r="P397">
        <v>71</v>
      </c>
      <c r="Q397" s="3">
        <v>0.05</v>
      </c>
    </row>
    <row r="398" spans="1:17" x14ac:dyDescent="0.35">
      <c r="A398" t="s">
        <v>314</v>
      </c>
      <c r="B398" t="s">
        <v>18</v>
      </c>
      <c r="C398" t="s">
        <v>1841</v>
      </c>
      <c r="D398" t="s">
        <v>1842</v>
      </c>
      <c r="E398" t="s">
        <v>30</v>
      </c>
      <c r="F398" t="s">
        <v>1843</v>
      </c>
      <c r="G398" t="s">
        <v>1844</v>
      </c>
      <c r="H398" t="s">
        <v>444</v>
      </c>
      <c r="I398" t="s">
        <v>958</v>
      </c>
      <c r="J398" s="1">
        <v>45632</v>
      </c>
      <c r="K398">
        <v>22</v>
      </c>
      <c r="L398">
        <v>22</v>
      </c>
      <c r="M398">
        <v>65</v>
      </c>
      <c r="N398" t="s">
        <v>34</v>
      </c>
      <c r="O398">
        <v>62</v>
      </c>
      <c r="P398">
        <v>78</v>
      </c>
      <c r="Q398" s="3">
        <v>-1.73</v>
      </c>
    </row>
    <row r="399" spans="1:17" x14ac:dyDescent="0.35">
      <c r="A399" t="s">
        <v>228</v>
      </c>
      <c r="B399" t="s">
        <v>18</v>
      </c>
      <c r="C399" t="s">
        <v>620</v>
      </c>
      <c r="D399" t="s">
        <v>1845</v>
      </c>
      <c r="E399" t="s">
        <v>21</v>
      </c>
      <c r="F399" t="s">
        <v>1846</v>
      </c>
      <c r="G399" t="s">
        <v>1847</v>
      </c>
      <c r="H399" t="s">
        <v>398</v>
      </c>
      <c r="I399" t="s">
        <v>398</v>
      </c>
      <c r="J399" s="1">
        <v>45385</v>
      </c>
      <c r="K399">
        <v>28</v>
      </c>
      <c r="L399">
        <v>5</v>
      </c>
      <c r="M399">
        <v>9</v>
      </c>
      <c r="N399" t="s">
        <v>235</v>
      </c>
      <c r="O399">
        <v>33</v>
      </c>
      <c r="P399">
        <v>9</v>
      </c>
      <c r="Q399" s="3">
        <v>-0.26</v>
      </c>
    </row>
    <row r="400" spans="1:17" x14ac:dyDescent="0.35">
      <c r="A400" t="s">
        <v>1704</v>
      </c>
      <c r="B400" t="s">
        <v>18</v>
      </c>
      <c r="C400" t="s">
        <v>1411</v>
      </c>
      <c r="D400" t="s">
        <v>1848</v>
      </c>
      <c r="E400" t="s">
        <v>68</v>
      </c>
      <c r="F400" t="s">
        <v>1849</v>
      </c>
      <c r="G400" t="s">
        <v>1850</v>
      </c>
      <c r="H400" t="s">
        <v>932</v>
      </c>
      <c r="I400" t="s">
        <v>187</v>
      </c>
      <c r="J400" t="s">
        <v>1754</v>
      </c>
      <c r="K400">
        <v>23</v>
      </c>
      <c r="L400">
        <v>38</v>
      </c>
      <c r="M400">
        <v>54</v>
      </c>
      <c r="N400" t="s">
        <v>82</v>
      </c>
      <c r="O400">
        <v>40</v>
      </c>
      <c r="P400">
        <v>15</v>
      </c>
      <c r="Q400" s="3">
        <v>0.73</v>
      </c>
    </row>
    <row r="401" spans="1:17" x14ac:dyDescent="0.35">
      <c r="A401" t="s">
        <v>17</v>
      </c>
      <c r="B401" t="s">
        <v>18</v>
      </c>
      <c r="C401" t="s">
        <v>1851</v>
      </c>
      <c r="D401" t="s">
        <v>1852</v>
      </c>
      <c r="E401" t="s">
        <v>30</v>
      </c>
      <c r="F401" t="s">
        <v>1853</v>
      </c>
      <c r="G401" t="s">
        <v>1854</v>
      </c>
      <c r="H401" t="s">
        <v>932</v>
      </c>
      <c r="I401" t="s">
        <v>605</v>
      </c>
      <c r="J401" t="s">
        <v>670</v>
      </c>
      <c r="K401">
        <v>26</v>
      </c>
      <c r="L401">
        <v>12</v>
      </c>
      <c r="M401">
        <v>43</v>
      </c>
      <c r="N401" t="s">
        <v>1137</v>
      </c>
      <c r="O401">
        <v>73</v>
      </c>
      <c r="P401">
        <v>20</v>
      </c>
      <c r="Q401" s="3">
        <v>0.63</v>
      </c>
    </row>
    <row r="402" spans="1:17" x14ac:dyDescent="0.35">
      <c r="A402" t="s">
        <v>96</v>
      </c>
      <c r="B402" t="s">
        <v>36</v>
      </c>
      <c r="C402" t="s">
        <v>1855</v>
      </c>
      <c r="D402" t="s">
        <v>1856</v>
      </c>
      <c r="E402" t="s">
        <v>30</v>
      </c>
      <c r="F402" t="s">
        <v>1857</v>
      </c>
      <c r="G402" t="s">
        <v>1858</v>
      </c>
      <c r="H402" t="s">
        <v>932</v>
      </c>
      <c r="I402" t="s">
        <v>543</v>
      </c>
      <c r="J402" t="s">
        <v>756</v>
      </c>
      <c r="K402">
        <v>85</v>
      </c>
      <c r="L402">
        <v>28</v>
      </c>
      <c r="M402">
        <v>32</v>
      </c>
      <c r="N402" t="s">
        <v>1859</v>
      </c>
      <c r="O402">
        <v>57</v>
      </c>
      <c r="P402">
        <v>41</v>
      </c>
      <c r="Q402" s="3">
        <v>0.73</v>
      </c>
    </row>
    <row r="403" spans="1:17" x14ac:dyDescent="0.35">
      <c r="A403" t="s">
        <v>1782</v>
      </c>
      <c r="B403" t="s">
        <v>36</v>
      </c>
      <c r="C403" t="s">
        <v>130</v>
      </c>
      <c r="D403" t="s">
        <v>1860</v>
      </c>
      <c r="E403" t="s">
        <v>21</v>
      </c>
      <c r="F403" t="s">
        <v>1861</v>
      </c>
      <c r="G403" t="s">
        <v>1862</v>
      </c>
      <c r="H403" t="s">
        <v>932</v>
      </c>
      <c r="I403" s="1">
        <v>45633</v>
      </c>
      <c r="J403" t="s">
        <v>1514</v>
      </c>
      <c r="K403">
        <v>55</v>
      </c>
      <c r="L403">
        <v>58</v>
      </c>
      <c r="M403">
        <v>6</v>
      </c>
      <c r="N403" t="s">
        <v>1786</v>
      </c>
      <c r="O403">
        <v>48</v>
      </c>
      <c r="P403">
        <v>17</v>
      </c>
      <c r="Q403" s="3">
        <v>0.28000000000000003</v>
      </c>
    </row>
    <row r="404" spans="1:17" x14ac:dyDescent="0.35">
      <c r="A404" t="s">
        <v>769</v>
      </c>
      <c r="B404" t="s">
        <v>36</v>
      </c>
      <c r="C404" t="s">
        <v>963</v>
      </c>
      <c r="D404" t="s">
        <v>1863</v>
      </c>
      <c r="E404" t="s">
        <v>30</v>
      </c>
      <c r="F404" t="s">
        <v>1864</v>
      </c>
      <c r="G404" t="s">
        <v>1865</v>
      </c>
      <c r="H404" t="s">
        <v>1431</v>
      </c>
      <c r="I404" t="s">
        <v>120</v>
      </c>
      <c r="J404" s="1">
        <v>45422</v>
      </c>
      <c r="K404">
        <v>72</v>
      </c>
      <c r="L404">
        <v>3</v>
      </c>
      <c r="M404">
        <v>10</v>
      </c>
      <c r="N404" t="s">
        <v>34</v>
      </c>
      <c r="O404">
        <v>52</v>
      </c>
      <c r="P404">
        <v>14</v>
      </c>
      <c r="Q404" s="3">
        <v>0.65</v>
      </c>
    </row>
    <row r="405" spans="1:17" x14ac:dyDescent="0.35">
      <c r="A405" t="s">
        <v>1311</v>
      </c>
      <c r="B405" t="s">
        <v>36</v>
      </c>
      <c r="C405" t="s">
        <v>123</v>
      </c>
      <c r="D405" t="s">
        <v>1866</v>
      </c>
      <c r="E405" t="s">
        <v>68</v>
      </c>
      <c r="F405" t="s">
        <v>1867</v>
      </c>
      <c r="G405" t="s">
        <v>1868</v>
      </c>
      <c r="H405" t="s">
        <v>1097</v>
      </c>
      <c r="I405" t="s">
        <v>336</v>
      </c>
      <c r="J405" t="s">
        <v>1869</v>
      </c>
      <c r="K405">
        <v>29</v>
      </c>
      <c r="L405">
        <v>4</v>
      </c>
      <c r="M405">
        <v>17</v>
      </c>
      <c r="N405" t="s">
        <v>798</v>
      </c>
      <c r="O405">
        <v>59</v>
      </c>
      <c r="P405">
        <v>52</v>
      </c>
      <c r="Q405" s="3">
        <v>0.73</v>
      </c>
    </row>
    <row r="406" spans="1:17" x14ac:dyDescent="0.35">
      <c r="A406" t="s">
        <v>228</v>
      </c>
      <c r="B406" t="s">
        <v>18</v>
      </c>
      <c r="C406" t="s">
        <v>1870</v>
      </c>
      <c r="D406" t="s">
        <v>1871</v>
      </c>
      <c r="E406" t="s">
        <v>30</v>
      </c>
      <c r="F406" t="s">
        <v>1872</v>
      </c>
      <c r="G406" t="s">
        <v>1873</v>
      </c>
      <c r="H406" t="s">
        <v>1097</v>
      </c>
      <c r="I406" s="1">
        <v>45992</v>
      </c>
      <c r="J406" t="s">
        <v>403</v>
      </c>
      <c r="K406">
        <v>47</v>
      </c>
      <c r="L406">
        <v>20</v>
      </c>
      <c r="M406">
        <v>65</v>
      </c>
      <c r="N406" t="s">
        <v>370</v>
      </c>
      <c r="O406">
        <v>49</v>
      </c>
      <c r="P406">
        <v>19</v>
      </c>
      <c r="Q406" s="3">
        <v>0.12</v>
      </c>
    </row>
    <row r="407" spans="1:17" x14ac:dyDescent="0.35">
      <c r="A407" t="s">
        <v>1157</v>
      </c>
      <c r="B407" t="s">
        <v>18</v>
      </c>
      <c r="C407" t="s">
        <v>1874</v>
      </c>
      <c r="D407" t="s">
        <v>1875</v>
      </c>
      <c r="E407" t="s">
        <v>68</v>
      </c>
      <c r="F407" t="s">
        <v>1876</v>
      </c>
      <c r="G407" t="s">
        <v>1877</v>
      </c>
      <c r="H407" t="s">
        <v>1097</v>
      </c>
      <c r="I407" s="1">
        <v>45446</v>
      </c>
      <c r="J407" s="1">
        <v>45294</v>
      </c>
      <c r="K407">
        <v>42</v>
      </c>
      <c r="L407">
        <v>69</v>
      </c>
      <c r="M407">
        <v>54</v>
      </c>
      <c r="N407" t="s">
        <v>1163</v>
      </c>
      <c r="O407">
        <v>43</v>
      </c>
      <c r="P407">
        <v>96</v>
      </c>
      <c r="Q407" s="3">
        <v>0.61</v>
      </c>
    </row>
    <row r="408" spans="1:17" x14ac:dyDescent="0.35">
      <c r="A408" t="s">
        <v>148</v>
      </c>
      <c r="B408" t="s">
        <v>18</v>
      </c>
      <c r="C408" t="s">
        <v>372</v>
      </c>
      <c r="D408" t="s">
        <v>1878</v>
      </c>
      <c r="E408" t="s">
        <v>30</v>
      </c>
      <c r="F408" t="s">
        <v>1879</v>
      </c>
      <c r="G408" t="s">
        <v>1880</v>
      </c>
      <c r="H408" t="s">
        <v>1097</v>
      </c>
      <c r="I408" t="s">
        <v>354</v>
      </c>
      <c r="J408" t="s">
        <v>808</v>
      </c>
      <c r="K408">
        <v>97</v>
      </c>
      <c r="L408">
        <v>52</v>
      </c>
      <c r="M408">
        <v>80</v>
      </c>
      <c r="N408" t="s">
        <v>153</v>
      </c>
      <c r="O408">
        <v>22</v>
      </c>
      <c r="P408">
        <v>90</v>
      </c>
      <c r="Q408" s="3">
        <v>-1.23</v>
      </c>
    </row>
    <row r="409" spans="1:17" x14ac:dyDescent="0.35">
      <c r="A409" t="s">
        <v>591</v>
      </c>
      <c r="B409" t="s">
        <v>36</v>
      </c>
      <c r="C409" t="s">
        <v>201</v>
      </c>
      <c r="D409" t="s">
        <v>1881</v>
      </c>
      <c r="E409" t="s">
        <v>21</v>
      </c>
      <c r="F409" t="s">
        <v>1882</v>
      </c>
      <c r="G409" t="s">
        <v>1883</v>
      </c>
      <c r="H409" t="s">
        <v>1407</v>
      </c>
      <c r="I409" s="1">
        <v>45482</v>
      </c>
      <c r="J409" t="s">
        <v>1038</v>
      </c>
      <c r="K409">
        <v>90</v>
      </c>
      <c r="L409">
        <v>62</v>
      </c>
      <c r="M409">
        <v>54</v>
      </c>
      <c r="N409" t="s">
        <v>153</v>
      </c>
      <c r="O409">
        <v>70</v>
      </c>
      <c r="P409">
        <v>83</v>
      </c>
      <c r="Q409" s="3">
        <v>-3.09</v>
      </c>
    </row>
    <row r="410" spans="1:17" x14ac:dyDescent="0.35">
      <c r="A410" t="s">
        <v>1003</v>
      </c>
      <c r="B410" t="s">
        <v>18</v>
      </c>
      <c r="C410" t="s">
        <v>1884</v>
      </c>
      <c r="D410" t="s">
        <v>1885</v>
      </c>
      <c r="E410" t="s">
        <v>21</v>
      </c>
      <c r="F410" t="s">
        <v>1886</v>
      </c>
      <c r="G410" t="s">
        <v>1887</v>
      </c>
      <c r="H410" t="s">
        <v>1407</v>
      </c>
      <c r="I410" t="s">
        <v>1888</v>
      </c>
      <c r="J410" s="1">
        <v>45992</v>
      </c>
      <c r="K410">
        <v>81</v>
      </c>
      <c r="L410">
        <v>74</v>
      </c>
      <c r="M410">
        <v>45</v>
      </c>
      <c r="N410" t="s">
        <v>282</v>
      </c>
      <c r="O410">
        <v>42</v>
      </c>
      <c r="P410">
        <v>23</v>
      </c>
      <c r="Q410" s="3">
        <v>-0.19</v>
      </c>
    </row>
    <row r="411" spans="1:17" x14ac:dyDescent="0.35">
      <c r="A411" t="s">
        <v>527</v>
      </c>
      <c r="B411" t="s">
        <v>65</v>
      </c>
      <c r="C411" t="s">
        <v>1889</v>
      </c>
      <c r="D411" t="s">
        <v>1890</v>
      </c>
      <c r="E411" t="s">
        <v>21</v>
      </c>
      <c r="F411" t="s">
        <v>1891</v>
      </c>
      <c r="G411" t="s">
        <v>1892</v>
      </c>
      <c r="H411" t="s">
        <v>785</v>
      </c>
      <c r="I411" t="s">
        <v>269</v>
      </c>
      <c r="J411" t="s">
        <v>281</v>
      </c>
      <c r="K411">
        <v>60</v>
      </c>
      <c r="L411">
        <v>90</v>
      </c>
      <c r="M411">
        <v>85</v>
      </c>
      <c r="N411" t="s">
        <v>153</v>
      </c>
      <c r="O411">
        <v>47</v>
      </c>
      <c r="P411">
        <v>9</v>
      </c>
      <c r="Q411" s="3">
        <v>0.45</v>
      </c>
    </row>
    <row r="412" spans="1:17" x14ac:dyDescent="0.35">
      <c r="A412" t="s">
        <v>832</v>
      </c>
      <c r="B412" t="s">
        <v>18</v>
      </c>
      <c r="C412" t="s">
        <v>1893</v>
      </c>
      <c r="D412" t="s">
        <v>1894</v>
      </c>
      <c r="E412" t="s">
        <v>30</v>
      </c>
      <c r="F412" t="s">
        <v>1895</v>
      </c>
      <c r="G412" t="s">
        <v>1896</v>
      </c>
      <c r="H412" t="s">
        <v>785</v>
      </c>
      <c r="I412" s="1">
        <v>45840</v>
      </c>
      <c r="J412" t="s">
        <v>307</v>
      </c>
      <c r="K412">
        <v>45</v>
      </c>
      <c r="L412">
        <v>24</v>
      </c>
      <c r="M412">
        <v>61</v>
      </c>
      <c r="N412" t="s">
        <v>344</v>
      </c>
      <c r="O412">
        <v>44</v>
      </c>
      <c r="P412">
        <v>34</v>
      </c>
      <c r="Q412" s="3">
        <v>0.81</v>
      </c>
    </row>
    <row r="413" spans="1:17" x14ac:dyDescent="0.35">
      <c r="A413" t="s">
        <v>89</v>
      </c>
      <c r="B413" t="s">
        <v>36</v>
      </c>
      <c r="C413" t="s">
        <v>19</v>
      </c>
      <c r="D413" t="s">
        <v>1897</v>
      </c>
      <c r="E413" t="s">
        <v>21</v>
      </c>
      <c r="F413" t="s">
        <v>1898</v>
      </c>
      <c r="G413" t="s">
        <v>1899</v>
      </c>
      <c r="H413" t="s">
        <v>785</v>
      </c>
      <c r="I413" s="1">
        <v>45574</v>
      </c>
      <c r="J413" t="s">
        <v>780</v>
      </c>
      <c r="K413">
        <v>92</v>
      </c>
      <c r="L413">
        <v>92</v>
      </c>
      <c r="M413">
        <v>28</v>
      </c>
      <c r="N413" t="s">
        <v>370</v>
      </c>
      <c r="O413">
        <v>50</v>
      </c>
      <c r="P413">
        <v>67</v>
      </c>
      <c r="Q413" s="3">
        <v>0.23</v>
      </c>
    </row>
    <row r="414" spans="1:17" x14ac:dyDescent="0.35">
      <c r="A414" t="s">
        <v>1900</v>
      </c>
      <c r="B414" t="s">
        <v>75</v>
      </c>
      <c r="C414" t="s">
        <v>1901</v>
      </c>
      <c r="D414" t="s">
        <v>1902</v>
      </c>
      <c r="E414" t="s">
        <v>21</v>
      </c>
      <c r="F414" t="s">
        <v>1903</v>
      </c>
      <c r="G414" t="s">
        <v>1904</v>
      </c>
      <c r="H414" t="s">
        <v>785</v>
      </c>
      <c r="I414" s="1">
        <v>45573</v>
      </c>
      <c r="J414" t="s">
        <v>1905</v>
      </c>
      <c r="K414">
        <v>76</v>
      </c>
      <c r="L414">
        <v>21</v>
      </c>
      <c r="M414">
        <v>3</v>
      </c>
      <c r="N414" t="s">
        <v>1906</v>
      </c>
      <c r="O414">
        <v>31</v>
      </c>
      <c r="P414">
        <v>47</v>
      </c>
      <c r="Q414" s="3">
        <v>-0.34</v>
      </c>
    </row>
    <row r="415" spans="1:17" x14ac:dyDescent="0.35">
      <c r="A415" t="s">
        <v>503</v>
      </c>
      <c r="B415" t="s">
        <v>27</v>
      </c>
      <c r="C415" t="s">
        <v>1697</v>
      </c>
      <c r="D415" t="s">
        <v>1907</v>
      </c>
      <c r="E415" t="s">
        <v>68</v>
      </c>
      <c r="F415" t="s">
        <v>1908</v>
      </c>
      <c r="G415" t="s">
        <v>1909</v>
      </c>
      <c r="H415" t="s">
        <v>785</v>
      </c>
      <c r="I415" t="s">
        <v>336</v>
      </c>
      <c r="J415" t="s">
        <v>1221</v>
      </c>
      <c r="K415">
        <v>80</v>
      </c>
      <c r="L415">
        <v>24</v>
      </c>
      <c r="M415">
        <v>60</v>
      </c>
      <c r="N415" t="s">
        <v>128</v>
      </c>
      <c r="O415">
        <v>98</v>
      </c>
      <c r="P415">
        <v>38</v>
      </c>
      <c r="Q415" s="3">
        <v>-0.52</v>
      </c>
    </row>
    <row r="416" spans="1:17" x14ac:dyDescent="0.35">
      <c r="A416" t="s">
        <v>247</v>
      </c>
      <c r="B416" t="s">
        <v>18</v>
      </c>
      <c r="C416" t="s">
        <v>213</v>
      </c>
      <c r="D416" t="s">
        <v>1910</v>
      </c>
      <c r="E416" t="s">
        <v>30</v>
      </c>
      <c r="F416" t="s">
        <v>1911</v>
      </c>
      <c r="G416" t="s">
        <v>1912</v>
      </c>
      <c r="H416" t="s">
        <v>1790</v>
      </c>
      <c r="I416" s="1">
        <v>45840</v>
      </c>
      <c r="J416" s="1">
        <v>45568</v>
      </c>
      <c r="K416">
        <v>21</v>
      </c>
      <c r="L416">
        <v>30</v>
      </c>
      <c r="M416">
        <v>32</v>
      </c>
      <c r="N416" t="s">
        <v>34</v>
      </c>
      <c r="O416">
        <v>43</v>
      </c>
      <c r="P416">
        <v>54</v>
      </c>
      <c r="Q416" s="3">
        <v>0.61</v>
      </c>
    </row>
    <row r="417" spans="1:17" x14ac:dyDescent="0.35">
      <c r="A417" t="s">
        <v>413</v>
      </c>
      <c r="B417" t="s">
        <v>65</v>
      </c>
      <c r="C417" t="s">
        <v>1604</v>
      </c>
      <c r="D417" t="s">
        <v>1913</v>
      </c>
      <c r="E417" t="s">
        <v>30</v>
      </c>
      <c r="F417" t="s">
        <v>1914</v>
      </c>
      <c r="G417" t="s">
        <v>1915</v>
      </c>
      <c r="H417" t="s">
        <v>1790</v>
      </c>
      <c r="I417" t="s">
        <v>812</v>
      </c>
      <c r="J417" s="1">
        <v>45297</v>
      </c>
      <c r="K417">
        <v>84</v>
      </c>
      <c r="L417">
        <v>69</v>
      </c>
      <c r="M417">
        <v>77</v>
      </c>
      <c r="N417" t="s">
        <v>134</v>
      </c>
      <c r="O417">
        <v>39</v>
      </c>
      <c r="P417">
        <v>69</v>
      </c>
      <c r="Q417" s="3">
        <v>-0.26</v>
      </c>
    </row>
    <row r="418" spans="1:17" x14ac:dyDescent="0.35">
      <c r="A418" t="s">
        <v>1440</v>
      </c>
      <c r="B418" t="s">
        <v>18</v>
      </c>
      <c r="C418" t="s">
        <v>1275</v>
      </c>
      <c r="D418" t="s">
        <v>1916</v>
      </c>
      <c r="E418" t="s">
        <v>68</v>
      </c>
      <c r="F418" t="s">
        <v>1917</v>
      </c>
      <c r="G418" t="s">
        <v>1918</v>
      </c>
      <c r="H418" t="s">
        <v>1790</v>
      </c>
      <c r="I418" s="1">
        <v>45992</v>
      </c>
      <c r="J418" t="s">
        <v>141</v>
      </c>
      <c r="K418">
        <v>58</v>
      </c>
      <c r="L418">
        <v>12</v>
      </c>
      <c r="M418">
        <v>99</v>
      </c>
      <c r="N418" t="s">
        <v>153</v>
      </c>
      <c r="O418">
        <v>71</v>
      </c>
      <c r="P418">
        <v>30</v>
      </c>
      <c r="Q418" s="3">
        <v>-0.77</v>
      </c>
    </row>
    <row r="419" spans="1:17" x14ac:dyDescent="0.35">
      <c r="A419" t="s">
        <v>1307</v>
      </c>
      <c r="B419" t="s">
        <v>163</v>
      </c>
      <c r="C419" t="s">
        <v>760</v>
      </c>
      <c r="D419" t="s">
        <v>1919</v>
      </c>
      <c r="E419" t="s">
        <v>30</v>
      </c>
      <c r="F419" t="s">
        <v>1920</v>
      </c>
      <c r="G419" t="s">
        <v>1921</v>
      </c>
      <c r="H419" t="s">
        <v>651</v>
      </c>
      <c r="I419" s="1">
        <v>45358</v>
      </c>
      <c r="J419" t="s">
        <v>227</v>
      </c>
      <c r="K419">
        <v>34</v>
      </c>
      <c r="L419">
        <v>47</v>
      </c>
      <c r="M419">
        <v>99</v>
      </c>
      <c r="N419" t="s">
        <v>798</v>
      </c>
      <c r="O419">
        <v>97</v>
      </c>
      <c r="P419">
        <v>47</v>
      </c>
      <c r="Q419" s="3">
        <v>0.57999999999999996</v>
      </c>
    </row>
    <row r="420" spans="1:17" x14ac:dyDescent="0.35">
      <c r="A420" t="s">
        <v>567</v>
      </c>
      <c r="B420" t="s">
        <v>65</v>
      </c>
      <c r="C420" t="s">
        <v>735</v>
      </c>
      <c r="D420" t="s">
        <v>1922</v>
      </c>
      <c r="E420" t="s">
        <v>68</v>
      </c>
      <c r="F420" t="s">
        <v>1923</v>
      </c>
      <c r="G420" t="s">
        <v>1924</v>
      </c>
      <c r="H420" t="s">
        <v>651</v>
      </c>
      <c r="I420" s="1">
        <v>45481</v>
      </c>
      <c r="J420" s="1">
        <v>45871</v>
      </c>
      <c r="K420">
        <v>54</v>
      </c>
      <c r="L420">
        <v>17</v>
      </c>
      <c r="M420">
        <v>90</v>
      </c>
      <c r="N420" t="s">
        <v>572</v>
      </c>
      <c r="O420">
        <v>60</v>
      </c>
      <c r="P420">
        <v>20</v>
      </c>
      <c r="Q420" s="3">
        <v>0.52</v>
      </c>
    </row>
    <row r="421" spans="1:17" x14ac:dyDescent="0.35">
      <c r="A421" t="s">
        <v>1234</v>
      </c>
      <c r="B421" t="s">
        <v>27</v>
      </c>
      <c r="C421" t="s">
        <v>1009</v>
      </c>
      <c r="D421" t="s">
        <v>1925</v>
      </c>
      <c r="E421" t="s">
        <v>30</v>
      </c>
      <c r="F421" t="s">
        <v>1926</v>
      </c>
      <c r="G421" t="s">
        <v>1927</v>
      </c>
      <c r="H421" t="s">
        <v>258</v>
      </c>
      <c r="I421" t="s">
        <v>361</v>
      </c>
      <c r="J421" t="s">
        <v>645</v>
      </c>
      <c r="K421">
        <v>17</v>
      </c>
      <c r="L421">
        <v>63</v>
      </c>
      <c r="M421">
        <v>66</v>
      </c>
      <c r="N421" t="s">
        <v>128</v>
      </c>
      <c r="O421">
        <v>23</v>
      </c>
      <c r="P421">
        <v>46</v>
      </c>
      <c r="Q421" s="3">
        <v>0.67</v>
      </c>
    </row>
    <row r="422" spans="1:17" x14ac:dyDescent="0.35">
      <c r="A422" t="s">
        <v>708</v>
      </c>
      <c r="B422" t="s">
        <v>163</v>
      </c>
      <c r="C422" t="s">
        <v>728</v>
      </c>
      <c r="D422" t="s">
        <v>1928</v>
      </c>
      <c r="E422" t="s">
        <v>30</v>
      </c>
      <c r="F422" t="s">
        <v>1929</v>
      </c>
      <c r="G422" t="s">
        <v>1930</v>
      </c>
      <c r="H422" t="s">
        <v>585</v>
      </c>
      <c r="I422" s="1">
        <v>45394</v>
      </c>
      <c r="J422" t="s">
        <v>600</v>
      </c>
      <c r="K422">
        <v>84</v>
      </c>
      <c r="L422">
        <v>13</v>
      </c>
      <c r="M422">
        <v>88</v>
      </c>
      <c r="N422" t="s">
        <v>713</v>
      </c>
      <c r="O422">
        <v>25</v>
      </c>
      <c r="P422">
        <v>34</v>
      </c>
      <c r="Q422" s="3">
        <v>-1</v>
      </c>
    </row>
    <row r="423" spans="1:17" x14ac:dyDescent="0.35">
      <c r="A423" t="s">
        <v>388</v>
      </c>
      <c r="B423" t="s">
        <v>75</v>
      </c>
      <c r="C423" t="s">
        <v>1554</v>
      </c>
      <c r="D423" t="s">
        <v>1931</v>
      </c>
      <c r="E423" t="s">
        <v>21</v>
      </c>
      <c r="F423" t="s">
        <v>1932</v>
      </c>
      <c r="G423" t="s">
        <v>1933</v>
      </c>
      <c r="H423" t="s">
        <v>585</v>
      </c>
      <c r="I423" s="1">
        <v>45325</v>
      </c>
      <c r="J423" s="1">
        <v>45446</v>
      </c>
      <c r="K423">
        <v>73</v>
      </c>
      <c r="L423">
        <v>31</v>
      </c>
      <c r="M423">
        <v>49</v>
      </c>
      <c r="N423" t="s">
        <v>344</v>
      </c>
      <c r="O423">
        <v>22</v>
      </c>
      <c r="P423">
        <v>47</v>
      </c>
      <c r="Q423" s="3">
        <v>-0.36</v>
      </c>
    </row>
    <row r="424" spans="1:17" x14ac:dyDescent="0.35">
      <c r="A424" t="s">
        <v>35</v>
      </c>
      <c r="B424" t="s">
        <v>36</v>
      </c>
      <c r="C424" t="s">
        <v>259</v>
      </c>
      <c r="D424" t="s">
        <v>1934</v>
      </c>
      <c r="E424" t="s">
        <v>68</v>
      </c>
      <c r="F424" t="s">
        <v>1935</v>
      </c>
      <c r="G424" t="s">
        <v>1936</v>
      </c>
      <c r="H424" t="s">
        <v>585</v>
      </c>
      <c r="I424" t="s">
        <v>522</v>
      </c>
      <c r="J424" s="1">
        <v>45451</v>
      </c>
      <c r="K424">
        <v>96</v>
      </c>
      <c r="L424">
        <v>9</v>
      </c>
      <c r="M424">
        <v>57</v>
      </c>
      <c r="N424" t="s">
        <v>1937</v>
      </c>
      <c r="O424">
        <v>78</v>
      </c>
      <c r="P424">
        <v>67</v>
      </c>
      <c r="Q424" s="3">
        <v>-1.1399999999999999</v>
      </c>
    </row>
    <row r="425" spans="1:17" x14ac:dyDescent="0.35">
      <c r="A425" t="s">
        <v>212</v>
      </c>
      <c r="B425" t="s">
        <v>75</v>
      </c>
      <c r="C425" t="s">
        <v>218</v>
      </c>
      <c r="D425" t="s">
        <v>1938</v>
      </c>
      <c r="E425" t="s">
        <v>68</v>
      </c>
      <c r="F425" t="s">
        <v>1939</v>
      </c>
      <c r="G425" t="s">
        <v>1940</v>
      </c>
      <c r="H425" t="s">
        <v>585</v>
      </c>
      <c r="I425" t="s">
        <v>175</v>
      </c>
      <c r="J425" t="s">
        <v>1296</v>
      </c>
      <c r="K425">
        <v>56</v>
      </c>
      <c r="L425">
        <v>59</v>
      </c>
      <c r="M425">
        <v>87</v>
      </c>
      <c r="N425" t="s">
        <v>57</v>
      </c>
      <c r="O425">
        <v>65</v>
      </c>
      <c r="P425">
        <v>45</v>
      </c>
      <c r="Q425" s="3">
        <v>0.14000000000000001</v>
      </c>
    </row>
    <row r="426" spans="1:17" x14ac:dyDescent="0.35">
      <c r="A426" t="s">
        <v>228</v>
      </c>
      <c r="B426" t="s">
        <v>18</v>
      </c>
      <c r="C426" t="s">
        <v>1025</v>
      </c>
      <c r="D426" t="s">
        <v>1941</v>
      </c>
      <c r="E426" t="s">
        <v>68</v>
      </c>
      <c r="F426" t="s">
        <v>1942</v>
      </c>
      <c r="G426" t="s">
        <v>1943</v>
      </c>
      <c r="H426" t="s">
        <v>585</v>
      </c>
      <c r="I426" s="1">
        <v>45361</v>
      </c>
      <c r="J426" s="1">
        <v>45296</v>
      </c>
      <c r="K426">
        <v>60</v>
      </c>
      <c r="L426">
        <v>63</v>
      </c>
      <c r="M426">
        <v>81</v>
      </c>
      <c r="N426" t="s">
        <v>235</v>
      </c>
      <c r="O426">
        <v>74</v>
      </c>
      <c r="P426">
        <v>31</v>
      </c>
      <c r="Q426" s="3">
        <v>0.31</v>
      </c>
    </row>
    <row r="427" spans="1:17" x14ac:dyDescent="0.35">
      <c r="A427" t="s">
        <v>194</v>
      </c>
      <c r="B427" t="s">
        <v>114</v>
      </c>
      <c r="C427" t="s">
        <v>672</v>
      </c>
      <c r="D427" t="s">
        <v>1944</v>
      </c>
      <c r="E427" t="s">
        <v>68</v>
      </c>
      <c r="F427" t="s">
        <v>1945</v>
      </c>
      <c r="G427" t="s">
        <v>1946</v>
      </c>
      <c r="H427" t="s">
        <v>756</v>
      </c>
      <c r="I427" t="s">
        <v>1482</v>
      </c>
      <c r="J427" s="1">
        <v>45637</v>
      </c>
      <c r="K427">
        <v>41</v>
      </c>
      <c r="L427">
        <v>84</v>
      </c>
      <c r="M427">
        <v>90</v>
      </c>
      <c r="N427" t="s">
        <v>121</v>
      </c>
      <c r="O427">
        <v>42</v>
      </c>
      <c r="P427">
        <v>65</v>
      </c>
      <c r="Q427" s="3">
        <v>0.57999999999999996</v>
      </c>
    </row>
    <row r="428" spans="1:17" x14ac:dyDescent="0.35">
      <c r="A428" t="s">
        <v>1782</v>
      </c>
      <c r="B428" t="s">
        <v>36</v>
      </c>
      <c r="C428" t="s">
        <v>223</v>
      </c>
      <c r="D428" t="s">
        <v>1947</v>
      </c>
      <c r="E428" t="s">
        <v>21</v>
      </c>
      <c r="F428" t="s">
        <v>1948</v>
      </c>
      <c r="G428" t="s">
        <v>1949</v>
      </c>
      <c r="H428" t="s">
        <v>756</v>
      </c>
      <c r="I428" t="s">
        <v>1324</v>
      </c>
      <c r="J428" s="1">
        <v>45902</v>
      </c>
      <c r="K428">
        <v>45</v>
      </c>
      <c r="L428">
        <v>63</v>
      </c>
      <c r="M428">
        <v>75</v>
      </c>
      <c r="N428" t="s">
        <v>57</v>
      </c>
      <c r="O428">
        <v>83</v>
      </c>
      <c r="P428">
        <v>5</v>
      </c>
      <c r="Q428" s="3">
        <v>-0.55000000000000004</v>
      </c>
    </row>
    <row r="429" spans="1:17" x14ac:dyDescent="0.35">
      <c r="A429" t="s">
        <v>734</v>
      </c>
      <c r="B429" t="s">
        <v>163</v>
      </c>
      <c r="C429" t="s">
        <v>1950</v>
      </c>
      <c r="D429" t="s">
        <v>1951</v>
      </c>
      <c r="E429" t="s">
        <v>30</v>
      </c>
      <c r="F429" t="s">
        <v>1952</v>
      </c>
      <c r="G429" t="s">
        <v>1953</v>
      </c>
      <c r="H429" t="s">
        <v>756</v>
      </c>
      <c r="I429" s="1">
        <v>45422</v>
      </c>
      <c r="J429" s="1">
        <v>45485</v>
      </c>
      <c r="K429">
        <v>48</v>
      </c>
      <c r="L429">
        <v>77</v>
      </c>
      <c r="M429">
        <v>81</v>
      </c>
      <c r="N429" t="s">
        <v>1954</v>
      </c>
      <c r="O429">
        <v>70</v>
      </c>
      <c r="P429">
        <v>74</v>
      </c>
      <c r="Q429" s="3">
        <v>0.94</v>
      </c>
    </row>
    <row r="430" spans="1:17" x14ac:dyDescent="0.35">
      <c r="A430" t="s">
        <v>96</v>
      </c>
      <c r="B430" t="s">
        <v>36</v>
      </c>
      <c r="C430" t="s">
        <v>1955</v>
      </c>
      <c r="D430" t="s">
        <v>1956</v>
      </c>
      <c r="E430" t="s">
        <v>30</v>
      </c>
      <c r="F430" t="s">
        <v>1957</v>
      </c>
      <c r="G430" t="s">
        <v>1958</v>
      </c>
      <c r="H430" t="s">
        <v>756</v>
      </c>
      <c r="I430" t="s">
        <v>1959</v>
      </c>
      <c r="J430" t="s">
        <v>306</v>
      </c>
      <c r="K430">
        <v>21</v>
      </c>
      <c r="L430">
        <v>28</v>
      </c>
      <c r="M430">
        <v>72</v>
      </c>
      <c r="N430" t="s">
        <v>88</v>
      </c>
      <c r="O430">
        <v>69</v>
      </c>
      <c r="P430">
        <v>51</v>
      </c>
      <c r="Q430" s="3">
        <v>-0.06</v>
      </c>
    </row>
    <row r="431" spans="1:17" x14ac:dyDescent="0.35">
      <c r="A431" t="s">
        <v>58</v>
      </c>
      <c r="B431" t="s">
        <v>18</v>
      </c>
      <c r="C431" t="s">
        <v>1649</v>
      </c>
      <c r="D431" t="s">
        <v>1960</v>
      </c>
      <c r="E431" t="s">
        <v>30</v>
      </c>
      <c r="F431" t="s">
        <v>1961</v>
      </c>
      <c r="G431" t="s">
        <v>1962</v>
      </c>
      <c r="H431" t="s">
        <v>756</v>
      </c>
      <c r="I431" t="s">
        <v>1324</v>
      </c>
      <c r="J431" t="s">
        <v>1296</v>
      </c>
      <c r="K431">
        <v>65</v>
      </c>
      <c r="L431">
        <v>88</v>
      </c>
      <c r="M431">
        <v>20</v>
      </c>
      <c r="N431" t="s">
        <v>128</v>
      </c>
      <c r="O431">
        <v>89</v>
      </c>
      <c r="P431">
        <v>37</v>
      </c>
      <c r="Q431" s="3">
        <v>0.26</v>
      </c>
    </row>
    <row r="432" spans="1:17" x14ac:dyDescent="0.35">
      <c r="A432" t="s">
        <v>308</v>
      </c>
      <c r="B432" t="s">
        <v>27</v>
      </c>
      <c r="C432" t="s">
        <v>207</v>
      </c>
      <c r="D432" t="s">
        <v>1963</v>
      </c>
      <c r="E432" t="s">
        <v>68</v>
      </c>
      <c r="F432" t="s">
        <v>1964</v>
      </c>
      <c r="G432" t="s">
        <v>1965</v>
      </c>
      <c r="H432" t="s">
        <v>756</v>
      </c>
      <c r="I432" s="1">
        <v>45840</v>
      </c>
      <c r="J432" s="1">
        <v>45638</v>
      </c>
      <c r="K432">
        <v>14</v>
      </c>
      <c r="L432">
        <v>84</v>
      </c>
      <c r="M432">
        <v>15</v>
      </c>
      <c r="N432" t="s">
        <v>313</v>
      </c>
      <c r="O432">
        <v>51</v>
      </c>
      <c r="P432">
        <v>73</v>
      </c>
      <c r="Q432" s="3">
        <v>0.57999999999999996</v>
      </c>
    </row>
    <row r="433" spans="1:17" x14ac:dyDescent="0.35">
      <c r="A433" t="s">
        <v>413</v>
      </c>
      <c r="B433" t="s">
        <v>65</v>
      </c>
      <c r="C433" t="s">
        <v>963</v>
      </c>
      <c r="D433" t="s">
        <v>1966</v>
      </c>
      <c r="E433" t="s">
        <v>21</v>
      </c>
      <c r="F433" t="s">
        <v>1967</v>
      </c>
      <c r="G433" t="s">
        <v>1968</v>
      </c>
      <c r="H433" t="s">
        <v>71</v>
      </c>
      <c r="I433" t="s">
        <v>33</v>
      </c>
      <c r="J433" t="s">
        <v>1515</v>
      </c>
      <c r="K433">
        <v>47</v>
      </c>
      <c r="L433">
        <v>1</v>
      </c>
      <c r="M433">
        <v>60</v>
      </c>
      <c r="N433" t="s">
        <v>1182</v>
      </c>
      <c r="O433">
        <v>32</v>
      </c>
      <c r="P433">
        <v>87</v>
      </c>
      <c r="Q433" s="3">
        <v>-0.43</v>
      </c>
    </row>
    <row r="434" spans="1:17" x14ac:dyDescent="0.35">
      <c r="A434" t="s">
        <v>1003</v>
      </c>
      <c r="B434" t="s">
        <v>18</v>
      </c>
      <c r="C434" t="s">
        <v>937</v>
      </c>
      <c r="D434" t="s">
        <v>1969</v>
      </c>
      <c r="E434" t="s">
        <v>30</v>
      </c>
      <c r="F434" t="s">
        <v>1970</v>
      </c>
      <c r="G434" t="s">
        <v>1971</v>
      </c>
      <c r="H434" t="s">
        <v>71</v>
      </c>
      <c r="I434" t="s">
        <v>803</v>
      </c>
      <c r="J434" s="1">
        <v>45689</v>
      </c>
      <c r="K434">
        <v>71</v>
      </c>
      <c r="L434">
        <v>36</v>
      </c>
      <c r="M434">
        <v>45</v>
      </c>
      <c r="N434" t="s">
        <v>282</v>
      </c>
      <c r="O434">
        <v>87</v>
      </c>
      <c r="P434">
        <v>2</v>
      </c>
      <c r="Q434" s="3">
        <v>-1.72</v>
      </c>
    </row>
    <row r="435" spans="1:17" x14ac:dyDescent="0.35">
      <c r="A435" t="s">
        <v>331</v>
      </c>
      <c r="B435" t="s">
        <v>27</v>
      </c>
      <c r="C435" t="s">
        <v>136</v>
      </c>
      <c r="D435" t="s">
        <v>1972</v>
      </c>
      <c r="E435" t="s">
        <v>30</v>
      </c>
      <c r="F435" t="s">
        <v>1973</v>
      </c>
      <c r="G435" t="s">
        <v>1974</v>
      </c>
      <c r="H435" t="s">
        <v>1246</v>
      </c>
      <c r="I435" s="1">
        <v>45606</v>
      </c>
      <c r="J435" t="s">
        <v>1975</v>
      </c>
      <c r="K435">
        <v>64</v>
      </c>
      <c r="L435">
        <v>21</v>
      </c>
      <c r="M435">
        <v>13</v>
      </c>
      <c r="N435" t="s">
        <v>121</v>
      </c>
      <c r="O435">
        <v>51</v>
      </c>
      <c r="P435">
        <v>26</v>
      </c>
      <c r="Q435" s="3">
        <v>0.98</v>
      </c>
    </row>
    <row r="436" spans="1:17" x14ac:dyDescent="0.35">
      <c r="A436" t="s">
        <v>320</v>
      </c>
      <c r="B436" t="s">
        <v>36</v>
      </c>
      <c r="C436" t="s">
        <v>592</v>
      </c>
      <c r="D436" t="s">
        <v>1976</v>
      </c>
      <c r="E436" t="s">
        <v>21</v>
      </c>
      <c r="F436" t="s">
        <v>1977</v>
      </c>
      <c r="G436" t="s">
        <v>1978</v>
      </c>
      <c r="H436" t="s">
        <v>1246</v>
      </c>
      <c r="I436" t="s">
        <v>1306</v>
      </c>
      <c r="J436" t="s">
        <v>1427</v>
      </c>
      <c r="K436">
        <v>74</v>
      </c>
      <c r="L436">
        <v>65</v>
      </c>
      <c r="M436">
        <v>5</v>
      </c>
      <c r="N436" t="s">
        <v>57</v>
      </c>
      <c r="O436">
        <v>21</v>
      </c>
      <c r="P436">
        <v>42</v>
      </c>
      <c r="Q436" s="3">
        <v>0.49</v>
      </c>
    </row>
    <row r="437" spans="1:17" x14ac:dyDescent="0.35">
      <c r="A437" t="s">
        <v>142</v>
      </c>
      <c r="B437" t="s">
        <v>36</v>
      </c>
      <c r="C437" t="s">
        <v>1979</v>
      </c>
      <c r="D437" t="s">
        <v>1980</v>
      </c>
      <c r="E437" t="s">
        <v>21</v>
      </c>
      <c r="F437" t="s">
        <v>1981</v>
      </c>
      <c r="G437" t="s">
        <v>1982</v>
      </c>
      <c r="H437" t="s">
        <v>24</v>
      </c>
      <c r="I437" t="s">
        <v>903</v>
      </c>
      <c r="J437" t="s">
        <v>1983</v>
      </c>
      <c r="K437">
        <v>51</v>
      </c>
      <c r="L437">
        <v>53</v>
      </c>
      <c r="M437">
        <v>88</v>
      </c>
      <c r="N437" t="s">
        <v>344</v>
      </c>
      <c r="O437">
        <v>54</v>
      </c>
      <c r="P437">
        <v>59</v>
      </c>
      <c r="Q437" s="3">
        <v>-1</v>
      </c>
    </row>
    <row r="438" spans="1:17" x14ac:dyDescent="0.35">
      <c r="A438" t="s">
        <v>326</v>
      </c>
      <c r="B438" t="s">
        <v>18</v>
      </c>
      <c r="C438" t="s">
        <v>1739</v>
      </c>
      <c r="D438" t="s">
        <v>1984</v>
      </c>
      <c r="E438" t="s">
        <v>21</v>
      </c>
      <c r="F438" t="s">
        <v>1985</v>
      </c>
      <c r="G438" t="s">
        <v>1986</v>
      </c>
      <c r="H438" t="s">
        <v>24</v>
      </c>
      <c r="I438" s="1">
        <v>45514</v>
      </c>
      <c r="J438" s="1">
        <v>45478</v>
      </c>
      <c r="K438">
        <v>89</v>
      </c>
      <c r="L438">
        <v>35</v>
      </c>
      <c r="M438">
        <v>19</v>
      </c>
      <c r="N438" t="s">
        <v>73</v>
      </c>
      <c r="O438">
        <v>49</v>
      </c>
      <c r="P438">
        <v>55</v>
      </c>
      <c r="Q438" s="3">
        <v>-0.09</v>
      </c>
    </row>
    <row r="439" spans="1:17" x14ac:dyDescent="0.35">
      <c r="A439" t="s">
        <v>769</v>
      </c>
      <c r="B439" t="s">
        <v>36</v>
      </c>
      <c r="C439" t="s">
        <v>1987</v>
      </c>
      <c r="D439" t="s">
        <v>1988</v>
      </c>
      <c r="E439" t="s">
        <v>21</v>
      </c>
      <c r="F439" t="s">
        <v>1989</v>
      </c>
      <c r="G439" t="s">
        <v>1990</v>
      </c>
      <c r="H439" t="s">
        <v>808</v>
      </c>
      <c r="I439" s="1">
        <v>45394</v>
      </c>
      <c r="J439" s="1">
        <v>45571</v>
      </c>
      <c r="K439">
        <v>11</v>
      </c>
      <c r="L439">
        <v>9</v>
      </c>
      <c r="M439">
        <v>65</v>
      </c>
      <c r="N439" t="s">
        <v>34</v>
      </c>
      <c r="O439">
        <v>48</v>
      </c>
      <c r="P439">
        <v>96</v>
      </c>
      <c r="Q439" s="3">
        <v>-0.12</v>
      </c>
    </row>
    <row r="440" spans="1:17" x14ac:dyDescent="0.35">
      <c r="A440" t="s">
        <v>842</v>
      </c>
      <c r="B440" t="s">
        <v>75</v>
      </c>
      <c r="C440" t="s">
        <v>1991</v>
      </c>
      <c r="D440" t="s">
        <v>1992</v>
      </c>
      <c r="E440" t="s">
        <v>68</v>
      </c>
      <c r="F440" t="s">
        <v>1993</v>
      </c>
      <c r="G440" t="s">
        <v>1994</v>
      </c>
      <c r="H440" t="s">
        <v>808</v>
      </c>
      <c r="I440" t="s">
        <v>1959</v>
      </c>
      <c r="J440" t="s">
        <v>1738</v>
      </c>
      <c r="K440">
        <v>98</v>
      </c>
      <c r="L440">
        <v>100</v>
      </c>
      <c r="M440">
        <v>34</v>
      </c>
      <c r="N440" t="s">
        <v>88</v>
      </c>
      <c r="O440">
        <v>53</v>
      </c>
      <c r="P440">
        <v>20</v>
      </c>
      <c r="Q440" s="3">
        <v>-1</v>
      </c>
    </row>
    <row r="441" spans="1:17" x14ac:dyDescent="0.35">
      <c r="A441" t="s">
        <v>685</v>
      </c>
      <c r="B441" t="s">
        <v>114</v>
      </c>
      <c r="C441" t="s">
        <v>1995</v>
      </c>
      <c r="D441" t="s">
        <v>1996</v>
      </c>
      <c r="E441" t="s">
        <v>68</v>
      </c>
      <c r="F441" t="s">
        <v>1997</v>
      </c>
      <c r="G441" t="s">
        <v>1998</v>
      </c>
      <c r="H441" t="s">
        <v>319</v>
      </c>
      <c r="I441" t="s">
        <v>1125</v>
      </c>
      <c r="J441" t="s">
        <v>168</v>
      </c>
      <c r="K441">
        <v>50</v>
      </c>
      <c r="L441">
        <v>58</v>
      </c>
      <c r="M441">
        <v>78</v>
      </c>
      <c r="N441" t="s">
        <v>153</v>
      </c>
      <c r="O441">
        <v>83</v>
      </c>
      <c r="P441">
        <v>49</v>
      </c>
      <c r="Q441" s="3">
        <v>0.62</v>
      </c>
    </row>
    <row r="442" spans="1:17" x14ac:dyDescent="0.35">
      <c r="A442" t="s">
        <v>1307</v>
      </c>
      <c r="B442" t="s">
        <v>163</v>
      </c>
      <c r="C442" t="s">
        <v>1174</v>
      </c>
      <c r="D442" t="s">
        <v>1999</v>
      </c>
      <c r="E442" t="s">
        <v>68</v>
      </c>
      <c r="F442" t="s">
        <v>2000</v>
      </c>
      <c r="G442" t="s">
        <v>2001</v>
      </c>
      <c r="H442" t="s">
        <v>319</v>
      </c>
      <c r="I442" t="s">
        <v>24</v>
      </c>
      <c r="J442" t="s">
        <v>1324</v>
      </c>
      <c r="K442">
        <v>24</v>
      </c>
      <c r="L442">
        <v>27</v>
      </c>
      <c r="M442">
        <v>35</v>
      </c>
      <c r="N442" t="s">
        <v>798</v>
      </c>
      <c r="O442">
        <v>49</v>
      </c>
      <c r="P442">
        <v>58</v>
      </c>
      <c r="Q442" s="3">
        <v>0.41</v>
      </c>
    </row>
    <row r="443" spans="1:17" x14ac:dyDescent="0.35">
      <c r="A443" t="s">
        <v>786</v>
      </c>
      <c r="B443" t="s">
        <v>65</v>
      </c>
      <c r="C443" t="s">
        <v>2002</v>
      </c>
      <c r="D443" t="s">
        <v>2003</v>
      </c>
      <c r="E443" t="s">
        <v>68</v>
      </c>
      <c r="F443" t="s">
        <v>2004</v>
      </c>
      <c r="G443" t="s">
        <v>2005</v>
      </c>
      <c r="H443" t="s">
        <v>319</v>
      </c>
      <c r="I443" s="1">
        <v>45418</v>
      </c>
      <c r="J443" t="s">
        <v>658</v>
      </c>
      <c r="K443">
        <v>64</v>
      </c>
      <c r="L443">
        <v>10</v>
      </c>
      <c r="M443">
        <v>100</v>
      </c>
      <c r="N443" t="s">
        <v>128</v>
      </c>
      <c r="O443">
        <v>97</v>
      </c>
      <c r="P443">
        <v>52</v>
      </c>
      <c r="Q443" s="3">
        <v>-0.18</v>
      </c>
    </row>
    <row r="444" spans="1:17" x14ac:dyDescent="0.35">
      <c r="A444" t="s">
        <v>619</v>
      </c>
      <c r="B444" t="s">
        <v>18</v>
      </c>
      <c r="C444" t="s">
        <v>1794</v>
      </c>
      <c r="D444" t="s">
        <v>2006</v>
      </c>
      <c r="E444" t="s">
        <v>21</v>
      </c>
      <c r="F444" t="s">
        <v>2007</v>
      </c>
      <c r="G444" t="s">
        <v>2008</v>
      </c>
      <c r="H444" t="s">
        <v>319</v>
      </c>
      <c r="I444" t="s">
        <v>199</v>
      </c>
      <c r="J444" s="1">
        <v>45631</v>
      </c>
      <c r="K444">
        <v>34</v>
      </c>
      <c r="L444">
        <v>95</v>
      </c>
      <c r="M444">
        <v>18</v>
      </c>
      <c r="N444" t="s">
        <v>73</v>
      </c>
      <c r="O444">
        <v>41</v>
      </c>
      <c r="P444">
        <v>26</v>
      </c>
      <c r="Q444" s="3">
        <v>0.46</v>
      </c>
    </row>
    <row r="445" spans="1:17" x14ac:dyDescent="0.35">
      <c r="A445" t="s">
        <v>591</v>
      </c>
      <c r="B445" t="s">
        <v>36</v>
      </c>
      <c r="C445" t="s">
        <v>394</v>
      </c>
      <c r="D445" t="s">
        <v>2009</v>
      </c>
      <c r="E445" t="s">
        <v>68</v>
      </c>
      <c r="F445" t="s">
        <v>2010</v>
      </c>
      <c r="G445" t="s">
        <v>2011</v>
      </c>
      <c r="H445" t="s">
        <v>548</v>
      </c>
      <c r="I445" t="s">
        <v>2012</v>
      </c>
      <c r="J445" t="s">
        <v>785</v>
      </c>
      <c r="K445">
        <v>26</v>
      </c>
      <c r="L445">
        <v>54</v>
      </c>
      <c r="M445">
        <v>90</v>
      </c>
      <c r="N445" t="s">
        <v>153</v>
      </c>
      <c r="O445">
        <v>25</v>
      </c>
      <c r="P445">
        <v>81</v>
      </c>
      <c r="Q445" s="3">
        <v>0.37</v>
      </c>
    </row>
    <row r="446" spans="1:17" x14ac:dyDescent="0.35">
      <c r="A446" t="s">
        <v>1157</v>
      </c>
      <c r="B446" t="s">
        <v>18</v>
      </c>
      <c r="C446" t="s">
        <v>241</v>
      </c>
      <c r="D446" t="s">
        <v>2013</v>
      </c>
      <c r="E446" t="s">
        <v>30</v>
      </c>
      <c r="F446" t="s">
        <v>2014</v>
      </c>
      <c r="G446" t="s">
        <v>2015</v>
      </c>
      <c r="H446" t="s">
        <v>234</v>
      </c>
      <c r="I446" s="1">
        <v>45718</v>
      </c>
      <c r="J446" t="s">
        <v>80</v>
      </c>
      <c r="K446">
        <v>72</v>
      </c>
      <c r="L446">
        <v>58</v>
      </c>
      <c r="M446">
        <v>69</v>
      </c>
      <c r="N446" t="s">
        <v>1163</v>
      </c>
      <c r="O446">
        <v>96</v>
      </c>
      <c r="P446">
        <v>23</v>
      </c>
      <c r="Q446" s="3">
        <v>-2.2400000000000002</v>
      </c>
    </row>
    <row r="447" spans="1:17" x14ac:dyDescent="0.35">
      <c r="A447" t="s">
        <v>1201</v>
      </c>
      <c r="B447" t="s">
        <v>18</v>
      </c>
      <c r="C447" t="s">
        <v>195</v>
      </c>
      <c r="D447" t="s">
        <v>2016</v>
      </c>
      <c r="E447" t="s">
        <v>68</v>
      </c>
      <c r="F447" t="s">
        <v>2017</v>
      </c>
      <c r="G447" t="s">
        <v>2018</v>
      </c>
      <c r="H447" t="s">
        <v>234</v>
      </c>
      <c r="I447" s="1">
        <v>45993</v>
      </c>
      <c r="J447" t="s">
        <v>1291</v>
      </c>
      <c r="K447">
        <v>89</v>
      </c>
      <c r="L447">
        <v>40</v>
      </c>
      <c r="M447">
        <v>64</v>
      </c>
      <c r="N447" t="s">
        <v>121</v>
      </c>
      <c r="O447">
        <v>93</v>
      </c>
      <c r="P447">
        <v>48</v>
      </c>
      <c r="Q447" s="3">
        <v>0.76</v>
      </c>
    </row>
    <row r="448" spans="1:17" x14ac:dyDescent="0.35">
      <c r="A448" t="s">
        <v>337</v>
      </c>
      <c r="B448" t="s">
        <v>27</v>
      </c>
      <c r="C448" t="s">
        <v>2019</v>
      </c>
      <c r="D448" t="s">
        <v>2020</v>
      </c>
      <c r="E448" t="s">
        <v>68</v>
      </c>
      <c r="F448" t="s">
        <v>2021</v>
      </c>
      <c r="G448" t="s">
        <v>2022</v>
      </c>
      <c r="H448" t="s">
        <v>199</v>
      </c>
      <c r="I448" t="s">
        <v>312</v>
      </c>
      <c r="J448" t="s">
        <v>294</v>
      </c>
      <c r="K448">
        <v>83</v>
      </c>
      <c r="L448">
        <v>52</v>
      </c>
      <c r="M448">
        <v>32</v>
      </c>
      <c r="N448" t="s">
        <v>344</v>
      </c>
      <c r="O448">
        <v>47</v>
      </c>
      <c r="P448">
        <v>7</v>
      </c>
      <c r="Q448" s="3">
        <v>0.48</v>
      </c>
    </row>
    <row r="449" spans="1:17" x14ac:dyDescent="0.35">
      <c r="A449" t="s">
        <v>162</v>
      </c>
      <c r="B449" t="s">
        <v>163</v>
      </c>
      <c r="C449" t="s">
        <v>2023</v>
      </c>
      <c r="D449" t="s">
        <v>2024</v>
      </c>
      <c r="E449" t="s">
        <v>30</v>
      </c>
      <c r="F449" t="s">
        <v>2025</v>
      </c>
      <c r="G449" t="s">
        <v>2026</v>
      </c>
      <c r="H449" t="s">
        <v>199</v>
      </c>
      <c r="I449" t="s">
        <v>2027</v>
      </c>
      <c r="J449" s="1">
        <v>45362</v>
      </c>
      <c r="K449">
        <v>13</v>
      </c>
      <c r="L449">
        <v>55</v>
      </c>
      <c r="M449">
        <v>77</v>
      </c>
      <c r="N449" t="s">
        <v>169</v>
      </c>
      <c r="O449">
        <v>67</v>
      </c>
      <c r="P449">
        <v>68</v>
      </c>
      <c r="Q449" s="3">
        <v>0.85</v>
      </c>
    </row>
    <row r="450" spans="1:17" x14ac:dyDescent="0.35">
      <c r="A450" t="s">
        <v>1307</v>
      </c>
      <c r="B450" t="s">
        <v>163</v>
      </c>
      <c r="C450" t="s">
        <v>2028</v>
      </c>
      <c r="D450" t="s">
        <v>2029</v>
      </c>
      <c r="E450" t="s">
        <v>30</v>
      </c>
      <c r="F450" t="s">
        <v>2030</v>
      </c>
      <c r="G450" t="s">
        <v>2031</v>
      </c>
      <c r="H450" t="s">
        <v>555</v>
      </c>
      <c r="I450" s="1">
        <v>45358</v>
      </c>
      <c r="J450" t="s">
        <v>2032</v>
      </c>
      <c r="K450">
        <v>15</v>
      </c>
      <c r="L450">
        <v>66</v>
      </c>
      <c r="M450">
        <v>85</v>
      </c>
      <c r="N450" t="s">
        <v>798</v>
      </c>
      <c r="O450">
        <v>60</v>
      </c>
      <c r="P450">
        <v>40</v>
      </c>
      <c r="Q450" s="3">
        <v>-0.01</v>
      </c>
    </row>
    <row r="451" spans="1:17" x14ac:dyDescent="0.35">
      <c r="A451" t="s">
        <v>188</v>
      </c>
      <c r="B451" t="s">
        <v>65</v>
      </c>
      <c r="C451" t="s">
        <v>1360</v>
      </c>
      <c r="D451" t="s">
        <v>2033</v>
      </c>
      <c r="E451" t="s">
        <v>30</v>
      </c>
      <c r="F451" t="s">
        <v>2034</v>
      </c>
      <c r="G451" t="s">
        <v>2035</v>
      </c>
      <c r="H451" t="s">
        <v>555</v>
      </c>
      <c r="I451" t="s">
        <v>41</v>
      </c>
      <c r="J451" s="1">
        <v>45962</v>
      </c>
      <c r="K451">
        <v>56</v>
      </c>
      <c r="L451">
        <v>48</v>
      </c>
      <c r="M451">
        <v>82</v>
      </c>
      <c r="N451" t="s">
        <v>193</v>
      </c>
      <c r="O451">
        <v>71</v>
      </c>
      <c r="P451">
        <v>65</v>
      </c>
      <c r="Q451" s="3">
        <v>0.33</v>
      </c>
    </row>
    <row r="452" spans="1:17" x14ac:dyDescent="0.35">
      <c r="A452" t="s">
        <v>619</v>
      </c>
      <c r="B452" t="s">
        <v>18</v>
      </c>
      <c r="C452" t="s">
        <v>1275</v>
      </c>
      <c r="D452" t="s">
        <v>2036</v>
      </c>
      <c r="E452" t="s">
        <v>30</v>
      </c>
      <c r="F452" t="s">
        <v>2037</v>
      </c>
      <c r="G452" t="s">
        <v>2038</v>
      </c>
      <c r="H452" t="s">
        <v>555</v>
      </c>
      <c r="I452" t="s">
        <v>652</v>
      </c>
      <c r="J452" t="s">
        <v>1149</v>
      </c>
      <c r="K452">
        <v>18</v>
      </c>
      <c r="L452">
        <v>3</v>
      </c>
      <c r="M452">
        <v>39</v>
      </c>
      <c r="N452" t="s">
        <v>73</v>
      </c>
      <c r="O452">
        <v>58</v>
      </c>
      <c r="P452">
        <v>61</v>
      </c>
      <c r="Q452" s="3">
        <v>0.08</v>
      </c>
    </row>
    <row r="453" spans="1:17" x14ac:dyDescent="0.35">
      <c r="A453" t="s">
        <v>423</v>
      </c>
      <c r="B453" t="s">
        <v>65</v>
      </c>
      <c r="C453" t="s">
        <v>429</v>
      </c>
      <c r="D453" t="s">
        <v>2039</v>
      </c>
      <c r="E453" t="s">
        <v>21</v>
      </c>
      <c r="F453" t="s">
        <v>2040</v>
      </c>
      <c r="G453" t="s">
        <v>2041</v>
      </c>
      <c r="H453" t="s">
        <v>555</v>
      </c>
      <c r="I453" t="s">
        <v>288</v>
      </c>
      <c r="J453" t="s">
        <v>398</v>
      </c>
      <c r="K453">
        <v>32</v>
      </c>
      <c r="L453">
        <v>91</v>
      </c>
      <c r="M453">
        <v>80</v>
      </c>
      <c r="N453" t="s">
        <v>82</v>
      </c>
      <c r="O453">
        <v>69</v>
      </c>
      <c r="P453">
        <v>80</v>
      </c>
      <c r="Q453" s="3">
        <v>-0.05</v>
      </c>
    </row>
    <row r="454" spans="1:17" x14ac:dyDescent="0.35">
      <c r="A454" t="s">
        <v>718</v>
      </c>
      <c r="B454" t="s">
        <v>65</v>
      </c>
      <c r="C454" t="s">
        <v>2042</v>
      </c>
      <c r="D454" t="s">
        <v>2043</v>
      </c>
      <c r="E454" t="s">
        <v>30</v>
      </c>
      <c r="F454" t="s">
        <v>2044</v>
      </c>
      <c r="G454" t="s">
        <v>2045</v>
      </c>
      <c r="H454" t="s">
        <v>2046</v>
      </c>
      <c r="I454" s="1">
        <v>45608</v>
      </c>
      <c r="J454" t="s">
        <v>319</v>
      </c>
      <c r="K454">
        <v>91</v>
      </c>
      <c r="L454">
        <v>98</v>
      </c>
      <c r="M454">
        <v>6</v>
      </c>
      <c r="N454" t="s">
        <v>34</v>
      </c>
      <c r="O454">
        <v>100</v>
      </c>
      <c r="P454">
        <v>20</v>
      </c>
      <c r="Q454" s="3">
        <v>-0.16</v>
      </c>
    </row>
    <row r="455" spans="1:17" x14ac:dyDescent="0.35">
      <c r="A455" t="s">
        <v>1415</v>
      </c>
      <c r="B455" t="s">
        <v>114</v>
      </c>
      <c r="C455" t="s">
        <v>1391</v>
      </c>
      <c r="D455" t="s">
        <v>2047</v>
      </c>
      <c r="E455" t="s">
        <v>30</v>
      </c>
      <c r="F455" t="s">
        <v>2048</v>
      </c>
      <c r="G455" t="s">
        <v>2049</v>
      </c>
      <c r="H455" t="s">
        <v>2046</v>
      </c>
      <c r="I455" t="s">
        <v>897</v>
      </c>
      <c r="J455" t="s">
        <v>870</v>
      </c>
      <c r="K455">
        <v>92</v>
      </c>
      <c r="L455">
        <v>87</v>
      </c>
      <c r="M455">
        <v>84</v>
      </c>
      <c r="N455" t="s">
        <v>128</v>
      </c>
      <c r="O455">
        <v>61</v>
      </c>
      <c r="P455">
        <v>31</v>
      </c>
      <c r="Q455" s="3">
        <v>0.8</v>
      </c>
    </row>
    <row r="456" spans="1:17" x14ac:dyDescent="0.35">
      <c r="A456" t="s">
        <v>283</v>
      </c>
      <c r="B456" t="s">
        <v>163</v>
      </c>
      <c r="C456" t="s">
        <v>770</v>
      </c>
      <c r="D456" t="s">
        <v>2050</v>
      </c>
      <c r="E456" t="s">
        <v>21</v>
      </c>
      <c r="F456" t="s">
        <v>2051</v>
      </c>
      <c r="G456" t="s">
        <v>2052</v>
      </c>
      <c r="H456" t="s">
        <v>2046</v>
      </c>
      <c r="I456" s="1">
        <v>45455</v>
      </c>
      <c r="J456" t="s">
        <v>489</v>
      </c>
      <c r="K456">
        <v>42</v>
      </c>
      <c r="L456">
        <v>88</v>
      </c>
      <c r="M456">
        <v>17</v>
      </c>
      <c r="N456" t="s">
        <v>2053</v>
      </c>
      <c r="O456">
        <v>34</v>
      </c>
      <c r="P456">
        <v>51</v>
      </c>
      <c r="Q456" s="3">
        <v>0.49</v>
      </c>
    </row>
    <row r="457" spans="1:17" x14ac:dyDescent="0.35">
      <c r="A457" t="s">
        <v>371</v>
      </c>
      <c r="B457" t="s">
        <v>75</v>
      </c>
      <c r="C457" t="s">
        <v>2054</v>
      </c>
      <c r="D457" t="s">
        <v>2055</v>
      </c>
      <c r="E457" t="s">
        <v>68</v>
      </c>
      <c r="F457" t="s">
        <v>2056</v>
      </c>
      <c r="G457" t="s">
        <v>2057</v>
      </c>
      <c r="H457" t="s">
        <v>2058</v>
      </c>
      <c r="I457" t="s">
        <v>168</v>
      </c>
      <c r="J457" t="s">
        <v>1726</v>
      </c>
      <c r="K457">
        <v>75</v>
      </c>
      <c r="L457">
        <v>25</v>
      </c>
      <c r="M457">
        <v>99</v>
      </c>
      <c r="N457" t="s">
        <v>42</v>
      </c>
      <c r="O457">
        <v>89</v>
      </c>
      <c r="P457">
        <v>42</v>
      </c>
      <c r="Q457" s="3">
        <v>-0.5</v>
      </c>
    </row>
    <row r="458" spans="1:17" x14ac:dyDescent="0.35">
      <c r="A458" t="s">
        <v>228</v>
      </c>
      <c r="B458" t="s">
        <v>18</v>
      </c>
      <c r="C458" t="s">
        <v>2059</v>
      </c>
      <c r="D458" t="s">
        <v>2060</v>
      </c>
      <c r="E458" t="s">
        <v>68</v>
      </c>
      <c r="F458" t="s">
        <v>2061</v>
      </c>
      <c r="G458" t="s">
        <v>2062</v>
      </c>
      <c r="H458" t="s">
        <v>2058</v>
      </c>
      <c r="I458" t="s">
        <v>1661</v>
      </c>
      <c r="J458" t="s">
        <v>764</v>
      </c>
      <c r="K458">
        <v>76</v>
      </c>
      <c r="L458">
        <v>11</v>
      </c>
      <c r="M458">
        <v>15</v>
      </c>
      <c r="N458" t="s">
        <v>235</v>
      </c>
      <c r="O458">
        <v>22</v>
      </c>
      <c r="P458">
        <v>91</v>
      </c>
      <c r="Q458" s="3">
        <v>0.53</v>
      </c>
    </row>
    <row r="459" spans="1:17" x14ac:dyDescent="0.35">
      <c r="A459" t="s">
        <v>975</v>
      </c>
      <c r="B459" t="s">
        <v>18</v>
      </c>
      <c r="C459" t="s">
        <v>1507</v>
      </c>
      <c r="D459" t="s">
        <v>2063</v>
      </c>
      <c r="E459" t="s">
        <v>68</v>
      </c>
      <c r="F459" t="s">
        <v>2064</v>
      </c>
      <c r="G459" t="s">
        <v>2065</v>
      </c>
      <c r="H459" t="s">
        <v>2058</v>
      </c>
      <c r="I459" t="s">
        <v>1959</v>
      </c>
      <c r="J459" s="1">
        <v>45482</v>
      </c>
      <c r="K459">
        <v>86</v>
      </c>
      <c r="L459">
        <v>90</v>
      </c>
      <c r="M459">
        <v>39</v>
      </c>
      <c r="N459" t="s">
        <v>1254</v>
      </c>
      <c r="O459">
        <v>98</v>
      </c>
      <c r="P459">
        <v>85</v>
      </c>
      <c r="Q459" s="3">
        <v>-3.14</v>
      </c>
    </row>
    <row r="460" spans="1:17" x14ac:dyDescent="0.35">
      <c r="A460" t="s">
        <v>450</v>
      </c>
      <c r="B460" t="s">
        <v>18</v>
      </c>
      <c r="C460" t="s">
        <v>751</v>
      </c>
      <c r="D460" t="s">
        <v>2066</v>
      </c>
      <c r="E460" t="s">
        <v>21</v>
      </c>
      <c r="F460" t="s">
        <v>2067</v>
      </c>
      <c r="G460" t="s">
        <v>2068</v>
      </c>
      <c r="H460" t="s">
        <v>2058</v>
      </c>
      <c r="I460" s="1">
        <v>45962</v>
      </c>
      <c r="J460" t="s">
        <v>652</v>
      </c>
      <c r="K460">
        <v>90</v>
      </c>
      <c r="L460">
        <v>1</v>
      </c>
      <c r="M460">
        <v>40</v>
      </c>
      <c r="N460" t="s">
        <v>246</v>
      </c>
      <c r="O460">
        <v>52</v>
      </c>
      <c r="P460">
        <v>19</v>
      </c>
      <c r="Q460" s="3">
        <v>0.13</v>
      </c>
    </row>
    <row r="461" spans="1:17" x14ac:dyDescent="0.35">
      <c r="A461" t="s">
        <v>376</v>
      </c>
      <c r="B461" t="s">
        <v>18</v>
      </c>
      <c r="C461" t="s">
        <v>284</v>
      </c>
      <c r="D461" t="s">
        <v>2069</v>
      </c>
      <c r="E461" t="s">
        <v>21</v>
      </c>
      <c r="F461" t="s">
        <v>2070</v>
      </c>
      <c r="G461" t="s">
        <v>2071</v>
      </c>
      <c r="H461" t="s">
        <v>2058</v>
      </c>
      <c r="I461" s="1">
        <v>45476</v>
      </c>
      <c r="J461" t="s">
        <v>1336</v>
      </c>
      <c r="K461">
        <v>20</v>
      </c>
      <c r="L461">
        <v>93</v>
      </c>
      <c r="M461">
        <v>37</v>
      </c>
      <c r="N461" t="s">
        <v>34</v>
      </c>
      <c r="O461">
        <v>23</v>
      </c>
      <c r="P461">
        <v>2</v>
      </c>
      <c r="Q461" s="3">
        <v>0.63</v>
      </c>
    </row>
    <row r="462" spans="1:17" x14ac:dyDescent="0.35">
      <c r="A462" t="s">
        <v>695</v>
      </c>
      <c r="B462" t="s">
        <v>65</v>
      </c>
      <c r="C462" t="s">
        <v>383</v>
      </c>
      <c r="D462" t="s">
        <v>2072</v>
      </c>
      <c r="E462" t="s">
        <v>30</v>
      </c>
      <c r="F462" t="s">
        <v>2073</v>
      </c>
      <c r="G462" t="s">
        <v>2074</v>
      </c>
      <c r="H462" t="s">
        <v>2075</v>
      </c>
      <c r="I462" t="s">
        <v>465</v>
      </c>
      <c r="J462" t="s">
        <v>1431</v>
      </c>
      <c r="K462">
        <v>17</v>
      </c>
      <c r="L462">
        <v>88</v>
      </c>
      <c r="M462">
        <v>41</v>
      </c>
      <c r="N462" t="s">
        <v>128</v>
      </c>
      <c r="O462">
        <v>45</v>
      </c>
      <c r="P462">
        <v>29</v>
      </c>
      <c r="Q462" s="3">
        <v>0.91</v>
      </c>
    </row>
    <row r="463" spans="1:17" x14ac:dyDescent="0.35">
      <c r="A463" t="s">
        <v>1008</v>
      </c>
      <c r="B463" t="s">
        <v>18</v>
      </c>
      <c r="C463" t="s">
        <v>1653</v>
      </c>
      <c r="D463" t="s">
        <v>2076</v>
      </c>
      <c r="E463" t="s">
        <v>21</v>
      </c>
      <c r="F463" t="s">
        <v>2077</v>
      </c>
      <c r="G463" t="s">
        <v>2078</v>
      </c>
      <c r="H463" t="s">
        <v>387</v>
      </c>
      <c r="I463" t="s">
        <v>403</v>
      </c>
      <c r="J463" s="1">
        <v>45577</v>
      </c>
      <c r="K463">
        <v>49</v>
      </c>
      <c r="L463">
        <v>46</v>
      </c>
      <c r="M463">
        <v>8</v>
      </c>
      <c r="N463" t="s">
        <v>153</v>
      </c>
      <c r="O463">
        <v>82</v>
      </c>
      <c r="P463">
        <v>21</v>
      </c>
      <c r="Q463" s="3">
        <v>0.36</v>
      </c>
    </row>
    <row r="464" spans="1:17" x14ac:dyDescent="0.35">
      <c r="A464" t="s">
        <v>1311</v>
      </c>
      <c r="B464" t="s">
        <v>36</v>
      </c>
      <c r="C464" t="s">
        <v>1743</v>
      </c>
      <c r="D464" t="s">
        <v>2079</v>
      </c>
      <c r="E464" t="s">
        <v>68</v>
      </c>
      <c r="F464" t="s">
        <v>2080</v>
      </c>
      <c r="G464" t="s">
        <v>2081</v>
      </c>
      <c r="H464" t="s">
        <v>387</v>
      </c>
      <c r="I464" s="1">
        <v>45839</v>
      </c>
      <c r="J464" t="s">
        <v>1975</v>
      </c>
      <c r="K464">
        <v>20</v>
      </c>
      <c r="L464">
        <v>17</v>
      </c>
      <c r="M464">
        <v>71</v>
      </c>
      <c r="N464" t="s">
        <v>798</v>
      </c>
      <c r="O464">
        <v>50</v>
      </c>
      <c r="P464">
        <v>65</v>
      </c>
      <c r="Q464" s="3">
        <v>0.74</v>
      </c>
    </row>
    <row r="465" spans="1:17" x14ac:dyDescent="0.35">
      <c r="A465" t="s">
        <v>222</v>
      </c>
      <c r="B465" t="s">
        <v>65</v>
      </c>
      <c r="C465" t="s">
        <v>404</v>
      </c>
      <c r="D465" t="s">
        <v>2082</v>
      </c>
      <c r="E465" t="s">
        <v>21</v>
      </c>
      <c r="F465" t="s">
        <v>2083</v>
      </c>
      <c r="G465" t="s">
        <v>2084</v>
      </c>
      <c r="H465" t="s">
        <v>387</v>
      </c>
      <c r="I465" t="s">
        <v>1506</v>
      </c>
      <c r="J465" t="s">
        <v>645</v>
      </c>
      <c r="K465">
        <v>99</v>
      </c>
      <c r="L465">
        <v>54</v>
      </c>
      <c r="M465">
        <v>71</v>
      </c>
      <c r="N465" t="s">
        <v>49</v>
      </c>
      <c r="O465">
        <v>80</v>
      </c>
      <c r="P465">
        <v>10</v>
      </c>
      <c r="Q465" s="3">
        <v>-0.3</v>
      </c>
    </row>
    <row r="466" spans="1:17" x14ac:dyDescent="0.35">
      <c r="A466" t="s">
        <v>74</v>
      </c>
      <c r="B466" t="s">
        <v>75</v>
      </c>
      <c r="C466" t="s">
        <v>2085</v>
      </c>
      <c r="D466" t="s">
        <v>2086</v>
      </c>
      <c r="E466" t="s">
        <v>30</v>
      </c>
      <c r="F466" t="s">
        <v>2087</v>
      </c>
      <c r="G466" t="s">
        <v>2088</v>
      </c>
      <c r="H466" t="s">
        <v>387</v>
      </c>
      <c r="I466" s="1">
        <v>45509</v>
      </c>
      <c r="J466" t="s">
        <v>428</v>
      </c>
      <c r="K466">
        <v>51</v>
      </c>
      <c r="L466">
        <v>35</v>
      </c>
      <c r="M466">
        <v>95</v>
      </c>
      <c r="N466" t="s">
        <v>82</v>
      </c>
      <c r="O466">
        <v>80</v>
      </c>
      <c r="P466">
        <v>89</v>
      </c>
      <c r="Q466" s="3">
        <v>0.88</v>
      </c>
    </row>
    <row r="467" spans="1:17" x14ac:dyDescent="0.35">
      <c r="A467" t="s">
        <v>880</v>
      </c>
      <c r="B467" t="s">
        <v>27</v>
      </c>
      <c r="C467" t="s">
        <v>51</v>
      </c>
      <c r="D467" t="s">
        <v>2089</v>
      </c>
      <c r="E467" t="s">
        <v>21</v>
      </c>
      <c r="F467" t="s">
        <v>2090</v>
      </c>
      <c r="G467" t="s">
        <v>2091</v>
      </c>
      <c r="H467" t="s">
        <v>387</v>
      </c>
      <c r="I467" t="s">
        <v>982</v>
      </c>
      <c r="J467" t="s">
        <v>2092</v>
      </c>
      <c r="K467">
        <v>25</v>
      </c>
      <c r="L467">
        <v>97</v>
      </c>
      <c r="M467">
        <v>63</v>
      </c>
      <c r="N467" t="s">
        <v>884</v>
      </c>
      <c r="O467">
        <v>72</v>
      </c>
      <c r="P467">
        <v>23</v>
      </c>
      <c r="Q467" s="3">
        <v>-0.11</v>
      </c>
    </row>
    <row r="468" spans="1:17" x14ac:dyDescent="0.35">
      <c r="A468" t="s">
        <v>35</v>
      </c>
      <c r="B468" t="s">
        <v>36</v>
      </c>
      <c r="C468" t="s">
        <v>1837</v>
      </c>
      <c r="D468" t="s">
        <v>2093</v>
      </c>
      <c r="E468" t="s">
        <v>68</v>
      </c>
      <c r="F468" t="s">
        <v>2094</v>
      </c>
      <c r="G468" t="s">
        <v>2095</v>
      </c>
      <c r="H468" t="s">
        <v>387</v>
      </c>
      <c r="I468" t="s">
        <v>2096</v>
      </c>
      <c r="J468" t="s">
        <v>1506</v>
      </c>
      <c r="K468">
        <v>63</v>
      </c>
      <c r="L468">
        <v>41</v>
      </c>
      <c r="M468">
        <v>98</v>
      </c>
      <c r="N468" t="s">
        <v>2097</v>
      </c>
      <c r="O468">
        <v>37</v>
      </c>
      <c r="P468">
        <v>7</v>
      </c>
      <c r="Q468" s="3">
        <v>0.68</v>
      </c>
    </row>
    <row r="469" spans="1:17" x14ac:dyDescent="0.35">
      <c r="A469" t="s">
        <v>690</v>
      </c>
      <c r="B469" t="s">
        <v>36</v>
      </c>
      <c r="C469" t="s">
        <v>2098</v>
      </c>
      <c r="D469" t="s">
        <v>2099</v>
      </c>
      <c r="E469" t="s">
        <v>68</v>
      </c>
      <c r="F469" t="s">
        <v>2100</v>
      </c>
      <c r="G469" t="s">
        <v>2101</v>
      </c>
      <c r="H469" t="s">
        <v>387</v>
      </c>
      <c r="I469" s="1">
        <v>45485</v>
      </c>
      <c r="J469" s="1">
        <v>45749</v>
      </c>
      <c r="K469">
        <v>50</v>
      </c>
      <c r="L469">
        <v>66</v>
      </c>
      <c r="M469">
        <v>1</v>
      </c>
      <c r="N469" t="s">
        <v>128</v>
      </c>
      <c r="O469">
        <v>76</v>
      </c>
      <c r="P469">
        <v>73</v>
      </c>
      <c r="Q469" s="3">
        <v>0.81</v>
      </c>
    </row>
    <row r="470" spans="1:17" x14ac:dyDescent="0.35">
      <c r="A470" t="s">
        <v>388</v>
      </c>
      <c r="B470" t="s">
        <v>75</v>
      </c>
      <c r="C470" t="s">
        <v>1764</v>
      </c>
      <c r="D470" t="s">
        <v>2102</v>
      </c>
      <c r="E470" t="s">
        <v>68</v>
      </c>
      <c r="F470" t="s">
        <v>2103</v>
      </c>
      <c r="G470" t="s">
        <v>2104</v>
      </c>
      <c r="H470" t="s">
        <v>712</v>
      </c>
      <c r="I470" s="1">
        <v>45416</v>
      </c>
      <c r="J470" t="s">
        <v>732</v>
      </c>
      <c r="K470">
        <v>91</v>
      </c>
      <c r="L470">
        <v>59</v>
      </c>
      <c r="M470">
        <v>49</v>
      </c>
      <c r="N470" t="s">
        <v>344</v>
      </c>
      <c r="O470">
        <v>30</v>
      </c>
      <c r="P470">
        <v>63</v>
      </c>
      <c r="Q470" s="3">
        <v>0.04</v>
      </c>
    </row>
    <row r="471" spans="1:17" x14ac:dyDescent="0.35">
      <c r="A471" t="s">
        <v>337</v>
      </c>
      <c r="B471" t="s">
        <v>27</v>
      </c>
      <c r="C471" t="s">
        <v>2105</v>
      </c>
      <c r="D471" t="s">
        <v>2106</v>
      </c>
      <c r="E471" t="s">
        <v>68</v>
      </c>
      <c r="F471" t="s">
        <v>2107</v>
      </c>
      <c r="G471" t="s">
        <v>2108</v>
      </c>
      <c r="H471" t="s">
        <v>455</v>
      </c>
      <c r="I471" t="s">
        <v>233</v>
      </c>
      <c r="J471" t="s">
        <v>1738</v>
      </c>
      <c r="K471">
        <v>28</v>
      </c>
      <c r="L471">
        <v>17</v>
      </c>
      <c r="M471">
        <v>28</v>
      </c>
      <c r="N471" t="s">
        <v>344</v>
      </c>
      <c r="O471">
        <v>38</v>
      </c>
      <c r="P471">
        <v>25</v>
      </c>
      <c r="Q471" s="3">
        <v>-1.1000000000000001</v>
      </c>
    </row>
    <row r="472" spans="1:17" x14ac:dyDescent="0.35">
      <c r="A472" t="s">
        <v>1341</v>
      </c>
      <c r="B472" t="s">
        <v>18</v>
      </c>
      <c r="C472" t="s">
        <v>51</v>
      </c>
      <c r="D472" t="s">
        <v>2109</v>
      </c>
      <c r="E472" t="s">
        <v>68</v>
      </c>
      <c r="F472" t="s">
        <v>2110</v>
      </c>
      <c r="G472" t="s">
        <v>2111</v>
      </c>
      <c r="H472" t="s">
        <v>455</v>
      </c>
      <c r="I472" t="s">
        <v>1975</v>
      </c>
      <c r="J472" s="1">
        <v>45601</v>
      </c>
      <c r="K472">
        <v>29</v>
      </c>
      <c r="L472">
        <v>18</v>
      </c>
      <c r="M472">
        <v>86</v>
      </c>
      <c r="N472" t="s">
        <v>128</v>
      </c>
      <c r="O472">
        <v>53</v>
      </c>
      <c r="P472">
        <v>69</v>
      </c>
      <c r="Q472" s="3">
        <v>0.34</v>
      </c>
    </row>
    <row r="473" spans="1:17" x14ac:dyDescent="0.35">
      <c r="A473" t="s">
        <v>1900</v>
      </c>
      <c r="B473" t="s">
        <v>75</v>
      </c>
      <c r="C473" t="s">
        <v>2112</v>
      </c>
      <c r="D473" t="s">
        <v>2113</v>
      </c>
      <c r="E473" t="s">
        <v>68</v>
      </c>
      <c r="F473" t="s">
        <v>2114</v>
      </c>
      <c r="G473" t="s">
        <v>2115</v>
      </c>
      <c r="H473" t="s">
        <v>455</v>
      </c>
      <c r="I473" t="s">
        <v>1346</v>
      </c>
      <c r="J473" t="s">
        <v>897</v>
      </c>
      <c r="K473">
        <v>89</v>
      </c>
      <c r="L473">
        <v>26</v>
      </c>
      <c r="M473">
        <v>36</v>
      </c>
      <c r="N473" t="s">
        <v>1906</v>
      </c>
      <c r="O473">
        <v>48</v>
      </c>
      <c r="P473">
        <v>94</v>
      </c>
      <c r="Q473" s="3">
        <v>-0.3</v>
      </c>
    </row>
    <row r="474" spans="1:17" x14ac:dyDescent="0.35">
      <c r="A474" t="s">
        <v>624</v>
      </c>
      <c r="B474" t="s">
        <v>18</v>
      </c>
      <c r="C474" t="s">
        <v>136</v>
      </c>
      <c r="D474" t="s">
        <v>2116</v>
      </c>
      <c r="E474" t="s">
        <v>68</v>
      </c>
      <c r="F474" t="s">
        <v>2117</v>
      </c>
      <c r="G474" t="s">
        <v>2118</v>
      </c>
      <c r="H474" t="s">
        <v>455</v>
      </c>
      <c r="I474" t="s">
        <v>2012</v>
      </c>
      <c r="J474" t="s">
        <v>1726</v>
      </c>
      <c r="K474">
        <v>65</v>
      </c>
      <c r="L474">
        <v>42</v>
      </c>
      <c r="M474">
        <v>62</v>
      </c>
      <c r="N474" t="s">
        <v>590</v>
      </c>
      <c r="O474">
        <v>54</v>
      </c>
      <c r="P474">
        <v>2</v>
      </c>
      <c r="Q474" s="3">
        <v>-0.96</v>
      </c>
    </row>
    <row r="475" spans="1:17" x14ac:dyDescent="0.35">
      <c r="A475" t="s">
        <v>122</v>
      </c>
      <c r="B475" t="s">
        <v>65</v>
      </c>
      <c r="C475" t="s">
        <v>1554</v>
      </c>
      <c r="D475" t="s">
        <v>2119</v>
      </c>
      <c r="E475" t="s">
        <v>30</v>
      </c>
      <c r="F475" t="s">
        <v>2120</v>
      </c>
      <c r="G475" t="s">
        <v>2121</v>
      </c>
      <c r="H475" t="s">
        <v>94</v>
      </c>
      <c r="I475" s="1">
        <v>45510</v>
      </c>
      <c r="J475" s="1">
        <v>45717</v>
      </c>
      <c r="K475">
        <v>40</v>
      </c>
      <c r="L475">
        <v>38</v>
      </c>
      <c r="M475">
        <v>32</v>
      </c>
      <c r="N475" t="s">
        <v>1034</v>
      </c>
      <c r="O475">
        <v>21</v>
      </c>
      <c r="P475">
        <v>45</v>
      </c>
      <c r="Q475" s="3">
        <v>0.96</v>
      </c>
    </row>
    <row r="476" spans="1:17" x14ac:dyDescent="0.35">
      <c r="A476" t="s">
        <v>253</v>
      </c>
      <c r="B476" t="s">
        <v>65</v>
      </c>
      <c r="C476" t="s">
        <v>2122</v>
      </c>
      <c r="D476" t="s">
        <v>2123</v>
      </c>
      <c r="E476" t="s">
        <v>21</v>
      </c>
      <c r="F476" t="s">
        <v>2124</v>
      </c>
      <c r="G476" t="s">
        <v>2125</v>
      </c>
      <c r="H476" t="s">
        <v>94</v>
      </c>
      <c r="I476" t="s">
        <v>561</v>
      </c>
      <c r="J476" t="s">
        <v>664</v>
      </c>
      <c r="K476">
        <v>99</v>
      </c>
      <c r="L476">
        <v>44</v>
      </c>
      <c r="M476">
        <v>52</v>
      </c>
      <c r="N476" t="s">
        <v>34</v>
      </c>
      <c r="O476">
        <v>36</v>
      </c>
      <c r="P476">
        <v>2</v>
      </c>
      <c r="Q476" s="3">
        <v>-1.1399999999999999</v>
      </c>
    </row>
    <row r="477" spans="1:17" x14ac:dyDescent="0.35">
      <c r="A477" t="s">
        <v>527</v>
      </c>
      <c r="B477" t="s">
        <v>65</v>
      </c>
      <c r="C477" t="s">
        <v>2028</v>
      </c>
      <c r="D477" t="s">
        <v>2126</v>
      </c>
      <c r="E477" t="s">
        <v>68</v>
      </c>
      <c r="F477" t="s">
        <v>2127</v>
      </c>
      <c r="G477" t="s">
        <v>2128</v>
      </c>
      <c r="H477" t="s">
        <v>94</v>
      </c>
      <c r="I477" s="1">
        <v>45749</v>
      </c>
      <c r="J477" s="1">
        <v>45331</v>
      </c>
      <c r="K477">
        <v>56</v>
      </c>
      <c r="L477">
        <v>28</v>
      </c>
      <c r="M477">
        <v>76</v>
      </c>
      <c r="N477" t="s">
        <v>153</v>
      </c>
      <c r="O477">
        <v>93</v>
      </c>
      <c r="P477">
        <v>69</v>
      </c>
      <c r="Q477" s="3">
        <v>0.94</v>
      </c>
    </row>
    <row r="478" spans="1:17" x14ac:dyDescent="0.35">
      <c r="A478" t="s">
        <v>35</v>
      </c>
      <c r="B478" t="s">
        <v>36</v>
      </c>
      <c r="C478" t="s">
        <v>1133</v>
      </c>
      <c r="D478" t="s">
        <v>2129</v>
      </c>
      <c r="E478" t="s">
        <v>21</v>
      </c>
      <c r="F478" t="s">
        <v>2130</v>
      </c>
      <c r="G478" t="s">
        <v>2131</v>
      </c>
      <c r="H478" t="s">
        <v>94</v>
      </c>
      <c r="I478" t="s">
        <v>589</v>
      </c>
      <c r="J478" t="s">
        <v>645</v>
      </c>
      <c r="K478">
        <v>37</v>
      </c>
      <c r="L478">
        <v>3</v>
      </c>
      <c r="M478">
        <v>45</v>
      </c>
      <c r="N478" t="s">
        <v>42</v>
      </c>
      <c r="O478">
        <v>39</v>
      </c>
      <c r="P478">
        <v>28</v>
      </c>
      <c r="Q478" s="3">
        <v>0.26</v>
      </c>
    </row>
    <row r="479" spans="1:17" x14ac:dyDescent="0.35">
      <c r="A479" t="s">
        <v>695</v>
      </c>
      <c r="B479" t="s">
        <v>65</v>
      </c>
      <c r="C479" t="s">
        <v>1649</v>
      </c>
      <c r="D479" t="s">
        <v>2132</v>
      </c>
      <c r="E479" t="s">
        <v>68</v>
      </c>
      <c r="F479" t="s">
        <v>2133</v>
      </c>
      <c r="G479" t="s">
        <v>2134</v>
      </c>
      <c r="H479" t="s">
        <v>1079</v>
      </c>
      <c r="I479" t="s">
        <v>1836</v>
      </c>
      <c r="J479" s="1">
        <v>45606</v>
      </c>
      <c r="K479">
        <v>31</v>
      </c>
      <c r="L479">
        <v>29</v>
      </c>
      <c r="M479">
        <v>57</v>
      </c>
      <c r="N479" t="s">
        <v>128</v>
      </c>
      <c r="O479">
        <v>25</v>
      </c>
      <c r="P479">
        <v>22</v>
      </c>
      <c r="Q479" s="3">
        <v>0.28000000000000003</v>
      </c>
    </row>
    <row r="480" spans="1:17" x14ac:dyDescent="0.35">
      <c r="A480" t="s">
        <v>653</v>
      </c>
      <c r="B480" t="s">
        <v>163</v>
      </c>
      <c r="C480" t="s">
        <v>2135</v>
      </c>
      <c r="D480" t="s">
        <v>2136</v>
      </c>
      <c r="E480" t="s">
        <v>30</v>
      </c>
      <c r="F480" t="s">
        <v>2137</v>
      </c>
      <c r="G480" t="s">
        <v>2138</v>
      </c>
      <c r="H480" t="s">
        <v>1079</v>
      </c>
      <c r="I480" s="1">
        <v>45839</v>
      </c>
      <c r="J480" t="s">
        <v>234</v>
      </c>
      <c r="K480">
        <v>81</v>
      </c>
      <c r="L480">
        <v>83</v>
      </c>
      <c r="M480">
        <v>36</v>
      </c>
      <c r="N480" t="s">
        <v>659</v>
      </c>
      <c r="O480">
        <v>74</v>
      </c>
      <c r="P480">
        <v>86</v>
      </c>
      <c r="Q480" s="3">
        <v>0.12</v>
      </c>
    </row>
    <row r="481" spans="1:17" x14ac:dyDescent="0.35">
      <c r="A481" t="s">
        <v>222</v>
      </c>
      <c r="B481" t="s">
        <v>65</v>
      </c>
      <c r="C481" t="s">
        <v>44</v>
      </c>
      <c r="D481" t="s">
        <v>2139</v>
      </c>
      <c r="E481" t="s">
        <v>30</v>
      </c>
      <c r="F481" t="s">
        <v>2140</v>
      </c>
      <c r="G481" t="s">
        <v>2141</v>
      </c>
      <c r="H481" t="s">
        <v>1079</v>
      </c>
      <c r="I481" s="1">
        <v>45423</v>
      </c>
      <c r="J481" s="1">
        <v>45572</v>
      </c>
      <c r="K481">
        <v>11</v>
      </c>
      <c r="L481">
        <v>77</v>
      </c>
      <c r="M481">
        <v>7</v>
      </c>
      <c r="N481" t="s">
        <v>49</v>
      </c>
      <c r="O481">
        <v>77</v>
      </c>
      <c r="P481">
        <v>46</v>
      </c>
      <c r="Q481" s="3">
        <v>-0.16</v>
      </c>
    </row>
    <row r="482" spans="1:17" x14ac:dyDescent="0.35">
      <c r="A482" t="s">
        <v>129</v>
      </c>
      <c r="B482" t="s">
        <v>18</v>
      </c>
      <c r="C482" t="s">
        <v>345</v>
      </c>
      <c r="D482" t="s">
        <v>2142</v>
      </c>
      <c r="E482" t="s">
        <v>68</v>
      </c>
      <c r="F482" t="s">
        <v>2143</v>
      </c>
      <c r="G482" t="s">
        <v>2144</v>
      </c>
      <c r="H482" t="s">
        <v>658</v>
      </c>
      <c r="I482" t="s">
        <v>1178</v>
      </c>
      <c r="J482" s="1">
        <v>45325</v>
      </c>
      <c r="K482">
        <v>29</v>
      </c>
      <c r="L482">
        <v>20</v>
      </c>
      <c r="M482">
        <v>85</v>
      </c>
      <c r="N482" t="s">
        <v>134</v>
      </c>
      <c r="O482">
        <v>31</v>
      </c>
      <c r="P482">
        <v>31</v>
      </c>
      <c r="Q482" s="3">
        <v>0.4</v>
      </c>
    </row>
    <row r="483" spans="1:17" x14ac:dyDescent="0.35">
      <c r="A483" t="s">
        <v>1341</v>
      </c>
      <c r="B483" t="s">
        <v>18</v>
      </c>
      <c r="C483" t="s">
        <v>1275</v>
      </c>
      <c r="D483" t="s">
        <v>2145</v>
      </c>
      <c r="E483" t="s">
        <v>68</v>
      </c>
      <c r="F483" t="s">
        <v>2146</v>
      </c>
      <c r="G483" t="s">
        <v>2147</v>
      </c>
      <c r="H483" t="s">
        <v>658</v>
      </c>
      <c r="I483" t="s">
        <v>1328</v>
      </c>
      <c r="J483" t="s">
        <v>2027</v>
      </c>
      <c r="K483">
        <v>59</v>
      </c>
      <c r="L483">
        <v>91</v>
      </c>
      <c r="M483">
        <v>24</v>
      </c>
      <c r="N483" t="s">
        <v>128</v>
      </c>
      <c r="O483">
        <v>54</v>
      </c>
      <c r="P483">
        <v>87</v>
      </c>
      <c r="Q483" s="3">
        <v>0</v>
      </c>
    </row>
    <row r="484" spans="1:17" x14ac:dyDescent="0.35">
      <c r="A484" t="s">
        <v>89</v>
      </c>
      <c r="B484" t="s">
        <v>36</v>
      </c>
      <c r="C484" t="s">
        <v>424</v>
      </c>
      <c r="D484" t="s">
        <v>2148</v>
      </c>
      <c r="E484" t="s">
        <v>30</v>
      </c>
      <c r="F484" t="s">
        <v>2149</v>
      </c>
      <c r="G484" t="s">
        <v>2150</v>
      </c>
      <c r="H484" t="s">
        <v>658</v>
      </c>
      <c r="I484" t="s">
        <v>1718</v>
      </c>
      <c r="J484" t="s">
        <v>892</v>
      </c>
      <c r="K484">
        <v>12</v>
      </c>
      <c r="L484">
        <v>83</v>
      </c>
      <c r="M484">
        <v>93</v>
      </c>
      <c r="N484" t="s">
        <v>370</v>
      </c>
      <c r="O484">
        <v>22</v>
      </c>
      <c r="P484">
        <v>9</v>
      </c>
      <c r="Q484" s="3">
        <v>-0.61</v>
      </c>
    </row>
    <row r="485" spans="1:17" x14ac:dyDescent="0.35">
      <c r="A485" t="s">
        <v>247</v>
      </c>
      <c r="B485" t="s">
        <v>18</v>
      </c>
      <c r="C485" t="s">
        <v>59</v>
      </c>
      <c r="D485" t="s">
        <v>2151</v>
      </c>
      <c r="E485" t="s">
        <v>21</v>
      </c>
      <c r="F485" t="s">
        <v>2152</v>
      </c>
      <c r="G485" t="s">
        <v>2153</v>
      </c>
      <c r="H485" t="s">
        <v>658</v>
      </c>
      <c r="I485" t="s">
        <v>94</v>
      </c>
      <c r="J485" t="s">
        <v>1291</v>
      </c>
      <c r="K485">
        <v>75</v>
      </c>
      <c r="L485">
        <v>56</v>
      </c>
      <c r="M485">
        <v>57</v>
      </c>
      <c r="N485" t="s">
        <v>1584</v>
      </c>
      <c r="O485">
        <v>63</v>
      </c>
      <c r="P485">
        <v>64</v>
      </c>
      <c r="Q485" s="3">
        <v>0.59</v>
      </c>
    </row>
    <row r="486" spans="1:17" x14ac:dyDescent="0.35">
      <c r="A486" t="s">
        <v>371</v>
      </c>
      <c r="B486" t="s">
        <v>75</v>
      </c>
      <c r="C486" t="s">
        <v>1187</v>
      </c>
      <c r="D486" t="s">
        <v>2154</v>
      </c>
      <c r="E486" t="s">
        <v>68</v>
      </c>
      <c r="F486" t="s">
        <v>2155</v>
      </c>
      <c r="G486" t="s">
        <v>2156</v>
      </c>
      <c r="H486" t="s">
        <v>658</v>
      </c>
      <c r="I486" t="s">
        <v>1186</v>
      </c>
      <c r="J486" t="s">
        <v>1016</v>
      </c>
      <c r="K486">
        <v>67</v>
      </c>
      <c r="L486">
        <v>83</v>
      </c>
      <c r="M486">
        <v>90</v>
      </c>
      <c r="N486" t="s">
        <v>2157</v>
      </c>
      <c r="O486">
        <v>66</v>
      </c>
      <c r="P486">
        <v>77</v>
      </c>
      <c r="Q486" s="3">
        <v>-0.02</v>
      </c>
    </row>
    <row r="487" spans="1:17" x14ac:dyDescent="0.35">
      <c r="A487" t="s">
        <v>718</v>
      </c>
      <c r="B487" t="s">
        <v>65</v>
      </c>
      <c r="C487" t="s">
        <v>1536</v>
      </c>
      <c r="D487" t="s">
        <v>2158</v>
      </c>
      <c r="E487" t="s">
        <v>30</v>
      </c>
      <c r="F487" t="s">
        <v>2159</v>
      </c>
      <c r="G487" t="s">
        <v>2160</v>
      </c>
      <c r="H487" t="s">
        <v>658</v>
      </c>
      <c r="I487" t="s">
        <v>670</v>
      </c>
      <c r="J487" t="s">
        <v>1336</v>
      </c>
      <c r="K487">
        <v>29</v>
      </c>
      <c r="L487">
        <v>54</v>
      </c>
      <c r="M487">
        <v>54</v>
      </c>
      <c r="N487" t="s">
        <v>34</v>
      </c>
      <c r="O487">
        <v>58</v>
      </c>
      <c r="P487">
        <v>63</v>
      </c>
      <c r="Q487" s="3">
        <v>-0.17</v>
      </c>
    </row>
    <row r="488" spans="1:17" x14ac:dyDescent="0.35">
      <c r="A488" t="s">
        <v>43</v>
      </c>
      <c r="B488" t="s">
        <v>18</v>
      </c>
      <c r="C488" t="s">
        <v>345</v>
      </c>
      <c r="D488" t="s">
        <v>2161</v>
      </c>
      <c r="E488" t="s">
        <v>21</v>
      </c>
      <c r="F488" t="s">
        <v>2162</v>
      </c>
      <c r="G488" t="s">
        <v>2163</v>
      </c>
      <c r="H488" t="s">
        <v>658</v>
      </c>
      <c r="I488" t="s">
        <v>1648</v>
      </c>
      <c r="J488" t="s">
        <v>554</v>
      </c>
      <c r="K488">
        <v>61</v>
      </c>
      <c r="L488">
        <v>81</v>
      </c>
      <c r="M488">
        <v>99</v>
      </c>
      <c r="N488" t="s">
        <v>49</v>
      </c>
      <c r="O488">
        <v>26</v>
      </c>
      <c r="P488">
        <v>76</v>
      </c>
      <c r="Q488" s="3">
        <v>-0.09</v>
      </c>
    </row>
    <row r="489" spans="1:17" x14ac:dyDescent="0.35">
      <c r="A489" t="s">
        <v>122</v>
      </c>
      <c r="B489" t="s">
        <v>18</v>
      </c>
      <c r="C489" t="s">
        <v>2164</v>
      </c>
      <c r="D489" t="s">
        <v>2165</v>
      </c>
      <c r="E489" t="s">
        <v>68</v>
      </c>
      <c r="F489" t="s">
        <v>2166</v>
      </c>
      <c r="G489" t="s">
        <v>2167</v>
      </c>
      <c r="H489" t="s">
        <v>629</v>
      </c>
      <c r="I489" s="1">
        <v>45572</v>
      </c>
      <c r="J489" t="s">
        <v>707</v>
      </c>
      <c r="K489">
        <v>52</v>
      </c>
      <c r="L489">
        <v>22</v>
      </c>
      <c r="M489">
        <v>37</v>
      </c>
      <c r="N489" t="s">
        <v>128</v>
      </c>
      <c r="O489">
        <v>56</v>
      </c>
      <c r="P489">
        <v>44</v>
      </c>
      <c r="Q489" s="3">
        <v>-1.92</v>
      </c>
    </row>
    <row r="490" spans="1:17" x14ac:dyDescent="0.35">
      <c r="A490" t="s">
        <v>591</v>
      </c>
      <c r="B490" t="s">
        <v>18</v>
      </c>
      <c r="C490" t="s">
        <v>1230</v>
      </c>
      <c r="D490" t="s">
        <v>2168</v>
      </c>
      <c r="E490" t="s">
        <v>30</v>
      </c>
      <c r="F490" t="s">
        <v>2169</v>
      </c>
      <c r="G490" t="s">
        <v>2170</v>
      </c>
      <c r="H490" t="s">
        <v>629</v>
      </c>
      <c r="I490" t="s">
        <v>1038</v>
      </c>
      <c r="J490" s="1">
        <v>45512</v>
      </c>
      <c r="K490">
        <v>28</v>
      </c>
      <c r="L490">
        <v>38</v>
      </c>
      <c r="M490">
        <v>23</v>
      </c>
      <c r="N490" t="s">
        <v>2171</v>
      </c>
      <c r="O490">
        <v>48</v>
      </c>
      <c r="P490">
        <v>56</v>
      </c>
      <c r="Q490" s="3">
        <v>0.21</v>
      </c>
    </row>
    <row r="491" spans="1:17" x14ac:dyDescent="0.35">
      <c r="A491" t="s">
        <v>222</v>
      </c>
      <c r="B491" t="s">
        <v>65</v>
      </c>
      <c r="C491" t="s">
        <v>2172</v>
      </c>
      <c r="D491" t="s">
        <v>2173</v>
      </c>
      <c r="E491" t="s">
        <v>68</v>
      </c>
      <c r="F491" t="s">
        <v>2174</v>
      </c>
      <c r="G491" t="s">
        <v>2175</v>
      </c>
      <c r="H491" t="s">
        <v>1319</v>
      </c>
      <c r="I491" t="s">
        <v>1200</v>
      </c>
      <c r="J491" t="s">
        <v>306</v>
      </c>
      <c r="K491">
        <v>84</v>
      </c>
      <c r="L491">
        <v>92</v>
      </c>
      <c r="M491">
        <v>18</v>
      </c>
      <c r="N491" t="s">
        <v>49</v>
      </c>
      <c r="O491">
        <v>92</v>
      </c>
      <c r="P491">
        <v>69</v>
      </c>
      <c r="Q491" s="3">
        <v>-0.17</v>
      </c>
    </row>
    <row r="492" spans="1:17" x14ac:dyDescent="0.35">
      <c r="A492" t="s">
        <v>624</v>
      </c>
      <c r="B492" t="s">
        <v>18</v>
      </c>
      <c r="C492" t="s">
        <v>770</v>
      </c>
      <c r="D492" t="s">
        <v>2176</v>
      </c>
      <c r="E492" t="s">
        <v>30</v>
      </c>
      <c r="F492" t="s">
        <v>2177</v>
      </c>
      <c r="G492" t="s">
        <v>2178</v>
      </c>
      <c r="H492" t="s">
        <v>1319</v>
      </c>
      <c r="I492" s="1">
        <v>45484</v>
      </c>
      <c r="J492" s="1">
        <v>45601</v>
      </c>
      <c r="K492">
        <v>79</v>
      </c>
      <c r="L492">
        <v>45</v>
      </c>
      <c r="M492">
        <v>39</v>
      </c>
      <c r="N492" t="s">
        <v>344</v>
      </c>
      <c r="O492">
        <v>55</v>
      </c>
      <c r="P492">
        <v>20</v>
      </c>
      <c r="Q492" s="3">
        <v>0.25</v>
      </c>
    </row>
    <row r="493" spans="1:17" x14ac:dyDescent="0.35">
      <c r="A493" t="s">
        <v>308</v>
      </c>
      <c r="B493" t="s">
        <v>27</v>
      </c>
      <c r="C493" t="s">
        <v>265</v>
      </c>
      <c r="D493" t="s">
        <v>2179</v>
      </c>
      <c r="E493" t="s">
        <v>30</v>
      </c>
      <c r="F493" t="s">
        <v>2180</v>
      </c>
      <c r="G493" t="s">
        <v>2181</v>
      </c>
      <c r="H493" t="s">
        <v>1319</v>
      </c>
      <c r="I493" t="s">
        <v>2046</v>
      </c>
      <c r="J493" t="s">
        <v>354</v>
      </c>
      <c r="K493">
        <v>39</v>
      </c>
      <c r="L493">
        <v>78</v>
      </c>
      <c r="M493">
        <v>97</v>
      </c>
      <c r="N493" t="s">
        <v>313</v>
      </c>
      <c r="O493">
        <v>54</v>
      </c>
      <c r="P493">
        <v>89</v>
      </c>
      <c r="Q493" s="3">
        <v>0.64</v>
      </c>
    </row>
    <row r="494" spans="1:17" x14ac:dyDescent="0.35">
      <c r="A494" t="s">
        <v>750</v>
      </c>
      <c r="B494" t="s">
        <v>36</v>
      </c>
      <c r="C494" t="s">
        <v>2182</v>
      </c>
      <c r="D494" t="s">
        <v>2183</v>
      </c>
      <c r="E494" t="s">
        <v>21</v>
      </c>
      <c r="F494" t="s">
        <v>2184</v>
      </c>
      <c r="G494" t="s">
        <v>2185</v>
      </c>
      <c r="H494" t="s">
        <v>1319</v>
      </c>
      <c r="I494" s="1">
        <v>45539</v>
      </c>
      <c r="J494" s="1">
        <v>45297</v>
      </c>
      <c r="K494">
        <v>69</v>
      </c>
      <c r="L494">
        <v>98</v>
      </c>
      <c r="M494">
        <v>89</v>
      </c>
      <c r="N494" t="s">
        <v>1821</v>
      </c>
      <c r="O494">
        <v>29</v>
      </c>
      <c r="P494">
        <v>34</v>
      </c>
      <c r="Q494" s="3">
        <v>-0.65</v>
      </c>
    </row>
    <row r="495" spans="1:17" x14ac:dyDescent="0.35">
      <c r="A495" t="s">
        <v>567</v>
      </c>
      <c r="B495" t="s">
        <v>65</v>
      </c>
      <c r="C495" t="s">
        <v>302</v>
      </c>
      <c r="D495" t="s">
        <v>2186</v>
      </c>
      <c r="E495" t="s">
        <v>30</v>
      </c>
      <c r="F495" t="s">
        <v>2187</v>
      </c>
      <c r="G495" t="s">
        <v>2188</v>
      </c>
      <c r="H495" t="s">
        <v>1319</v>
      </c>
      <c r="I495" t="s">
        <v>651</v>
      </c>
      <c r="J495" t="s">
        <v>269</v>
      </c>
      <c r="K495">
        <v>77</v>
      </c>
      <c r="L495">
        <v>19</v>
      </c>
      <c r="M495">
        <v>31</v>
      </c>
      <c r="N495" t="s">
        <v>572</v>
      </c>
      <c r="O495">
        <v>27</v>
      </c>
      <c r="P495">
        <v>25</v>
      </c>
      <c r="Q495" s="3">
        <v>-0.17</v>
      </c>
    </row>
    <row r="496" spans="1:17" x14ac:dyDescent="0.35">
      <c r="A496" t="s">
        <v>1320</v>
      </c>
      <c r="B496" t="s">
        <v>18</v>
      </c>
      <c r="C496" t="s">
        <v>606</v>
      </c>
      <c r="D496" t="s">
        <v>2189</v>
      </c>
      <c r="E496" t="s">
        <v>21</v>
      </c>
      <c r="F496" t="s">
        <v>2190</v>
      </c>
      <c r="G496" t="s">
        <v>2191</v>
      </c>
      <c r="H496" t="s">
        <v>1319</v>
      </c>
      <c r="I496" s="1">
        <v>45603</v>
      </c>
      <c r="J496" s="1">
        <v>45484</v>
      </c>
      <c r="K496">
        <v>29</v>
      </c>
      <c r="L496">
        <v>66</v>
      </c>
      <c r="M496">
        <v>21</v>
      </c>
      <c r="N496" t="s">
        <v>798</v>
      </c>
      <c r="O496">
        <v>74</v>
      </c>
      <c r="P496">
        <v>93</v>
      </c>
      <c r="Q496" s="3">
        <v>7.0000000000000007E-2</v>
      </c>
    </row>
    <row r="497" spans="1:17" x14ac:dyDescent="0.35">
      <c r="A497" t="s">
        <v>296</v>
      </c>
      <c r="B497" t="s">
        <v>27</v>
      </c>
      <c r="C497" t="s">
        <v>538</v>
      </c>
      <c r="D497" t="s">
        <v>2192</v>
      </c>
      <c r="E497" t="s">
        <v>68</v>
      </c>
      <c r="F497" t="s">
        <v>2193</v>
      </c>
      <c r="G497" t="s">
        <v>2194</v>
      </c>
      <c r="H497" t="s">
        <v>206</v>
      </c>
      <c r="I497" t="s">
        <v>1001</v>
      </c>
      <c r="J497" t="s">
        <v>870</v>
      </c>
      <c r="K497">
        <v>69</v>
      </c>
      <c r="L497">
        <v>59</v>
      </c>
      <c r="M497">
        <v>29</v>
      </c>
      <c r="N497" t="s">
        <v>235</v>
      </c>
      <c r="O497">
        <v>63</v>
      </c>
      <c r="P497">
        <v>91</v>
      </c>
      <c r="Q497" s="3">
        <v>-0.26</v>
      </c>
    </row>
    <row r="498" spans="1:17" x14ac:dyDescent="0.35">
      <c r="A498" t="s">
        <v>296</v>
      </c>
      <c r="B498" t="s">
        <v>27</v>
      </c>
      <c r="C498" t="s">
        <v>1117</v>
      </c>
      <c r="D498" t="s">
        <v>2195</v>
      </c>
      <c r="E498" t="s">
        <v>68</v>
      </c>
      <c r="F498" t="s">
        <v>2196</v>
      </c>
      <c r="G498" t="s">
        <v>2197</v>
      </c>
      <c r="H498" t="s">
        <v>1121</v>
      </c>
      <c r="I498" t="s">
        <v>2198</v>
      </c>
      <c r="J498" s="1">
        <v>45515</v>
      </c>
      <c r="K498">
        <v>40</v>
      </c>
      <c r="L498">
        <v>2</v>
      </c>
      <c r="M498">
        <v>58</v>
      </c>
      <c r="N498" t="s">
        <v>235</v>
      </c>
      <c r="O498">
        <v>71</v>
      </c>
      <c r="P498">
        <v>10</v>
      </c>
      <c r="Q498" s="3">
        <v>-0.44</v>
      </c>
    </row>
    <row r="499" spans="1:17" x14ac:dyDescent="0.35">
      <c r="A499" t="s">
        <v>376</v>
      </c>
      <c r="B499" t="s">
        <v>18</v>
      </c>
      <c r="C499" t="s">
        <v>201</v>
      </c>
      <c r="D499" t="s">
        <v>2199</v>
      </c>
      <c r="E499" t="s">
        <v>21</v>
      </c>
      <c r="F499" t="s">
        <v>2200</v>
      </c>
      <c r="G499" t="s">
        <v>2201</v>
      </c>
      <c r="H499" t="s">
        <v>1121</v>
      </c>
      <c r="I499" s="1">
        <v>45479</v>
      </c>
      <c r="J499" t="s">
        <v>2202</v>
      </c>
      <c r="K499">
        <v>68</v>
      </c>
      <c r="L499">
        <v>10</v>
      </c>
      <c r="M499">
        <v>29</v>
      </c>
      <c r="N499" t="s">
        <v>34</v>
      </c>
      <c r="O499">
        <v>37</v>
      </c>
      <c r="P499">
        <v>11</v>
      </c>
      <c r="Q499" s="3">
        <v>0.86</v>
      </c>
    </row>
    <row r="500" spans="1:17" x14ac:dyDescent="0.35">
      <c r="A500" t="s">
        <v>1008</v>
      </c>
      <c r="B500" t="s">
        <v>18</v>
      </c>
      <c r="C500" t="s">
        <v>2203</v>
      </c>
      <c r="D500" t="s">
        <v>2204</v>
      </c>
      <c r="E500" t="s">
        <v>30</v>
      </c>
      <c r="F500" t="s">
        <v>2205</v>
      </c>
      <c r="G500" t="s">
        <v>2206</v>
      </c>
      <c r="H500" t="s">
        <v>1121</v>
      </c>
      <c r="I500" t="s">
        <v>639</v>
      </c>
      <c r="J500" s="1">
        <v>45577</v>
      </c>
      <c r="K500">
        <v>75</v>
      </c>
      <c r="L500">
        <v>91</v>
      </c>
      <c r="M500">
        <v>68</v>
      </c>
      <c r="N500" t="s">
        <v>153</v>
      </c>
      <c r="O500">
        <v>96</v>
      </c>
      <c r="P500">
        <v>73</v>
      </c>
      <c r="Q500" s="3">
        <v>0.7</v>
      </c>
    </row>
    <row r="501" spans="1:17" x14ac:dyDescent="0.35">
      <c r="A501" t="s">
        <v>289</v>
      </c>
      <c r="B501" t="s">
        <v>114</v>
      </c>
      <c r="C501" t="s">
        <v>611</v>
      </c>
      <c r="D501" t="s">
        <v>2207</v>
      </c>
      <c r="E501" t="s">
        <v>30</v>
      </c>
      <c r="F501" t="s">
        <v>2208</v>
      </c>
      <c r="G501" t="s">
        <v>2209</v>
      </c>
      <c r="H501" t="s">
        <v>336</v>
      </c>
      <c r="I501" t="s">
        <v>676</v>
      </c>
      <c r="J501" t="s">
        <v>1452</v>
      </c>
      <c r="K501">
        <v>68</v>
      </c>
      <c r="L501">
        <v>29</v>
      </c>
      <c r="M501">
        <v>100</v>
      </c>
      <c r="N501" t="s">
        <v>73</v>
      </c>
      <c r="O501">
        <v>70</v>
      </c>
      <c r="P501">
        <v>26</v>
      </c>
      <c r="Q501" s="3">
        <v>0.24</v>
      </c>
    </row>
    <row r="502" spans="1:17" x14ac:dyDescent="0.35">
      <c r="A502" t="s">
        <v>162</v>
      </c>
      <c r="B502" t="s">
        <v>163</v>
      </c>
      <c r="C502" t="s">
        <v>2210</v>
      </c>
      <c r="D502" t="s">
        <v>2211</v>
      </c>
      <c r="E502" t="s">
        <v>68</v>
      </c>
      <c r="F502" t="s">
        <v>2212</v>
      </c>
      <c r="G502" t="s">
        <v>2213</v>
      </c>
      <c r="H502" t="s">
        <v>336</v>
      </c>
      <c r="I502" t="s">
        <v>312</v>
      </c>
      <c r="J502" t="s">
        <v>1492</v>
      </c>
      <c r="K502">
        <v>78</v>
      </c>
      <c r="L502">
        <v>34</v>
      </c>
      <c r="M502">
        <v>39</v>
      </c>
      <c r="N502" t="s">
        <v>2214</v>
      </c>
      <c r="O502">
        <v>62</v>
      </c>
      <c r="P502">
        <v>2</v>
      </c>
      <c r="Q502" s="3">
        <v>0.63</v>
      </c>
    </row>
    <row r="503" spans="1:17" x14ac:dyDescent="0.35">
      <c r="A503" t="s">
        <v>89</v>
      </c>
      <c r="B503" t="s">
        <v>36</v>
      </c>
      <c r="C503" t="s">
        <v>1950</v>
      </c>
      <c r="D503" t="s">
        <v>2215</v>
      </c>
      <c r="E503" t="s">
        <v>30</v>
      </c>
      <c r="F503" t="s">
        <v>2216</v>
      </c>
      <c r="G503" t="s">
        <v>2217</v>
      </c>
      <c r="H503" t="s">
        <v>1719</v>
      </c>
      <c r="I503" t="s">
        <v>1001</v>
      </c>
      <c r="J503" t="s">
        <v>319</v>
      </c>
      <c r="K503">
        <v>76</v>
      </c>
      <c r="L503">
        <v>98</v>
      </c>
      <c r="M503">
        <v>41</v>
      </c>
      <c r="N503" t="s">
        <v>370</v>
      </c>
      <c r="O503">
        <v>62</v>
      </c>
      <c r="P503">
        <v>48</v>
      </c>
      <c r="Q503" s="3">
        <v>0.97</v>
      </c>
    </row>
    <row r="504" spans="1:17" x14ac:dyDescent="0.35">
      <c r="A504" t="s">
        <v>1440</v>
      </c>
      <c r="B504" t="s">
        <v>18</v>
      </c>
      <c r="C504" t="s">
        <v>1004</v>
      </c>
      <c r="D504" t="s">
        <v>2218</v>
      </c>
      <c r="E504" t="s">
        <v>21</v>
      </c>
      <c r="F504" t="s">
        <v>2219</v>
      </c>
      <c r="G504" t="s">
        <v>2220</v>
      </c>
      <c r="H504" t="s">
        <v>1719</v>
      </c>
      <c r="I504" t="s">
        <v>1682</v>
      </c>
      <c r="J504" t="s">
        <v>967</v>
      </c>
      <c r="K504">
        <v>27</v>
      </c>
      <c r="L504">
        <v>64</v>
      </c>
      <c r="M504">
        <v>43</v>
      </c>
      <c r="N504" t="s">
        <v>153</v>
      </c>
      <c r="O504">
        <v>70</v>
      </c>
      <c r="P504">
        <v>58</v>
      </c>
      <c r="Q504" s="3">
        <v>0.23</v>
      </c>
    </row>
    <row r="505" spans="1:17" x14ac:dyDescent="0.35">
      <c r="A505" t="s">
        <v>162</v>
      </c>
      <c r="B505" t="s">
        <v>163</v>
      </c>
      <c r="C505" t="s">
        <v>1570</v>
      </c>
      <c r="D505" t="s">
        <v>2221</v>
      </c>
      <c r="E505" t="s">
        <v>68</v>
      </c>
      <c r="F505" t="s">
        <v>2222</v>
      </c>
      <c r="G505" t="s">
        <v>2223</v>
      </c>
      <c r="H505" t="s">
        <v>915</v>
      </c>
      <c r="I505" t="s">
        <v>774</v>
      </c>
      <c r="J505" s="1">
        <v>45779</v>
      </c>
      <c r="K505">
        <v>74</v>
      </c>
      <c r="L505">
        <v>72</v>
      </c>
      <c r="M505">
        <v>18</v>
      </c>
      <c r="N505" t="s">
        <v>2224</v>
      </c>
      <c r="O505">
        <v>83</v>
      </c>
      <c r="P505">
        <v>54</v>
      </c>
      <c r="Q505" s="3">
        <v>0.17</v>
      </c>
    </row>
    <row r="506" spans="1:17" x14ac:dyDescent="0.35">
      <c r="A506" t="s">
        <v>222</v>
      </c>
      <c r="B506" t="s">
        <v>65</v>
      </c>
      <c r="C506" t="s">
        <v>2225</v>
      </c>
      <c r="D506" t="s">
        <v>2226</v>
      </c>
      <c r="E506" t="s">
        <v>68</v>
      </c>
      <c r="F506" t="s">
        <v>2227</v>
      </c>
      <c r="G506" t="s">
        <v>2228</v>
      </c>
      <c r="H506" t="s">
        <v>1975</v>
      </c>
      <c r="I506" s="1">
        <v>45538</v>
      </c>
      <c r="J506" s="1">
        <v>45416</v>
      </c>
      <c r="K506">
        <v>27</v>
      </c>
      <c r="L506">
        <v>93</v>
      </c>
      <c r="M506">
        <v>88</v>
      </c>
      <c r="N506" t="s">
        <v>49</v>
      </c>
      <c r="O506">
        <v>66</v>
      </c>
      <c r="P506">
        <v>13</v>
      </c>
      <c r="Q506" s="3">
        <v>0.35</v>
      </c>
    </row>
    <row r="507" spans="1:17" x14ac:dyDescent="0.35">
      <c r="A507" t="s">
        <v>253</v>
      </c>
      <c r="B507" t="s">
        <v>65</v>
      </c>
      <c r="C507" t="s">
        <v>963</v>
      </c>
      <c r="D507" t="s">
        <v>2229</v>
      </c>
      <c r="E507" t="s">
        <v>30</v>
      </c>
      <c r="F507" t="s">
        <v>2230</v>
      </c>
      <c r="G507" t="s">
        <v>2231</v>
      </c>
      <c r="H507" t="s">
        <v>1975</v>
      </c>
      <c r="I507" t="s">
        <v>1869</v>
      </c>
      <c r="J507" s="1">
        <v>45810</v>
      </c>
      <c r="K507">
        <v>15</v>
      </c>
      <c r="L507">
        <v>76</v>
      </c>
      <c r="M507">
        <v>81</v>
      </c>
      <c r="N507" t="s">
        <v>34</v>
      </c>
      <c r="O507">
        <v>90</v>
      </c>
      <c r="P507">
        <v>26</v>
      </c>
      <c r="Q507" s="3">
        <v>0.8</v>
      </c>
    </row>
    <row r="508" spans="1:17" x14ac:dyDescent="0.35">
      <c r="A508" t="s">
        <v>750</v>
      </c>
      <c r="B508" t="s">
        <v>36</v>
      </c>
      <c r="C508" t="s">
        <v>1519</v>
      </c>
      <c r="D508" t="s">
        <v>2232</v>
      </c>
      <c r="E508" t="s">
        <v>68</v>
      </c>
      <c r="F508" t="s">
        <v>2233</v>
      </c>
      <c r="G508" t="s">
        <v>2234</v>
      </c>
      <c r="H508" t="s">
        <v>1975</v>
      </c>
      <c r="I508" t="s">
        <v>1738</v>
      </c>
      <c r="J508" t="s">
        <v>548</v>
      </c>
      <c r="K508">
        <v>60</v>
      </c>
      <c r="L508">
        <v>1</v>
      </c>
      <c r="M508">
        <v>42</v>
      </c>
      <c r="N508" t="s">
        <v>512</v>
      </c>
      <c r="O508">
        <v>42</v>
      </c>
      <c r="P508">
        <v>91</v>
      </c>
      <c r="Q508" s="3">
        <v>0.71</v>
      </c>
    </row>
    <row r="509" spans="1:17" x14ac:dyDescent="0.35">
      <c r="A509" t="s">
        <v>212</v>
      </c>
      <c r="B509" t="s">
        <v>75</v>
      </c>
      <c r="C509" t="s">
        <v>1893</v>
      </c>
      <c r="D509" t="s">
        <v>2235</v>
      </c>
      <c r="E509" t="s">
        <v>30</v>
      </c>
      <c r="F509" t="s">
        <v>2236</v>
      </c>
      <c r="G509" t="s">
        <v>2237</v>
      </c>
      <c r="H509" t="s">
        <v>803</v>
      </c>
      <c r="I509" s="1">
        <v>45418</v>
      </c>
      <c r="J509" s="1">
        <v>45507</v>
      </c>
      <c r="K509">
        <v>95</v>
      </c>
      <c r="L509">
        <v>63</v>
      </c>
      <c r="M509">
        <v>73</v>
      </c>
      <c r="N509" t="s">
        <v>57</v>
      </c>
      <c r="O509">
        <v>61</v>
      </c>
      <c r="P509">
        <v>38</v>
      </c>
      <c r="Q509" s="3">
        <v>-1.17</v>
      </c>
    </row>
    <row r="510" spans="1:17" x14ac:dyDescent="0.35">
      <c r="A510" t="s">
        <v>162</v>
      </c>
      <c r="B510" t="s">
        <v>163</v>
      </c>
      <c r="C510" t="s">
        <v>164</v>
      </c>
      <c r="D510" t="s">
        <v>2238</v>
      </c>
      <c r="E510" t="s">
        <v>21</v>
      </c>
      <c r="F510" t="s">
        <v>2239</v>
      </c>
      <c r="G510" t="s">
        <v>2240</v>
      </c>
      <c r="H510" t="s">
        <v>803</v>
      </c>
      <c r="I510" s="1">
        <v>45331</v>
      </c>
      <c r="J510" s="1">
        <v>45482</v>
      </c>
      <c r="K510">
        <v>21</v>
      </c>
      <c r="L510">
        <v>87</v>
      </c>
      <c r="M510">
        <v>12</v>
      </c>
      <c r="N510" t="s">
        <v>2224</v>
      </c>
      <c r="O510">
        <v>20</v>
      </c>
      <c r="P510">
        <v>38</v>
      </c>
      <c r="Q510" s="3">
        <v>0.38</v>
      </c>
    </row>
    <row r="511" spans="1:17" x14ac:dyDescent="0.35">
      <c r="A511" t="s">
        <v>1704</v>
      </c>
      <c r="B511" t="s">
        <v>18</v>
      </c>
      <c r="C511" t="s">
        <v>429</v>
      </c>
      <c r="D511" t="s">
        <v>2241</v>
      </c>
      <c r="E511" t="s">
        <v>21</v>
      </c>
      <c r="F511" t="s">
        <v>2242</v>
      </c>
      <c r="G511" t="s">
        <v>2243</v>
      </c>
      <c r="H511" t="s">
        <v>803</v>
      </c>
      <c r="I511" s="1">
        <v>45963</v>
      </c>
      <c r="J511" s="1">
        <v>45356</v>
      </c>
      <c r="K511">
        <v>89</v>
      </c>
      <c r="L511">
        <v>15</v>
      </c>
      <c r="M511">
        <v>22</v>
      </c>
      <c r="N511" t="s">
        <v>82</v>
      </c>
      <c r="O511">
        <v>79</v>
      </c>
      <c r="P511">
        <v>42</v>
      </c>
      <c r="Q511" s="3">
        <v>-0.9</v>
      </c>
    </row>
    <row r="512" spans="1:17" x14ac:dyDescent="0.35">
      <c r="A512" t="s">
        <v>356</v>
      </c>
      <c r="B512" t="s">
        <v>18</v>
      </c>
      <c r="C512" t="s">
        <v>259</v>
      </c>
      <c r="D512" t="s">
        <v>2244</v>
      </c>
      <c r="E512" t="s">
        <v>68</v>
      </c>
      <c r="F512" t="s">
        <v>2245</v>
      </c>
      <c r="G512" t="s">
        <v>2246</v>
      </c>
      <c r="H512" t="s">
        <v>803</v>
      </c>
      <c r="I512" t="s">
        <v>2032</v>
      </c>
      <c r="J512" t="s">
        <v>387</v>
      </c>
      <c r="K512">
        <v>14</v>
      </c>
      <c r="L512">
        <v>81</v>
      </c>
      <c r="M512">
        <v>65</v>
      </c>
      <c r="N512" t="s">
        <v>282</v>
      </c>
      <c r="O512">
        <v>74</v>
      </c>
      <c r="P512">
        <v>84</v>
      </c>
      <c r="Q512" s="3">
        <v>0.47</v>
      </c>
    </row>
    <row r="513" spans="1:17" x14ac:dyDescent="0.35">
      <c r="A513" t="s">
        <v>177</v>
      </c>
      <c r="B513" t="s">
        <v>18</v>
      </c>
      <c r="C513" t="s">
        <v>1395</v>
      </c>
      <c r="D513" t="s">
        <v>2247</v>
      </c>
      <c r="E513" t="s">
        <v>21</v>
      </c>
      <c r="F513" t="s">
        <v>2248</v>
      </c>
      <c r="G513" t="s">
        <v>2249</v>
      </c>
      <c r="H513" t="s">
        <v>803</v>
      </c>
      <c r="I513" t="s">
        <v>1195</v>
      </c>
      <c r="J513" s="1">
        <v>45546</v>
      </c>
      <c r="K513">
        <v>32</v>
      </c>
      <c r="L513">
        <v>63</v>
      </c>
      <c r="M513">
        <v>92</v>
      </c>
      <c r="N513" t="s">
        <v>2250</v>
      </c>
      <c r="O513">
        <v>84</v>
      </c>
      <c r="P513">
        <v>34</v>
      </c>
      <c r="Q513" s="3">
        <v>-0.14000000000000001</v>
      </c>
    </row>
    <row r="514" spans="1:17" x14ac:dyDescent="0.35">
      <c r="A514" t="s">
        <v>1191</v>
      </c>
      <c r="B514" t="s">
        <v>75</v>
      </c>
      <c r="C514" t="s">
        <v>1133</v>
      </c>
      <c r="D514" t="s">
        <v>2251</v>
      </c>
      <c r="E514" t="s">
        <v>30</v>
      </c>
      <c r="F514" t="s">
        <v>2252</v>
      </c>
      <c r="G514" t="s">
        <v>2253</v>
      </c>
      <c r="H514" t="s">
        <v>803</v>
      </c>
      <c r="I514" t="s">
        <v>1221</v>
      </c>
      <c r="J514" t="s">
        <v>548</v>
      </c>
      <c r="K514">
        <v>68</v>
      </c>
      <c r="L514">
        <v>43</v>
      </c>
      <c r="M514">
        <v>96</v>
      </c>
      <c r="N514" t="s">
        <v>169</v>
      </c>
      <c r="O514">
        <v>75</v>
      </c>
      <c r="P514">
        <v>35</v>
      </c>
      <c r="Q514" s="3">
        <v>0.6</v>
      </c>
    </row>
    <row r="515" spans="1:17" x14ac:dyDescent="0.35">
      <c r="A515" t="s">
        <v>350</v>
      </c>
      <c r="B515" t="s">
        <v>36</v>
      </c>
      <c r="C515" t="s">
        <v>471</v>
      </c>
      <c r="D515" t="s">
        <v>2254</v>
      </c>
      <c r="E515" t="s">
        <v>68</v>
      </c>
      <c r="F515" t="s">
        <v>2255</v>
      </c>
      <c r="G515" t="s">
        <v>2256</v>
      </c>
      <c r="H515" t="s">
        <v>176</v>
      </c>
      <c r="I515" t="s">
        <v>1719</v>
      </c>
      <c r="J515" s="1">
        <v>45511</v>
      </c>
      <c r="K515">
        <v>43</v>
      </c>
      <c r="L515">
        <v>10</v>
      </c>
      <c r="M515">
        <v>15</v>
      </c>
      <c r="N515" t="s">
        <v>355</v>
      </c>
      <c r="O515">
        <v>27</v>
      </c>
      <c r="P515">
        <v>69</v>
      </c>
      <c r="Q515" s="3">
        <v>0.53</v>
      </c>
    </row>
    <row r="516" spans="1:17" x14ac:dyDescent="0.35">
      <c r="A516" t="s">
        <v>435</v>
      </c>
      <c r="B516" t="s">
        <v>18</v>
      </c>
      <c r="C516" t="s">
        <v>265</v>
      </c>
      <c r="D516" t="s">
        <v>2257</v>
      </c>
      <c r="E516" t="s">
        <v>21</v>
      </c>
      <c r="F516" t="s">
        <v>2258</v>
      </c>
      <c r="G516" t="s">
        <v>2259</v>
      </c>
      <c r="H516" t="s">
        <v>176</v>
      </c>
      <c r="I516" t="s">
        <v>543</v>
      </c>
      <c r="J516" t="s">
        <v>2260</v>
      </c>
      <c r="K516">
        <v>92</v>
      </c>
      <c r="L516">
        <v>96</v>
      </c>
      <c r="M516">
        <v>56</v>
      </c>
      <c r="N516" t="s">
        <v>344</v>
      </c>
      <c r="O516">
        <v>32</v>
      </c>
      <c r="P516">
        <v>22</v>
      </c>
      <c r="Q516" s="3">
        <v>-1.56</v>
      </c>
    </row>
    <row r="517" spans="1:17" x14ac:dyDescent="0.35">
      <c r="A517" t="s">
        <v>408</v>
      </c>
      <c r="B517" t="s">
        <v>18</v>
      </c>
      <c r="C517" t="s">
        <v>451</v>
      </c>
      <c r="D517" t="s">
        <v>2261</v>
      </c>
      <c r="E517" t="s">
        <v>30</v>
      </c>
      <c r="F517" t="s">
        <v>2262</v>
      </c>
      <c r="G517" t="s">
        <v>2263</v>
      </c>
      <c r="H517" t="s">
        <v>176</v>
      </c>
      <c r="I517" s="1">
        <v>45514</v>
      </c>
      <c r="J517" s="1">
        <v>45363</v>
      </c>
      <c r="K517">
        <v>85</v>
      </c>
      <c r="L517">
        <v>16</v>
      </c>
      <c r="M517">
        <v>74</v>
      </c>
      <c r="N517" t="s">
        <v>2264</v>
      </c>
      <c r="O517">
        <v>58</v>
      </c>
      <c r="P517">
        <v>36</v>
      </c>
      <c r="Q517" s="3">
        <v>0.31</v>
      </c>
    </row>
    <row r="518" spans="1:17" x14ac:dyDescent="0.35">
      <c r="A518" t="s">
        <v>1782</v>
      </c>
      <c r="B518" t="s">
        <v>36</v>
      </c>
      <c r="C518" t="s">
        <v>1213</v>
      </c>
      <c r="D518" t="s">
        <v>2265</v>
      </c>
      <c r="E518" t="s">
        <v>68</v>
      </c>
      <c r="F518" t="s">
        <v>2266</v>
      </c>
      <c r="G518" t="s">
        <v>2267</v>
      </c>
      <c r="H518" t="s">
        <v>176</v>
      </c>
      <c r="I518" s="1">
        <v>45633</v>
      </c>
      <c r="J518" t="s">
        <v>791</v>
      </c>
      <c r="K518">
        <v>24</v>
      </c>
      <c r="L518">
        <v>1</v>
      </c>
      <c r="M518">
        <v>65</v>
      </c>
      <c r="N518" t="s">
        <v>57</v>
      </c>
      <c r="O518">
        <v>58</v>
      </c>
      <c r="P518">
        <v>61</v>
      </c>
      <c r="Q518" s="3">
        <v>0.38</v>
      </c>
    </row>
    <row r="519" spans="1:17" x14ac:dyDescent="0.35">
      <c r="A519" t="s">
        <v>1440</v>
      </c>
      <c r="B519" t="s">
        <v>18</v>
      </c>
      <c r="C519" t="s">
        <v>155</v>
      </c>
      <c r="D519" t="s">
        <v>2268</v>
      </c>
      <c r="E519" t="s">
        <v>30</v>
      </c>
      <c r="F519" t="s">
        <v>2269</v>
      </c>
      <c r="G519" t="s">
        <v>2270</v>
      </c>
      <c r="H519" t="s">
        <v>325</v>
      </c>
      <c r="I519" s="1">
        <v>45417</v>
      </c>
      <c r="J519" t="s">
        <v>276</v>
      </c>
      <c r="K519">
        <v>13</v>
      </c>
      <c r="L519">
        <v>88</v>
      </c>
      <c r="M519">
        <v>11</v>
      </c>
      <c r="N519" t="s">
        <v>153</v>
      </c>
      <c r="O519">
        <v>100</v>
      </c>
      <c r="P519">
        <v>52</v>
      </c>
      <c r="Q519" s="3">
        <v>-0.05</v>
      </c>
    </row>
    <row r="520" spans="1:17" x14ac:dyDescent="0.35">
      <c r="A520" t="s">
        <v>842</v>
      </c>
      <c r="B520" t="s">
        <v>75</v>
      </c>
      <c r="C520" t="s">
        <v>1991</v>
      </c>
      <c r="D520" t="s">
        <v>2271</v>
      </c>
      <c r="E520" t="s">
        <v>21</v>
      </c>
      <c r="F520" t="s">
        <v>2272</v>
      </c>
      <c r="G520" t="s">
        <v>2273</v>
      </c>
      <c r="H520" t="s">
        <v>645</v>
      </c>
      <c r="I520" t="s">
        <v>1029</v>
      </c>
      <c r="J520" t="s">
        <v>1461</v>
      </c>
      <c r="K520">
        <v>19</v>
      </c>
      <c r="L520">
        <v>99</v>
      </c>
      <c r="M520">
        <v>78</v>
      </c>
      <c r="N520" t="s">
        <v>88</v>
      </c>
      <c r="O520">
        <v>29</v>
      </c>
      <c r="P520">
        <v>54</v>
      </c>
      <c r="Q520" s="3">
        <v>0.48</v>
      </c>
    </row>
    <row r="521" spans="1:17" x14ac:dyDescent="0.35">
      <c r="A521" t="s">
        <v>162</v>
      </c>
      <c r="B521" t="s">
        <v>163</v>
      </c>
      <c r="C521" t="s">
        <v>2225</v>
      </c>
      <c r="D521" t="s">
        <v>2274</v>
      </c>
      <c r="E521" t="s">
        <v>30</v>
      </c>
      <c r="F521" t="s">
        <v>2275</v>
      </c>
      <c r="G521" t="s">
        <v>2276</v>
      </c>
      <c r="H521" t="s">
        <v>381</v>
      </c>
      <c r="I521" t="s">
        <v>554</v>
      </c>
      <c r="J521" t="s">
        <v>1073</v>
      </c>
      <c r="K521">
        <v>97</v>
      </c>
      <c r="L521">
        <v>77</v>
      </c>
      <c r="M521">
        <v>99</v>
      </c>
      <c r="N521" t="s">
        <v>169</v>
      </c>
      <c r="O521">
        <v>74</v>
      </c>
      <c r="P521">
        <v>98</v>
      </c>
      <c r="Q521" s="3">
        <v>-0.86</v>
      </c>
    </row>
    <row r="522" spans="1:17" x14ac:dyDescent="0.35">
      <c r="A522" t="s">
        <v>750</v>
      </c>
      <c r="B522" t="s">
        <v>36</v>
      </c>
      <c r="C522" t="s">
        <v>635</v>
      </c>
      <c r="D522" t="s">
        <v>2277</v>
      </c>
      <c r="E522" t="s">
        <v>30</v>
      </c>
      <c r="F522" t="s">
        <v>2278</v>
      </c>
      <c r="G522" t="s">
        <v>2279</v>
      </c>
      <c r="H522" t="s">
        <v>381</v>
      </c>
      <c r="I522" s="1">
        <v>45544</v>
      </c>
      <c r="J522" t="s">
        <v>712</v>
      </c>
      <c r="K522">
        <v>52</v>
      </c>
      <c r="L522">
        <v>64</v>
      </c>
      <c r="M522">
        <v>54</v>
      </c>
      <c r="N522" t="s">
        <v>63</v>
      </c>
      <c r="O522">
        <v>21</v>
      </c>
      <c r="P522">
        <v>55</v>
      </c>
      <c r="Q522" s="3">
        <v>-0.32</v>
      </c>
    </row>
    <row r="523" spans="1:17" x14ac:dyDescent="0.35">
      <c r="A523" t="s">
        <v>1311</v>
      </c>
      <c r="B523" t="s">
        <v>36</v>
      </c>
      <c r="C523" t="s">
        <v>1675</v>
      </c>
      <c r="D523" t="s">
        <v>2280</v>
      </c>
      <c r="E523" t="s">
        <v>21</v>
      </c>
      <c r="F523" t="s">
        <v>2281</v>
      </c>
      <c r="G523" t="s">
        <v>2282</v>
      </c>
      <c r="H523" t="s">
        <v>227</v>
      </c>
      <c r="I523" t="s">
        <v>2058</v>
      </c>
      <c r="J523" t="s">
        <v>2012</v>
      </c>
      <c r="K523">
        <v>96</v>
      </c>
      <c r="L523">
        <v>34</v>
      </c>
      <c r="M523">
        <v>57</v>
      </c>
      <c r="N523" t="s">
        <v>798</v>
      </c>
      <c r="O523">
        <v>71</v>
      </c>
      <c r="P523">
        <v>17</v>
      </c>
      <c r="Q523" s="3">
        <v>-1.62</v>
      </c>
    </row>
    <row r="524" spans="1:17" x14ac:dyDescent="0.35">
      <c r="A524" t="s">
        <v>1234</v>
      </c>
      <c r="B524" t="s">
        <v>27</v>
      </c>
      <c r="C524" t="s">
        <v>1810</v>
      </c>
      <c r="D524" t="s">
        <v>2283</v>
      </c>
      <c r="E524" t="s">
        <v>21</v>
      </c>
      <c r="F524" t="s">
        <v>2284</v>
      </c>
      <c r="G524" t="s">
        <v>2285</v>
      </c>
      <c r="H524" t="s">
        <v>227</v>
      </c>
      <c r="I524" t="s">
        <v>245</v>
      </c>
      <c r="J524" s="1">
        <v>45839</v>
      </c>
      <c r="K524">
        <v>26</v>
      </c>
      <c r="L524">
        <v>100</v>
      </c>
      <c r="M524">
        <v>13</v>
      </c>
      <c r="N524" t="s">
        <v>128</v>
      </c>
      <c r="O524">
        <v>45</v>
      </c>
      <c r="P524">
        <v>45</v>
      </c>
      <c r="Q524" s="3">
        <v>0.76</v>
      </c>
    </row>
    <row r="525" spans="1:17" x14ac:dyDescent="0.35">
      <c r="A525" t="s">
        <v>695</v>
      </c>
      <c r="B525" t="s">
        <v>65</v>
      </c>
      <c r="C525" t="s">
        <v>490</v>
      </c>
      <c r="D525" t="s">
        <v>2286</v>
      </c>
      <c r="E525" t="s">
        <v>30</v>
      </c>
      <c r="F525" t="s">
        <v>2287</v>
      </c>
      <c r="G525" t="s">
        <v>2288</v>
      </c>
      <c r="H525" t="s">
        <v>227</v>
      </c>
      <c r="I525" s="1">
        <v>45604</v>
      </c>
      <c r="J525" t="s">
        <v>1836</v>
      </c>
      <c r="K525">
        <v>51</v>
      </c>
      <c r="L525">
        <v>47</v>
      </c>
      <c r="M525">
        <v>6</v>
      </c>
      <c r="N525" t="s">
        <v>128</v>
      </c>
      <c r="O525">
        <v>53</v>
      </c>
      <c r="P525">
        <v>4</v>
      </c>
      <c r="Q525" s="3">
        <v>0</v>
      </c>
    </row>
    <row r="526" spans="1:17" x14ac:dyDescent="0.35">
      <c r="A526" t="s">
        <v>217</v>
      </c>
      <c r="B526" t="s">
        <v>65</v>
      </c>
      <c r="C526" t="s">
        <v>2289</v>
      </c>
      <c r="D526" t="s">
        <v>2290</v>
      </c>
      <c r="E526" t="s">
        <v>68</v>
      </c>
      <c r="F526" t="s">
        <v>2291</v>
      </c>
      <c r="G526" t="s">
        <v>2292</v>
      </c>
      <c r="H526" t="s">
        <v>227</v>
      </c>
      <c r="I526" s="1">
        <v>45902</v>
      </c>
      <c r="J526" t="s">
        <v>732</v>
      </c>
      <c r="K526">
        <v>51</v>
      </c>
      <c r="L526">
        <v>19</v>
      </c>
      <c r="M526">
        <v>96</v>
      </c>
      <c r="N526" t="s">
        <v>134</v>
      </c>
      <c r="O526">
        <v>73</v>
      </c>
      <c r="P526">
        <v>42</v>
      </c>
      <c r="Q526" s="3">
        <v>0.92</v>
      </c>
    </row>
    <row r="527" spans="1:17" x14ac:dyDescent="0.35">
      <c r="A527" t="s">
        <v>148</v>
      </c>
      <c r="B527" t="s">
        <v>18</v>
      </c>
      <c r="C527" t="s">
        <v>1599</v>
      </c>
      <c r="D527" t="s">
        <v>2293</v>
      </c>
      <c r="E527" t="s">
        <v>30</v>
      </c>
      <c r="F527" t="s">
        <v>2294</v>
      </c>
      <c r="G527" t="s">
        <v>2295</v>
      </c>
      <c r="H527" t="s">
        <v>1149</v>
      </c>
      <c r="I527" s="1">
        <v>45296</v>
      </c>
      <c r="J527" s="1">
        <v>45870</v>
      </c>
      <c r="K527">
        <v>39</v>
      </c>
      <c r="L527">
        <v>21</v>
      </c>
      <c r="M527">
        <v>5</v>
      </c>
      <c r="N527" t="s">
        <v>153</v>
      </c>
      <c r="O527">
        <v>51</v>
      </c>
      <c r="P527">
        <v>98</v>
      </c>
      <c r="Q527" s="3">
        <v>0.42</v>
      </c>
    </row>
    <row r="528" spans="1:17" x14ac:dyDescent="0.35">
      <c r="A528" t="s">
        <v>326</v>
      </c>
      <c r="B528" t="s">
        <v>18</v>
      </c>
      <c r="C528" t="s">
        <v>76</v>
      </c>
      <c r="D528" t="s">
        <v>2296</v>
      </c>
      <c r="E528" t="s">
        <v>68</v>
      </c>
      <c r="F528" t="s">
        <v>2297</v>
      </c>
      <c r="G528" t="s">
        <v>2298</v>
      </c>
      <c r="H528" t="s">
        <v>1149</v>
      </c>
      <c r="I528" t="s">
        <v>2299</v>
      </c>
      <c r="J528" t="s">
        <v>1149</v>
      </c>
      <c r="K528">
        <v>90</v>
      </c>
      <c r="L528">
        <v>91</v>
      </c>
      <c r="M528">
        <v>62</v>
      </c>
      <c r="N528" t="s">
        <v>73</v>
      </c>
      <c r="O528">
        <v>34</v>
      </c>
      <c r="P528">
        <v>72</v>
      </c>
      <c r="Q528" s="3">
        <v>-0.92</v>
      </c>
    </row>
    <row r="529" spans="1:17" x14ac:dyDescent="0.35">
      <c r="A529" t="s">
        <v>376</v>
      </c>
      <c r="B529" t="s">
        <v>18</v>
      </c>
      <c r="C529" t="s">
        <v>2300</v>
      </c>
      <c r="D529" t="s">
        <v>2301</v>
      </c>
      <c r="E529" t="s">
        <v>68</v>
      </c>
      <c r="F529" t="s">
        <v>2302</v>
      </c>
      <c r="G529" t="s">
        <v>2303</v>
      </c>
      <c r="H529" t="s">
        <v>827</v>
      </c>
      <c r="I529" s="1">
        <v>45718</v>
      </c>
      <c r="J529" t="s">
        <v>1719</v>
      </c>
      <c r="K529">
        <v>35</v>
      </c>
      <c r="L529">
        <v>92</v>
      </c>
      <c r="M529">
        <v>74</v>
      </c>
      <c r="N529" t="s">
        <v>34</v>
      </c>
      <c r="O529">
        <v>76</v>
      </c>
      <c r="P529">
        <v>32</v>
      </c>
      <c r="Q529" s="3">
        <v>-1.1200000000000001</v>
      </c>
    </row>
    <row r="530" spans="1:17" x14ac:dyDescent="0.35">
      <c r="A530" t="s">
        <v>1307</v>
      </c>
      <c r="B530" t="s">
        <v>163</v>
      </c>
      <c r="C530" t="s">
        <v>2304</v>
      </c>
      <c r="D530" t="s">
        <v>2305</v>
      </c>
      <c r="E530" t="s">
        <v>30</v>
      </c>
      <c r="F530" t="s">
        <v>2306</v>
      </c>
      <c r="G530" t="s">
        <v>2307</v>
      </c>
      <c r="H530" t="s">
        <v>827</v>
      </c>
      <c r="I530" t="s">
        <v>1246</v>
      </c>
      <c r="J530" t="s">
        <v>531</v>
      </c>
      <c r="K530">
        <v>39</v>
      </c>
      <c r="L530">
        <v>88</v>
      </c>
      <c r="M530">
        <v>100</v>
      </c>
      <c r="N530" t="s">
        <v>798</v>
      </c>
      <c r="O530">
        <v>28</v>
      </c>
      <c r="P530">
        <v>18</v>
      </c>
      <c r="Q530" s="3">
        <v>0.57999999999999996</v>
      </c>
    </row>
    <row r="531" spans="1:17" x14ac:dyDescent="0.35">
      <c r="A531" t="s">
        <v>527</v>
      </c>
      <c r="B531" t="s">
        <v>65</v>
      </c>
      <c r="C531" t="s">
        <v>254</v>
      </c>
      <c r="D531" t="s">
        <v>2308</v>
      </c>
      <c r="E531" t="s">
        <v>68</v>
      </c>
      <c r="F531" t="s">
        <v>2309</v>
      </c>
      <c r="G531" t="s">
        <v>2310</v>
      </c>
      <c r="H531" t="s">
        <v>827</v>
      </c>
      <c r="I531" t="s">
        <v>233</v>
      </c>
      <c r="J531" s="1">
        <v>45330</v>
      </c>
      <c r="K531">
        <v>64</v>
      </c>
      <c r="L531">
        <v>97</v>
      </c>
      <c r="M531">
        <v>91</v>
      </c>
      <c r="N531" t="s">
        <v>153</v>
      </c>
      <c r="O531">
        <v>48</v>
      </c>
      <c r="P531">
        <v>100</v>
      </c>
      <c r="Q531" s="3">
        <v>0.36</v>
      </c>
    </row>
    <row r="532" spans="1:17" x14ac:dyDescent="0.35">
      <c r="A532" t="s">
        <v>423</v>
      </c>
      <c r="B532" t="s">
        <v>65</v>
      </c>
      <c r="C532" t="s">
        <v>2311</v>
      </c>
      <c r="D532" t="s">
        <v>2312</v>
      </c>
      <c r="E532" t="s">
        <v>68</v>
      </c>
      <c r="F532" t="s">
        <v>2313</v>
      </c>
      <c r="G532" t="s">
        <v>2314</v>
      </c>
      <c r="H532" t="s">
        <v>827</v>
      </c>
      <c r="I532" t="s">
        <v>1080</v>
      </c>
      <c r="J532" s="1">
        <v>45573</v>
      </c>
      <c r="K532">
        <v>98</v>
      </c>
      <c r="L532">
        <v>30</v>
      </c>
      <c r="M532">
        <v>39</v>
      </c>
      <c r="N532" t="s">
        <v>82</v>
      </c>
      <c r="O532">
        <v>31</v>
      </c>
      <c r="P532">
        <v>26</v>
      </c>
      <c r="Q532" s="3">
        <v>-1.08</v>
      </c>
    </row>
    <row r="533" spans="1:17" x14ac:dyDescent="0.35">
      <c r="A533" t="s">
        <v>217</v>
      </c>
      <c r="B533" t="s">
        <v>65</v>
      </c>
      <c r="C533" t="s">
        <v>1580</v>
      </c>
      <c r="D533" t="s">
        <v>2315</v>
      </c>
      <c r="E533" t="s">
        <v>68</v>
      </c>
      <c r="F533" t="s">
        <v>2316</v>
      </c>
      <c r="G533" t="s">
        <v>2317</v>
      </c>
      <c r="H533" t="s">
        <v>205</v>
      </c>
      <c r="I533" s="1">
        <v>45452</v>
      </c>
      <c r="J533" t="s">
        <v>610</v>
      </c>
      <c r="K533">
        <v>95</v>
      </c>
      <c r="L533">
        <v>93</v>
      </c>
      <c r="M533">
        <v>16</v>
      </c>
      <c r="N533" t="s">
        <v>134</v>
      </c>
      <c r="O533">
        <v>60</v>
      </c>
      <c r="P533">
        <v>19</v>
      </c>
      <c r="Q533" s="3">
        <v>0.16</v>
      </c>
    </row>
    <row r="534" spans="1:17" x14ac:dyDescent="0.35">
      <c r="A534" t="s">
        <v>26</v>
      </c>
      <c r="B534" t="s">
        <v>27</v>
      </c>
      <c r="C534" t="s">
        <v>838</v>
      </c>
      <c r="D534" t="s">
        <v>2318</v>
      </c>
      <c r="E534" t="s">
        <v>21</v>
      </c>
      <c r="F534" t="s">
        <v>2319</v>
      </c>
      <c r="G534" t="s">
        <v>2320</v>
      </c>
      <c r="H534" t="s">
        <v>205</v>
      </c>
      <c r="I534" s="1">
        <v>45574</v>
      </c>
      <c r="J534" s="1">
        <v>45359</v>
      </c>
      <c r="K534">
        <v>70</v>
      </c>
      <c r="L534">
        <v>96</v>
      </c>
      <c r="M534">
        <v>21</v>
      </c>
      <c r="N534" t="s">
        <v>34</v>
      </c>
      <c r="O534">
        <v>100</v>
      </c>
      <c r="P534">
        <v>15</v>
      </c>
      <c r="Q534" s="3">
        <v>0.68</v>
      </c>
    </row>
    <row r="535" spans="1:17" x14ac:dyDescent="0.35">
      <c r="A535" t="s">
        <v>1527</v>
      </c>
      <c r="B535" t="s">
        <v>18</v>
      </c>
      <c r="C535" t="s">
        <v>654</v>
      </c>
      <c r="D535" t="s">
        <v>2321</v>
      </c>
      <c r="E535" t="s">
        <v>68</v>
      </c>
      <c r="F535" t="s">
        <v>2322</v>
      </c>
      <c r="G535" t="s">
        <v>2323</v>
      </c>
      <c r="H535" t="s">
        <v>205</v>
      </c>
      <c r="I535" t="s">
        <v>343</v>
      </c>
      <c r="J535" s="1">
        <v>45303</v>
      </c>
      <c r="K535">
        <v>20</v>
      </c>
      <c r="L535">
        <v>91</v>
      </c>
      <c r="M535">
        <v>12</v>
      </c>
      <c r="N535" t="s">
        <v>134</v>
      </c>
      <c r="O535">
        <v>35</v>
      </c>
      <c r="P535">
        <v>50</v>
      </c>
      <c r="Q535" s="3">
        <v>0.85</v>
      </c>
    </row>
    <row r="536" spans="1:17" x14ac:dyDescent="0.35">
      <c r="A536" t="s">
        <v>356</v>
      </c>
      <c r="B536" t="s">
        <v>18</v>
      </c>
      <c r="C536" t="s">
        <v>804</v>
      </c>
      <c r="D536" t="s">
        <v>2324</v>
      </c>
      <c r="E536" t="s">
        <v>21</v>
      </c>
      <c r="F536" t="s">
        <v>2325</v>
      </c>
      <c r="G536" t="s">
        <v>2326</v>
      </c>
      <c r="H536" t="s">
        <v>205</v>
      </c>
      <c r="I536" s="1">
        <v>45420</v>
      </c>
      <c r="J536" t="s">
        <v>732</v>
      </c>
      <c r="K536">
        <v>18</v>
      </c>
      <c r="L536">
        <v>7</v>
      </c>
      <c r="M536">
        <v>58</v>
      </c>
      <c r="N536" t="s">
        <v>282</v>
      </c>
      <c r="O536">
        <v>88</v>
      </c>
      <c r="P536">
        <v>96</v>
      </c>
      <c r="Q536" s="3">
        <v>-0.43</v>
      </c>
    </row>
    <row r="537" spans="1:17" x14ac:dyDescent="0.35">
      <c r="A537" t="s">
        <v>741</v>
      </c>
      <c r="B537" t="s">
        <v>27</v>
      </c>
      <c r="C537" t="s">
        <v>1377</v>
      </c>
      <c r="D537" t="s">
        <v>2327</v>
      </c>
      <c r="E537" t="s">
        <v>21</v>
      </c>
      <c r="F537" t="s">
        <v>2328</v>
      </c>
      <c r="G537" t="s">
        <v>2329</v>
      </c>
      <c r="H537" t="s">
        <v>205</v>
      </c>
      <c r="I537" t="s">
        <v>2092</v>
      </c>
      <c r="J537" s="1">
        <v>45508</v>
      </c>
      <c r="K537">
        <v>54</v>
      </c>
      <c r="L537">
        <v>86</v>
      </c>
      <c r="M537">
        <v>69</v>
      </c>
      <c r="N537" t="s">
        <v>73</v>
      </c>
      <c r="O537">
        <v>29</v>
      </c>
      <c r="P537">
        <v>8</v>
      </c>
      <c r="Q537" s="3">
        <v>-0.09</v>
      </c>
    </row>
    <row r="538" spans="1:17" x14ac:dyDescent="0.35">
      <c r="A538" t="s">
        <v>1527</v>
      </c>
      <c r="B538" t="s">
        <v>18</v>
      </c>
      <c r="C538" t="s">
        <v>625</v>
      </c>
      <c r="D538" t="s">
        <v>2330</v>
      </c>
      <c r="E538" t="s">
        <v>21</v>
      </c>
      <c r="F538" t="s">
        <v>2331</v>
      </c>
      <c r="G538" t="s">
        <v>2332</v>
      </c>
      <c r="H538" t="s">
        <v>205</v>
      </c>
      <c r="I538" s="1">
        <v>45294</v>
      </c>
      <c r="J538" t="s">
        <v>1738</v>
      </c>
      <c r="K538">
        <v>19</v>
      </c>
      <c r="L538">
        <v>28</v>
      </c>
      <c r="M538">
        <v>83</v>
      </c>
      <c r="N538" t="s">
        <v>134</v>
      </c>
      <c r="O538">
        <v>91</v>
      </c>
      <c r="P538">
        <v>73</v>
      </c>
      <c r="Q538" s="3">
        <v>0.72</v>
      </c>
    </row>
    <row r="539" spans="1:17" x14ac:dyDescent="0.35">
      <c r="A539" t="s">
        <v>142</v>
      </c>
      <c r="B539" t="s">
        <v>36</v>
      </c>
      <c r="C539" t="s">
        <v>963</v>
      </c>
      <c r="D539" t="s">
        <v>2333</v>
      </c>
      <c r="E539" t="s">
        <v>68</v>
      </c>
      <c r="F539" t="s">
        <v>2334</v>
      </c>
      <c r="G539" t="s">
        <v>2335</v>
      </c>
      <c r="H539" t="s">
        <v>2299</v>
      </c>
      <c r="I539" t="s">
        <v>1431</v>
      </c>
      <c r="J539" s="1">
        <v>45809</v>
      </c>
      <c r="K539">
        <v>66</v>
      </c>
      <c r="L539">
        <v>40</v>
      </c>
      <c r="M539">
        <v>8</v>
      </c>
      <c r="N539" t="s">
        <v>344</v>
      </c>
      <c r="O539">
        <v>43</v>
      </c>
      <c r="P539">
        <v>49</v>
      </c>
      <c r="Q539" s="3">
        <v>0.2</v>
      </c>
    </row>
    <row r="540" spans="1:17" x14ac:dyDescent="0.35">
      <c r="A540" t="s">
        <v>496</v>
      </c>
      <c r="B540" t="s">
        <v>18</v>
      </c>
      <c r="C540" t="s">
        <v>2336</v>
      </c>
      <c r="D540" t="s">
        <v>2337</v>
      </c>
      <c r="E540" t="s">
        <v>21</v>
      </c>
      <c r="F540" t="s">
        <v>2338</v>
      </c>
      <c r="G540" t="s">
        <v>2339</v>
      </c>
      <c r="H540" t="s">
        <v>2299</v>
      </c>
      <c r="I540" t="s">
        <v>958</v>
      </c>
      <c r="J540" t="s">
        <v>982</v>
      </c>
      <c r="K540">
        <v>88</v>
      </c>
      <c r="L540">
        <v>27</v>
      </c>
      <c r="M540">
        <v>92</v>
      </c>
      <c r="N540" t="s">
        <v>502</v>
      </c>
      <c r="O540">
        <v>57</v>
      </c>
      <c r="P540">
        <v>37</v>
      </c>
      <c r="Q540" s="3">
        <v>-0.14000000000000001</v>
      </c>
    </row>
    <row r="541" spans="1:17" x14ac:dyDescent="0.35">
      <c r="A541" t="s">
        <v>194</v>
      </c>
      <c r="B541" t="s">
        <v>114</v>
      </c>
      <c r="C541" t="s">
        <v>2340</v>
      </c>
      <c r="D541" t="s">
        <v>2341</v>
      </c>
      <c r="E541" t="s">
        <v>21</v>
      </c>
      <c r="F541" t="s">
        <v>2342</v>
      </c>
      <c r="G541" t="s">
        <v>2343</v>
      </c>
      <c r="H541" t="s">
        <v>2299</v>
      </c>
      <c r="I541" t="s">
        <v>1096</v>
      </c>
      <c r="J541" s="1">
        <v>45480</v>
      </c>
      <c r="K541">
        <v>71</v>
      </c>
      <c r="L541">
        <v>97</v>
      </c>
      <c r="M541">
        <v>44</v>
      </c>
      <c r="N541" t="s">
        <v>121</v>
      </c>
      <c r="O541">
        <v>58</v>
      </c>
      <c r="P541">
        <v>14</v>
      </c>
      <c r="Q541" s="3">
        <v>0.35</v>
      </c>
    </row>
    <row r="542" spans="1:17" x14ac:dyDescent="0.35">
      <c r="A542" t="s">
        <v>376</v>
      </c>
      <c r="B542" t="s">
        <v>18</v>
      </c>
      <c r="C542" t="s">
        <v>2344</v>
      </c>
      <c r="D542" t="s">
        <v>2345</v>
      </c>
      <c r="E542" t="s">
        <v>68</v>
      </c>
      <c r="F542" t="s">
        <v>2346</v>
      </c>
      <c r="G542" t="s">
        <v>2347</v>
      </c>
      <c r="H542" t="s">
        <v>2299</v>
      </c>
      <c r="I542" t="s">
        <v>312</v>
      </c>
      <c r="J542" t="s">
        <v>489</v>
      </c>
      <c r="K542">
        <v>39</v>
      </c>
      <c r="L542">
        <v>37</v>
      </c>
      <c r="M542">
        <v>48</v>
      </c>
      <c r="N542" t="s">
        <v>34</v>
      </c>
      <c r="O542">
        <v>25</v>
      </c>
      <c r="P542">
        <v>19</v>
      </c>
      <c r="Q542" s="3">
        <v>0.76</v>
      </c>
    </row>
    <row r="543" spans="1:17" x14ac:dyDescent="0.35">
      <c r="A543" t="s">
        <v>408</v>
      </c>
      <c r="B543" t="s">
        <v>18</v>
      </c>
      <c r="C543" t="s">
        <v>2348</v>
      </c>
      <c r="D543" t="s">
        <v>2349</v>
      </c>
      <c r="E543" t="s">
        <v>21</v>
      </c>
      <c r="F543" t="s">
        <v>2350</v>
      </c>
      <c r="G543" t="s">
        <v>2351</v>
      </c>
      <c r="H543" t="s">
        <v>1482</v>
      </c>
      <c r="I543" t="s">
        <v>1888</v>
      </c>
      <c r="J543" t="s">
        <v>1178</v>
      </c>
      <c r="K543">
        <v>20</v>
      </c>
      <c r="L543">
        <v>42</v>
      </c>
      <c r="M543">
        <v>21</v>
      </c>
      <c r="N543" t="s">
        <v>2264</v>
      </c>
      <c r="O543">
        <v>61</v>
      </c>
      <c r="P543">
        <v>25</v>
      </c>
      <c r="Q543" s="3">
        <v>0.24</v>
      </c>
    </row>
    <row r="544" spans="1:17" x14ac:dyDescent="0.35">
      <c r="A544" t="s">
        <v>708</v>
      </c>
      <c r="B544" t="s">
        <v>163</v>
      </c>
      <c r="C544" t="s">
        <v>357</v>
      </c>
      <c r="D544" t="s">
        <v>2352</v>
      </c>
      <c r="E544" t="s">
        <v>21</v>
      </c>
      <c r="F544" t="s">
        <v>2353</v>
      </c>
      <c r="G544" t="s">
        <v>2354</v>
      </c>
      <c r="H544" t="s">
        <v>1482</v>
      </c>
      <c r="I544" t="s">
        <v>1983</v>
      </c>
      <c r="J544" t="s">
        <v>464</v>
      </c>
      <c r="K544">
        <v>33</v>
      </c>
      <c r="L544">
        <v>22</v>
      </c>
      <c r="M544">
        <v>94</v>
      </c>
      <c r="N544" t="s">
        <v>713</v>
      </c>
      <c r="O544">
        <v>96</v>
      </c>
      <c r="P544">
        <v>56</v>
      </c>
      <c r="Q544" s="3">
        <v>0.59</v>
      </c>
    </row>
    <row r="545" spans="1:17" x14ac:dyDescent="0.35">
      <c r="A545" t="s">
        <v>247</v>
      </c>
      <c r="B545" t="s">
        <v>18</v>
      </c>
      <c r="C545" t="s">
        <v>1822</v>
      </c>
      <c r="D545" t="s">
        <v>2355</v>
      </c>
      <c r="E545" t="s">
        <v>30</v>
      </c>
      <c r="F545" t="s">
        <v>2356</v>
      </c>
      <c r="G545" t="s">
        <v>2357</v>
      </c>
      <c r="H545" t="s">
        <v>501</v>
      </c>
      <c r="I545" s="1">
        <v>45840</v>
      </c>
      <c r="J545" s="1">
        <v>45748</v>
      </c>
      <c r="K545">
        <v>29</v>
      </c>
      <c r="L545">
        <v>83</v>
      </c>
      <c r="M545">
        <v>91</v>
      </c>
      <c r="N545" t="s">
        <v>34</v>
      </c>
      <c r="O545">
        <v>81</v>
      </c>
      <c r="P545">
        <v>53</v>
      </c>
      <c r="Q545" s="3">
        <v>0.42</v>
      </c>
    </row>
    <row r="546" spans="1:17" x14ac:dyDescent="0.35">
      <c r="A546" t="s">
        <v>418</v>
      </c>
      <c r="B546" t="s">
        <v>65</v>
      </c>
      <c r="C546" t="s">
        <v>2054</v>
      </c>
      <c r="D546" t="s">
        <v>2358</v>
      </c>
      <c r="E546" t="s">
        <v>30</v>
      </c>
      <c r="F546" t="s">
        <v>2359</v>
      </c>
      <c r="G546" t="s">
        <v>2360</v>
      </c>
      <c r="H546" t="s">
        <v>501</v>
      </c>
      <c r="I546" s="1">
        <v>45303</v>
      </c>
      <c r="J546" t="s">
        <v>1407</v>
      </c>
      <c r="K546">
        <v>92</v>
      </c>
      <c r="L546">
        <v>48</v>
      </c>
      <c r="M546">
        <v>22</v>
      </c>
      <c r="N546" t="s">
        <v>2361</v>
      </c>
      <c r="O546">
        <v>38</v>
      </c>
      <c r="P546">
        <v>61</v>
      </c>
      <c r="Q546" s="3">
        <v>0.35</v>
      </c>
    </row>
    <row r="547" spans="1:17" x14ac:dyDescent="0.35">
      <c r="A547" t="s">
        <v>350</v>
      </c>
      <c r="B547" t="s">
        <v>36</v>
      </c>
      <c r="C547" t="s">
        <v>2002</v>
      </c>
      <c r="D547" t="s">
        <v>2362</v>
      </c>
      <c r="E547" t="s">
        <v>30</v>
      </c>
      <c r="F547" t="s">
        <v>2363</v>
      </c>
      <c r="G547" t="s">
        <v>2364</v>
      </c>
      <c r="H547" t="s">
        <v>1682</v>
      </c>
      <c r="I547" t="s">
        <v>140</v>
      </c>
      <c r="J547" s="1">
        <v>45603</v>
      </c>
      <c r="K547">
        <v>70</v>
      </c>
      <c r="L547">
        <v>92</v>
      </c>
      <c r="M547">
        <v>74</v>
      </c>
      <c r="N547" t="s">
        <v>355</v>
      </c>
      <c r="O547">
        <v>95</v>
      </c>
      <c r="P547">
        <v>26</v>
      </c>
      <c r="Q547" s="3">
        <v>-0.61</v>
      </c>
    </row>
    <row r="548" spans="1:17" x14ac:dyDescent="0.35">
      <c r="A548" t="s">
        <v>35</v>
      </c>
      <c r="B548" t="s">
        <v>36</v>
      </c>
      <c r="C548" t="s">
        <v>254</v>
      </c>
      <c r="D548" t="s">
        <v>2365</v>
      </c>
      <c r="E548" t="s">
        <v>30</v>
      </c>
      <c r="F548" t="s">
        <v>2366</v>
      </c>
      <c r="G548" t="s">
        <v>2367</v>
      </c>
      <c r="H548" t="s">
        <v>1682</v>
      </c>
      <c r="I548" t="s">
        <v>501</v>
      </c>
      <c r="J548" s="1">
        <v>45630</v>
      </c>
      <c r="K548">
        <v>65</v>
      </c>
      <c r="L548">
        <v>54</v>
      </c>
      <c r="M548">
        <v>29</v>
      </c>
      <c r="N548" t="s">
        <v>42</v>
      </c>
      <c r="O548">
        <v>69</v>
      </c>
      <c r="P548">
        <v>79</v>
      </c>
      <c r="Q548" s="3">
        <v>0.73</v>
      </c>
    </row>
    <row r="549" spans="1:17" x14ac:dyDescent="0.35">
      <c r="A549" t="s">
        <v>685</v>
      </c>
      <c r="B549" t="s">
        <v>114</v>
      </c>
      <c r="C549" t="s">
        <v>1794</v>
      </c>
      <c r="D549" t="s">
        <v>2368</v>
      </c>
      <c r="E549" t="s">
        <v>21</v>
      </c>
      <c r="F549" t="s">
        <v>2369</v>
      </c>
      <c r="G549" t="s">
        <v>2370</v>
      </c>
      <c r="H549" t="s">
        <v>343</v>
      </c>
      <c r="I549" s="1">
        <v>45902</v>
      </c>
      <c r="J549" t="s">
        <v>393</v>
      </c>
      <c r="K549">
        <v>26</v>
      </c>
      <c r="L549">
        <v>79</v>
      </c>
      <c r="M549">
        <v>31</v>
      </c>
      <c r="N549" t="s">
        <v>153</v>
      </c>
      <c r="O549">
        <v>47</v>
      </c>
      <c r="P549">
        <v>41</v>
      </c>
      <c r="Q549" s="3">
        <v>-0.14000000000000001</v>
      </c>
    </row>
    <row r="550" spans="1:17" x14ac:dyDescent="0.35">
      <c r="A550" t="s">
        <v>1008</v>
      </c>
      <c r="B550" t="s">
        <v>18</v>
      </c>
      <c r="C550" t="s">
        <v>2371</v>
      </c>
      <c r="D550" t="s">
        <v>2372</v>
      </c>
      <c r="E550" t="s">
        <v>30</v>
      </c>
      <c r="F550" t="s">
        <v>2373</v>
      </c>
      <c r="G550" t="s">
        <v>2374</v>
      </c>
      <c r="H550" t="s">
        <v>343</v>
      </c>
      <c r="I550" t="s">
        <v>1888</v>
      </c>
      <c r="J550" t="s">
        <v>494</v>
      </c>
      <c r="K550">
        <v>99</v>
      </c>
      <c r="L550">
        <v>1</v>
      </c>
      <c r="M550">
        <v>4</v>
      </c>
      <c r="N550" t="s">
        <v>153</v>
      </c>
      <c r="O550">
        <v>50</v>
      </c>
      <c r="P550">
        <v>53</v>
      </c>
      <c r="Q550" s="3">
        <v>0.13</v>
      </c>
    </row>
    <row r="551" spans="1:17" x14ac:dyDescent="0.35">
      <c r="A551" t="s">
        <v>1030</v>
      </c>
      <c r="B551" t="s">
        <v>114</v>
      </c>
      <c r="C551" t="s">
        <v>630</v>
      </c>
      <c r="D551" t="s">
        <v>2375</v>
      </c>
      <c r="E551" t="s">
        <v>68</v>
      </c>
      <c r="F551" t="s">
        <v>2376</v>
      </c>
      <c r="G551" t="s">
        <v>2377</v>
      </c>
      <c r="H551" t="s">
        <v>343</v>
      </c>
      <c r="I551" s="1">
        <v>45992</v>
      </c>
      <c r="J551" t="s">
        <v>205</v>
      </c>
      <c r="K551">
        <v>47</v>
      </c>
      <c r="L551">
        <v>26</v>
      </c>
      <c r="M551">
        <v>40</v>
      </c>
      <c r="N551" t="s">
        <v>1805</v>
      </c>
      <c r="O551">
        <v>30</v>
      </c>
      <c r="P551">
        <v>72</v>
      </c>
      <c r="Q551" s="3">
        <v>-0.06</v>
      </c>
    </row>
    <row r="552" spans="1:17" x14ac:dyDescent="0.35">
      <c r="A552" t="s">
        <v>1157</v>
      </c>
      <c r="B552" t="s">
        <v>18</v>
      </c>
      <c r="C552" t="s">
        <v>1238</v>
      </c>
      <c r="D552" t="s">
        <v>2378</v>
      </c>
      <c r="E552" t="s">
        <v>68</v>
      </c>
      <c r="F552" t="s">
        <v>2379</v>
      </c>
      <c r="G552" t="s">
        <v>2380</v>
      </c>
      <c r="H552" t="s">
        <v>276</v>
      </c>
      <c r="I552" t="s">
        <v>1296</v>
      </c>
      <c r="J552" t="s">
        <v>658</v>
      </c>
      <c r="K552">
        <v>28</v>
      </c>
      <c r="L552">
        <v>40</v>
      </c>
      <c r="M552">
        <v>27</v>
      </c>
      <c r="N552" t="s">
        <v>1163</v>
      </c>
      <c r="O552">
        <v>30</v>
      </c>
      <c r="P552">
        <v>56</v>
      </c>
      <c r="Q552" s="3">
        <v>-1.4</v>
      </c>
    </row>
    <row r="553" spans="1:17" x14ac:dyDescent="0.35">
      <c r="A553" t="s">
        <v>350</v>
      </c>
      <c r="B553" t="s">
        <v>36</v>
      </c>
      <c r="C553" t="s">
        <v>2381</v>
      </c>
      <c r="D553" t="s">
        <v>2382</v>
      </c>
      <c r="E553" t="s">
        <v>21</v>
      </c>
      <c r="F553" t="s">
        <v>2383</v>
      </c>
      <c r="G553" t="s">
        <v>2384</v>
      </c>
      <c r="H553" t="s">
        <v>276</v>
      </c>
      <c r="I553" t="s">
        <v>501</v>
      </c>
      <c r="J553" s="1">
        <v>45330</v>
      </c>
      <c r="K553">
        <v>44</v>
      </c>
      <c r="L553">
        <v>75</v>
      </c>
      <c r="M553">
        <v>72</v>
      </c>
      <c r="N553" t="s">
        <v>355</v>
      </c>
      <c r="O553">
        <v>96</v>
      </c>
      <c r="P553">
        <v>38</v>
      </c>
      <c r="Q553" s="3">
        <v>-0.87</v>
      </c>
    </row>
    <row r="554" spans="1:17" x14ac:dyDescent="0.35">
      <c r="A554" t="s">
        <v>1021</v>
      </c>
      <c r="B554" t="s">
        <v>36</v>
      </c>
      <c r="C554" t="s">
        <v>2385</v>
      </c>
      <c r="D554" t="s">
        <v>2386</v>
      </c>
      <c r="E554" t="s">
        <v>30</v>
      </c>
      <c r="F554" t="s">
        <v>2387</v>
      </c>
      <c r="G554" t="s">
        <v>2388</v>
      </c>
      <c r="H554" t="s">
        <v>1038</v>
      </c>
      <c r="I554" t="s">
        <v>1682</v>
      </c>
      <c r="J554" s="1">
        <v>45577</v>
      </c>
      <c r="K554">
        <v>89</v>
      </c>
      <c r="L554">
        <v>42</v>
      </c>
      <c r="M554">
        <v>76</v>
      </c>
      <c r="N554" t="s">
        <v>73</v>
      </c>
      <c r="O554">
        <v>94</v>
      </c>
      <c r="P554">
        <v>81</v>
      </c>
      <c r="Q554" s="3">
        <v>0.6</v>
      </c>
    </row>
    <row r="555" spans="1:17" x14ac:dyDescent="0.35">
      <c r="A555" t="s">
        <v>856</v>
      </c>
      <c r="B555" t="s">
        <v>18</v>
      </c>
      <c r="C555" t="s">
        <v>1153</v>
      </c>
      <c r="D555" t="s">
        <v>2389</v>
      </c>
      <c r="E555" t="s">
        <v>21</v>
      </c>
      <c r="F555" t="s">
        <v>2390</v>
      </c>
      <c r="G555" t="s">
        <v>2391</v>
      </c>
      <c r="H555" t="s">
        <v>1038</v>
      </c>
      <c r="I555" t="s">
        <v>1461</v>
      </c>
      <c r="J555" t="s">
        <v>281</v>
      </c>
      <c r="K555">
        <v>100</v>
      </c>
      <c r="L555">
        <v>64</v>
      </c>
      <c r="M555">
        <v>62</v>
      </c>
      <c r="N555" t="s">
        <v>128</v>
      </c>
      <c r="O555">
        <v>84</v>
      </c>
      <c r="P555">
        <v>44</v>
      </c>
      <c r="Q555" s="3">
        <v>0.14000000000000001</v>
      </c>
    </row>
    <row r="556" spans="1:17" x14ac:dyDescent="0.35">
      <c r="A556" t="s">
        <v>1415</v>
      </c>
      <c r="B556" t="s">
        <v>114</v>
      </c>
      <c r="C556" t="s">
        <v>399</v>
      </c>
      <c r="D556" t="s">
        <v>2392</v>
      </c>
      <c r="E556" t="s">
        <v>21</v>
      </c>
      <c r="F556" t="s">
        <v>2393</v>
      </c>
      <c r="G556" t="s">
        <v>2394</v>
      </c>
      <c r="H556" t="s">
        <v>2027</v>
      </c>
      <c r="I556" t="s">
        <v>168</v>
      </c>
      <c r="J556" s="1">
        <v>45545</v>
      </c>
      <c r="K556">
        <v>62</v>
      </c>
      <c r="L556">
        <v>49</v>
      </c>
      <c r="M556">
        <v>38</v>
      </c>
      <c r="N556" t="s">
        <v>128</v>
      </c>
      <c r="O556">
        <v>42</v>
      </c>
      <c r="P556">
        <v>44</v>
      </c>
      <c r="Q556" s="3">
        <v>0.48</v>
      </c>
    </row>
    <row r="557" spans="1:17" x14ac:dyDescent="0.35">
      <c r="A557" t="s">
        <v>314</v>
      </c>
      <c r="B557" t="s">
        <v>18</v>
      </c>
      <c r="C557" t="s">
        <v>533</v>
      </c>
      <c r="D557" t="s">
        <v>2395</v>
      </c>
      <c r="E557" t="s">
        <v>30</v>
      </c>
      <c r="F557" t="s">
        <v>2396</v>
      </c>
      <c r="G557" t="s">
        <v>2397</v>
      </c>
      <c r="H557" t="s">
        <v>2027</v>
      </c>
      <c r="I557" s="1">
        <v>45446</v>
      </c>
      <c r="J557" t="s">
        <v>1195</v>
      </c>
      <c r="K557">
        <v>100</v>
      </c>
      <c r="L557">
        <v>7</v>
      </c>
      <c r="M557">
        <v>14</v>
      </c>
      <c r="N557" t="s">
        <v>34</v>
      </c>
      <c r="O557">
        <v>26</v>
      </c>
      <c r="P557">
        <v>33</v>
      </c>
      <c r="Q557" s="3">
        <v>-0.05</v>
      </c>
    </row>
    <row r="558" spans="1:17" x14ac:dyDescent="0.35">
      <c r="A558" t="s">
        <v>135</v>
      </c>
      <c r="B558" t="s">
        <v>36</v>
      </c>
      <c r="C558" t="s">
        <v>1950</v>
      </c>
      <c r="D558" t="s">
        <v>2398</v>
      </c>
      <c r="E558" t="s">
        <v>30</v>
      </c>
      <c r="F558" t="s">
        <v>2399</v>
      </c>
      <c r="G558" t="s">
        <v>2400</v>
      </c>
      <c r="H558" t="s">
        <v>2096</v>
      </c>
      <c r="I558" t="s">
        <v>41</v>
      </c>
      <c r="J558" t="s">
        <v>986</v>
      </c>
      <c r="K558">
        <v>42</v>
      </c>
      <c r="L558">
        <v>94</v>
      </c>
      <c r="M558">
        <v>79</v>
      </c>
      <c r="N558" t="s">
        <v>128</v>
      </c>
      <c r="O558">
        <v>61</v>
      </c>
      <c r="P558">
        <v>92</v>
      </c>
      <c r="Q558" s="3">
        <v>-0.27</v>
      </c>
    </row>
    <row r="559" spans="1:17" x14ac:dyDescent="0.35">
      <c r="A559" t="s">
        <v>671</v>
      </c>
      <c r="B559" t="s">
        <v>65</v>
      </c>
      <c r="C559" t="s">
        <v>714</v>
      </c>
      <c r="D559" t="s">
        <v>2401</v>
      </c>
      <c r="E559" t="s">
        <v>21</v>
      </c>
      <c r="F559" t="s">
        <v>2402</v>
      </c>
      <c r="G559" t="s">
        <v>2403</v>
      </c>
      <c r="H559" t="s">
        <v>768</v>
      </c>
      <c r="I559" t="s">
        <v>1162</v>
      </c>
      <c r="J559" s="1">
        <v>45839</v>
      </c>
      <c r="K559">
        <v>62</v>
      </c>
      <c r="L559">
        <v>81</v>
      </c>
      <c r="M559">
        <v>91</v>
      </c>
      <c r="N559" t="s">
        <v>2404</v>
      </c>
      <c r="O559">
        <v>100</v>
      </c>
      <c r="P559">
        <v>42</v>
      </c>
      <c r="Q559" s="3">
        <v>-0.51</v>
      </c>
    </row>
    <row r="560" spans="1:17" x14ac:dyDescent="0.35">
      <c r="A560" t="s">
        <v>557</v>
      </c>
      <c r="B560" t="s">
        <v>18</v>
      </c>
      <c r="C560" t="s">
        <v>660</v>
      </c>
      <c r="D560" t="s">
        <v>2405</v>
      </c>
      <c r="E560" t="s">
        <v>21</v>
      </c>
      <c r="F560" t="s">
        <v>2406</v>
      </c>
      <c r="G560" t="s">
        <v>2407</v>
      </c>
      <c r="H560" t="s">
        <v>768</v>
      </c>
      <c r="I560" t="s">
        <v>670</v>
      </c>
      <c r="J560" t="s">
        <v>756</v>
      </c>
      <c r="K560">
        <v>19</v>
      </c>
      <c r="L560">
        <v>47</v>
      </c>
      <c r="M560">
        <v>25</v>
      </c>
      <c r="N560" t="s">
        <v>73</v>
      </c>
      <c r="O560">
        <v>96</v>
      </c>
      <c r="P560">
        <v>37</v>
      </c>
      <c r="Q560" s="3">
        <v>0.57999999999999996</v>
      </c>
    </row>
    <row r="561" spans="1:17" x14ac:dyDescent="0.35">
      <c r="A561" t="s">
        <v>1196</v>
      </c>
      <c r="B561" t="s">
        <v>75</v>
      </c>
      <c r="C561" t="s">
        <v>1987</v>
      </c>
      <c r="D561" t="s">
        <v>2408</v>
      </c>
      <c r="E561" t="s">
        <v>30</v>
      </c>
      <c r="F561" t="s">
        <v>2409</v>
      </c>
      <c r="G561" t="s">
        <v>2410</v>
      </c>
      <c r="H561" t="s">
        <v>768</v>
      </c>
      <c r="I561" s="1">
        <v>45388</v>
      </c>
      <c r="J561" t="s">
        <v>1558</v>
      </c>
      <c r="K561">
        <v>52</v>
      </c>
      <c r="L561">
        <v>46</v>
      </c>
      <c r="M561">
        <v>12</v>
      </c>
      <c r="N561" t="s">
        <v>713</v>
      </c>
      <c r="O561">
        <v>43</v>
      </c>
      <c r="P561">
        <v>34</v>
      </c>
      <c r="Q561" s="3">
        <v>0.61</v>
      </c>
    </row>
    <row r="562" spans="1:17" x14ac:dyDescent="0.35">
      <c r="A562" t="s">
        <v>194</v>
      </c>
      <c r="B562" t="s">
        <v>114</v>
      </c>
      <c r="C562" t="s">
        <v>592</v>
      </c>
      <c r="D562" t="s">
        <v>2411</v>
      </c>
      <c r="E562" t="s">
        <v>21</v>
      </c>
      <c r="F562" t="s">
        <v>2412</v>
      </c>
      <c r="G562" t="s">
        <v>2413</v>
      </c>
      <c r="H562" t="s">
        <v>111</v>
      </c>
      <c r="I562" t="s">
        <v>1983</v>
      </c>
      <c r="J562" t="s">
        <v>1324</v>
      </c>
      <c r="K562">
        <v>30</v>
      </c>
      <c r="L562">
        <v>85</v>
      </c>
      <c r="M562">
        <v>21</v>
      </c>
      <c r="N562" t="s">
        <v>134</v>
      </c>
      <c r="O562">
        <v>32</v>
      </c>
      <c r="P562">
        <v>83</v>
      </c>
      <c r="Q562" s="3">
        <v>0.21</v>
      </c>
    </row>
    <row r="563" spans="1:17" x14ac:dyDescent="0.35">
      <c r="A563" t="s">
        <v>183</v>
      </c>
      <c r="B563" t="s">
        <v>18</v>
      </c>
      <c r="C563" t="s">
        <v>953</v>
      </c>
      <c r="D563" t="s">
        <v>2414</v>
      </c>
      <c r="E563" t="s">
        <v>68</v>
      </c>
      <c r="F563" t="s">
        <v>2415</v>
      </c>
      <c r="G563" t="s">
        <v>2416</v>
      </c>
      <c r="H563" t="s">
        <v>111</v>
      </c>
      <c r="I563" t="s">
        <v>325</v>
      </c>
      <c r="J563" s="1">
        <v>45296</v>
      </c>
      <c r="K563">
        <v>77</v>
      </c>
      <c r="L563">
        <v>52</v>
      </c>
      <c r="M563">
        <v>28</v>
      </c>
      <c r="N563" t="s">
        <v>121</v>
      </c>
      <c r="O563">
        <v>48</v>
      </c>
      <c r="P563">
        <v>43</v>
      </c>
      <c r="Q563" s="3">
        <v>-1.59</v>
      </c>
    </row>
    <row r="564" spans="1:17" x14ac:dyDescent="0.35">
      <c r="A564" t="s">
        <v>142</v>
      </c>
      <c r="B564" t="s">
        <v>36</v>
      </c>
      <c r="C564" t="s">
        <v>2417</v>
      </c>
      <c r="D564" t="s">
        <v>2418</v>
      </c>
      <c r="E564" t="s">
        <v>21</v>
      </c>
      <c r="F564" t="s">
        <v>2419</v>
      </c>
      <c r="G564" t="s">
        <v>2420</v>
      </c>
      <c r="H564" t="s">
        <v>111</v>
      </c>
      <c r="I564" t="s">
        <v>1346</v>
      </c>
      <c r="J564" t="s">
        <v>756</v>
      </c>
      <c r="K564">
        <v>96</v>
      </c>
      <c r="L564">
        <v>80</v>
      </c>
      <c r="M564">
        <v>20</v>
      </c>
      <c r="N564" t="s">
        <v>2421</v>
      </c>
      <c r="O564">
        <v>94</v>
      </c>
      <c r="P564">
        <v>49</v>
      </c>
      <c r="Q564" s="3">
        <v>0.1</v>
      </c>
    </row>
    <row r="565" spans="1:17" x14ac:dyDescent="0.35">
      <c r="A565" t="s">
        <v>842</v>
      </c>
      <c r="B565" t="s">
        <v>75</v>
      </c>
      <c r="C565" t="s">
        <v>218</v>
      </c>
      <c r="D565" t="s">
        <v>2422</v>
      </c>
      <c r="E565" t="s">
        <v>30</v>
      </c>
      <c r="F565" t="s">
        <v>2423</v>
      </c>
      <c r="G565" t="s">
        <v>2424</v>
      </c>
      <c r="H565" t="s">
        <v>111</v>
      </c>
      <c r="I565" t="s">
        <v>1080</v>
      </c>
      <c r="J565" s="1">
        <v>45511</v>
      </c>
      <c r="K565">
        <v>67</v>
      </c>
      <c r="L565">
        <v>71</v>
      </c>
      <c r="M565">
        <v>4</v>
      </c>
      <c r="N565" t="s">
        <v>88</v>
      </c>
      <c r="O565">
        <v>76</v>
      </c>
      <c r="P565">
        <v>34</v>
      </c>
      <c r="Q565" s="3">
        <v>0.48</v>
      </c>
    </row>
    <row r="566" spans="1:17" x14ac:dyDescent="0.35">
      <c r="A566" t="s">
        <v>74</v>
      </c>
      <c r="B566" t="s">
        <v>75</v>
      </c>
      <c r="C566" t="s">
        <v>1628</v>
      </c>
      <c r="D566" t="s">
        <v>2425</v>
      </c>
      <c r="E566" t="s">
        <v>30</v>
      </c>
      <c r="F566" t="s">
        <v>2426</v>
      </c>
      <c r="G566" t="s">
        <v>2427</v>
      </c>
      <c r="H566" t="s">
        <v>111</v>
      </c>
      <c r="I566" s="1">
        <v>45542</v>
      </c>
      <c r="J566" t="s">
        <v>275</v>
      </c>
      <c r="K566">
        <v>86</v>
      </c>
      <c r="L566">
        <v>55</v>
      </c>
      <c r="M566">
        <v>96</v>
      </c>
      <c r="N566" t="s">
        <v>82</v>
      </c>
      <c r="O566">
        <v>37</v>
      </c>
      <c r="P566">
        <v>53</v>
      </c>
      <c r="Q566" s="3">
        <v>0.55000000000000004</v>
      </c>
    </row>
    <row r="567" spans="1:17" x14ac:dyDescent="0.35">
      <c r="A567" t="s">
        <v>35</v>
      </c>
      <c r="B567" t="s">
        <v>36</v>
      </c>
      <c r="C567" t="s">
        <v>1559</v>
      </c>
      <c r="D567" t="s">
        <v>2428</v>
      </c>
      <c r="E567" t="s">
        <v>68</v>
      </c>
      <c r="F567" t="s">
        <v>2429</v>
      </c>
      <c r="G567" t="s">
        <v>2430</v>
      </c>
      <c r="H567" t="s">
        <v>41</v>
      </c>
      <c r="I567" t="s">
        <v>1820</v>
      </c>
      <c r="J567" t="s">
        <v>1186</v>
      </c>
      <c r="K567">
        <v>63</v>
      </c>
      <c r="L567">
        <v>4</v>
      </c>
      <c r="M567">
        <v>85</v>
      </c>
      <c r="N567" t="s">
        <v>42</v>
      </c>
      <c r="O567">
        <v>59</v>
      </c>
      <c r="P567">
        <v>71</v>
      </c>
      <c r="Q567" s="3">
        <v>-0.43</v>
      </c>
    </row>
    <row r="568" spans="1:17" x14ac:dyDescent="0.35">
      <c r="A568" t="s">
        <v>113</v>
      </c>
      <c r="B568" t="s">
        <v>114</v>
      </c>
      <c r="C568" t="s">
        <v>538</v>
      </c>
      <c r="D568" t="s">
        <v>2431</v>
      </c>
      <c r="E568" t="s">
        <v>68</v>
      </c>
      <c r="F568" t="s">
        <v>2432</v>
      </c>
      <c r="G568" t="s">
        <v>2433</v>
      </c>
      <c r="H568" t="s">
        <v>41</v>
      </c>
      <c r="I568" s="1">
        <v>45539</v>
      </c>
      <c r="J568" t="s">
        <v>982</v>
      </c>
      <c r="K568">
        <v>39</v>
      </c>
      <c r="L568">
        <v>16</v>
      </c>
      <c r="M568">
        <v>57</v>
      </c>
      <c r="N568" t="s">
        <v>121</v>
      </c>
      <c r="O568">
        <v>98</v>
      </c>
      <c r="P568">
        <v>12</v>
      </c>
      <c r="Q568" s="3">
        <v>-0.2</v>
      </c>
    </row>
    <row r="569" spans="1:17" x14ac:dyDescent="0.35">
      <c r="A569" t="s">
        <v>435</v>
      </c>
      <c r="B569" t="s">
        <v>18</v>
      </c>
      <c r="C569" t="s">
        <v>2434</v>
      </c>
      <c r="D569" t="s">
        <v>2435</v>
      </c>
      <c r="E569" t="s">
        <v>30</v>
      </c>
      <c r="F569" t="s">
        <v>2436</v>
      </c>
      <c r="G569" t="s">
        <v>2437</v>
      </c>
      <c r="H569" t="s">
        <v>41</v>
      </c>
      <c r="I569" s="1">
        <v>45360</v>
      </c>
      <c r="J569" t="s">
        <v>398</v>
      </c>
      <c r="K569">
        <v>43</v>
      </c>
      <c r="L569">
        <v>65</v>
      </c>
      <c r="M569">
        <v>66</v>
      </c>
      <c r="N569" t="s">
        <v>344</v>
      </c>
      <c r="O569">
        <v>78</v>
      </c>
      <c r="P569">
        <v>73</v>
      </c>
      <c r="Q569" s="3">
        <v>0.88</v>
      </c>
    </row>
    <row r="570" spans="1:17" x14ac:dyDescent="0.35">
      <c r="A570" t="s">
        <v>532</v>
      </c>
      <c r="B570" t="s">
        <v>75</v>
      </c>
      <c r="C570" t="s">
        <v>1632</v>
      </c>
      <c r="D570" t="s">
        <v>2438</v>
      </c>
      <c r="E570" t="s">
        <v>30</v>
      </c>
      <c r="F570" t="s">
        <v>2439</v>
      </c>
      <c r="G570" t="s">
        <v>2440</v>
      </c>
      <c r="H570" t="s">
        <v>41</v>
      </c>
      <c r="I570" s="1">
        <v>45570</v>
      </c>
      <c r="J570" s="1">
        <v>45387</v>
      </c>
      <c r="K570">
        <v>37</v>
      </c>
      <c r="L570">
        <v>33</v>
      </c>
      <c r="M570">
        <v>80</v>
      </c>
      <c r="N570" t="s">
        <v>537</v>
      </c>
      <c r="O570">
        <v>27</v>
      </c>
      <c r="P570">
        <v>73</v>
      </c>
      <c r="Q570" s="3">
        <v>0.06</v>
      </c>
    </row>
    <row r="571" spans="1:17" x14ac:dyDescent="0.35">
      <c r="A571" t="s">
        <v>1341</v>
      </c>
      <c r="B571" t="s">
        <v>18</v>
      </c>
      <c r="C571" t="s">
        <v>641</v>
      </c>
      <c r="D571" t="s">
        <v>2441</v>
      </c>
      <c r="E571" t="s">
        <v>21</v>
      </c>
      <c r="F571" t="s">
        <v>2442</v>
      </c>
      <c r="G571" t="s">
        <v>2443</v>
      </c>
      <c r="H571" t="s">
        <v>780</v>
      </c>
      <c r="I571" s="1">
        <v>45482</v>
      </c>
      <c r="J571" t="s">
        <v>1291</v>
      </c>
      <c r="K571">
        <v>61</v>
      </c>
      <c r="L571">
        <v>90</v>
      </c>
      <c r="M571">
        <v>26</v>
      </c>
      <c r="N571" t="s">
        <v>128</v>
      </c>
      <c r="O571">
        <v>79</v>
      </c>
      <c r="P571">
        <v>84</v>
      </c>
      <c r="Q571" s="3">
        <v>-1.7</v>
      </c>
    </row>
    <row r="572" spans="1:17" x14ac:dyDescent="0.35">
      <c r="A572" t="s">
        <v>1234</v>
      </c>
      <c r="B572" t="s">
        <v>27</v>
      </c>
      <c r="C572" t="s">
        <v>787</v>
      </c>
      <c r="D572" t="s">
        <v>2444</v>
      </c>
      <c r="E572" t="s">
        <v>21</v>
      </c>
      <c r="F572" t="s">
        <v>2445</v>
      </c>
      <c r="G572" t="s">
        <v>2446</v>
      </c>
      <c r="H572" t="s">
        <v>780</v>
      </c>
      <c r="I572" s="1">
        <v>45327</v>
      </c>
      <c r="J572" s="1">
        <v>45455</v>
      </c>
      <c r="K572">
        <v>28</v>
      </c>
      <c r="L572">
        <v>32</v>
      </c>
      <c r="M572">
        <v>71</v>
      </c>
      <c r="N572" t="s">
        <v>128</v>
      </c>
      <c r="O572">
        <v>32</v>
      </c>
      <c r="P572">
        <v>49</v>
      </c>
      <c r="Q572" s="3">
        <v>-0.06</v>
      </c>
    </row>
    <row r="573" spans="1:17" x14ac:dyDescent="0.35">
      <c r="A573" t="s">
        <v>350</v>
      </c>
      <c r="B573" t="s">
        <v>36</v>
      </c>
      <c r="C573" t="s">
        <v>1653</v>
      </c>
      <c r="D573" t="s">
        <v>2447</v>
      </c>
      <c r="E573" t="s">
        <v>68</v>
      </c>
      <c r="F573" t="s">
        <v>2448</v>
      </c>
      <c r="G573" t="s">
        <v>2449</v>
      </c>
      <c r="H573" t="s">
        <v>175</v>
      </c>
      <c r="I573" s="1">
        <v>45993</v>
      </c>
      <c r="J573" t="s">
        <v>920</v>
      </c>
      <c r="K573">
        <v>63</v>
      </c>
      <c r="L573">
        <v>38</v>
      </c>
      <c r="M573">
        <v>77</v>
      </c>
      <c r="N573" t="s">
        <v>355</v>
      </c>
      <c r="O573">
        <v>23</v>
      </c>
      <c r="P573">
        <v>18</v>
      </c>
      <c r="Q573" s="3">
        <v>-0.53</v>
      </c>
    </row>
    <row r="574" spans="1:17" x14ac:dyDescent="0.35">
      <c r="A574" t="s">
        <v>450</v>
      </c>
      <c r="C574" t="s">
        <v>2450</v>
      </c>
      <c r="D574" t="s">
        <v>2451</v>
      </c>
      <c r="E574" t="s">
        <v>21</v>
      </c>
      <c r="F574" t="s">
        <v>2452</v>
      </c>
      <c r="G574" t="s">
        <v>2453</v>
      </c>
      <c r="H574" t="s">
        <v>175</v>
      </c>
      <c r="I574" t="s">
        <v>205</v>
      </c>
      <c r="J574" t="s">
        <v>610</v>
      </c>
      <c r="K574">
        <v>69</v>
      </c>
      <c r="L574">
        <v>21</v>
      </c>
      <c r="M574">
        <v>68</v>
      </c>
      <c r="N574" t="s">
        <v>2454</v>
      </c>
      <c r="O574">
        <v>36</v>
      </c>
      <c r="P574">
        <v>35</v>
      </c>
      <c r="Q574" s="3">
        <v>0.22</v>
      </c>
    </row>
    <row r="575" spans="1:17" x14ac:dyDescent="0.35">
      <c r="A575" t="s">
        <v>532</v>
      </c>
      <c r="B575" t="s">
        <v>75</v>
      </c>
      <c r="C575" t="s">
        <v>2203</v>
      </c>
      <c r="D575" t="s">
        <v>2455</v>
      </c>
      <c r="E575" t="s">
        <v>21</v>
      </c>
      <c r="F575" t="s">
        <v>2456</v>
      </c>
      <c r="G575" t="s">
        <v>2457</v>
      </c>
      <c r="H575" t="s">
        <v>941</v>
      </c>
      <c r="I575" t="s">
        <v>2458</v>
      </c>
      <c r="J575" s="1">
        <v>45386</v>
      </c>
      <c r="K575">
        <v>92</v>
      </c>
      <c r="L575">
        <v>68</v>
      </c>
      <c r="M575">
        <v>79</v>
      </c>
      <c r="N575" t="s">
        <v>537</v>
      </c>
      <c r="O575">
        <v>40</v>
      </c>
      <c r="P575">
        <v>57</v>
      </c>
      <c r="Q575" s="3">
        <v>0.03</v>
      </c>
    </row>
    <row r="576" spans="1:17" x14ac:dyDescent="0.35">
      <c r="A576" t="s">
        <v>640</v>
      </c>
      <c r="B576" t="s">
        <v>163</v>
      </c>
      <c r="C576" t="s">
        <v>115</v>
      </c>
      <c r="D576" t="s">
        <v>2459</v>
      </c>
      <c r="E576" t="s">
        <v>21</v>
      </c>
      <c r="F576" t="s">
        <v>2460</v>
      </c>
      <c r="G576" t="s">
        <v>2461</v>
      </c>
      <c r="H576" t="s">
        <v>941</v>
      </c>
      <c r="I576" t="s">
        <v>1754</v>
      </c>
      <c r="J576" t="s">
        <v>1296</v>
      </c>
      <c r="K576">
        <v>19</v>
      </c>
      <c r="L576">
        <v>78</v>
      </c>
      <c r="M576">
        <v>90</v>
      </c>
      <c r="N576" t="s">
        <v>73</v>
      </c>
      <c r="O576">
        <v>72</v>
      </c>
      <c r="P576">
        <v>84</v>
      </c>
      <c r="Q576" s="3">
        <v>-0.43</v>
      </c>
    </row>
    <row r="577" spans="1:17" x14ac:dyDescent="0.35">
      <c r="A577" t="s">
        <v>129</v>
      </c>
      <c r="B577" t="s">
        <v>18</v>
      </c>
      <c r="C577" t="s">
        <v>1632</v>
      </c>
      <c r="D577" t="s">
        <v>2462</v>
      </c>
      <c r="E577" t="s">
        <v>30</v>
      </c>
      <c r="F577" t="s">
        <v>2463</v>
      </c>
      <c r="G577" t="s">
        <v>2464</v>
      </c>
      <c r="H577" t="s">
        <v>941</v>
      </c>
      <c r="I577" t="s">
        <v>199</v>
      </c>
      <c r="J577" t="s">
        <v>1162</v>
      </c>
      <c r="K577">
        <v>84</v>
      </c>
      <c r="L577">
        <v>74</v>
      </c>
      <c r="M577">
        <v>48</v>
      </c>
      <c r="N577" t="s">
        <v>134</v>
      </c>
      <c r="O577">
        <v>64</v>
      </c>
      <c r="P577">
        <v>32</v>
      </c>
      <c r="Q577" s="3">
        <v>-0.17</v>
      </c>
    </row>
    <row r="578" spans="1:17" x14ac:dyDescent="0.35">
      <c r="A578" t="s">
        <v>247</v>
      </c>
      <c r="B578" t="s">
        <v>18</v>
      </c>
      <c r="C578" t="s">
        <v>302</v>
      </c>
      <c r="D578" t="s">
        <v>2465</v>
      </c>
      <c r="E578" t="s">
        <v>30</v>
      </c>
      <c r="F578" t="s">
        <v>2466</v>
      </c>
      <c r="G578" t="s">
        <v>2467</v>
      </c>
      <c r="H578" t="s">
        <v>941</v>
      </c>
      <c r="I578" s="1">
        <v>45601</v>
      </c>
      <c r="J578" s="1">
        <v>45385</v>
      </c>
      <c r="K578">
        <v>14</v>
      </c>
      <c r="L578">
        <v>75</v>
      </c>
      <c r="M578">
        <v>19</v>
      </c>
      <c r="N578" t="s">
        <v>1584</v>
      </c>
      <c r="O578">
        <v>100</v>
      </c>
      <c r="P578">
        <v>84</v>
      </c>
      <c r="Q578" s="3">
        <v>0.5</v>
      </c>
    </row>
    <row r="579" spans="1:17" x14ac:dyDescent="0.35">
      <c r="A579" t="s">
        <v>1320</v>
      </c>
      <c r="B579" t="s">
        <v>18</v>
      </c>
      <c r="C579" t="s">
        <v>2450</v>
      </c>
      <c r="D579" t="s">
        <v>2468</v>
      </c>
      <c r="E579" t="s">
        <v>68</v>
      </c>
      <c r="F579" t="s">
        <v>2469</v>
      </c>
      <c r="G579" t="s">
        <v>2470</v>
      </c>
      <c r="H579" t="s">
        <v>1336</v>
      </c>
      <c r="I579" s="1">
        <v>45633</v>
      </c>
      <c r="J579" t="s">
        <v>1718</v>
      </c>
      <c r="K579">
        <v>30</v>
      </c>
      <c r="L579">
        <v>25</v>
      </c>
      <c r="M579">
        <v>11</v>
      </c>
      <c r="N579" t="s">
        <v>798</v>
      </c>
      <c r="O579">
        <v>42</v>
      </c>
      <c r="P579">
        <v>76</v>
      </c>
      <c r="Q579" s="3">
        <v>0.16</v>
      </c>
    </row>
    <row r="580" spans="1:17" x14ac:dyDescent="0.35">
      <c r="A580" t="s">
        <v>58</v>
      </c>
      <c r="B580" t="s">
        <v>18</v>
      </c>
      <c r="C580" t="s">
        <v>2471</v>
      </c>
      <c r="D580" t="s">
        <v>2472</v>
      </c>
      <c r="E580" t="s">
        <v>30</v>
      </c>
      <c r="F580" t="s">
        <v>2473</v>
      </c>
      <c r="G580" t="s">
        <v>2474</v>
      </c>
      <c r="H580" t="s">
        <v>850</v>
      </c>
      <c r="I580" t="s">
        <v>561</v>
      </c>
      <c r="J580" t="s">
        <v>1754</v>
      </c>
      <c r="K580">
        <v>63</v>
      </c>
      <c r="L580">
        <v>60</v>
      </c>
      <c r="M580">
        <v>54</v>
      </c>
      <c r="N580" t="s">
        <v>128</v>
      </c>
      <c r="O580">
        <v>33</v>
      </c>
      <c r="P580">
        <v>31</v>
      </c>
      <c r="Q580" s="3">
        <v>-0.81</v>
      </c>
    </row>
    <row r="581" spans="1:17" x14ac:dyDescent="0.35">
      <c r="A581" t="s">
        <v>653</v>
      </c>
      <c r="B581" t="s">
        <v>163</v>
      </c>
      <c r="C581" t="s">
        <v>2475</v>
      </c>
      <c r="D581" t="s">
        <v>2476</v>
      </c>
      <c r="E581" t="s">
        <v>68</v>
      </c>
      <c r="F581" t="s">
        <v>2477</v>
      </c>
      <c r="G581" t="s">
        <v>2478</v>
      </c>
      <c r="H581" t="s">
        <v>850</v>
      </c>
      <c r="I581" t="s">
        <v>495</v>
      </c>
      <c r="J581" t="s">
        <v>325</v>
      </c>
      <c r="K581">
        <v>60</v>
      </c>
      <c r="L581">
        <v>27</v>
      </c>
      <c r="M581">
        <v>58</v>
      </c>
      <c r="N581" t="s">
        <v>2479</v>
      </c>
      <c r="O581">
        <v>43</v>
      </c>
      <c r="P581">
        <v>91</v>
      </c>
      <c r="Q581" s="3">
        <v>0.06</v>
      </c>
    </row>
    <row r="582" spans="1:17" x14ac:dyDescent="0.35">
      <c r="A582" t="s">
        <v>532</v>
      </c>
      <c r="B582" t="s">
        <v>75</v>
      </c>
      <c r="C582" t="s">
        <v>666</v>
      </c>
      <c r="D582" t="s">
        <v>2480</v>
      </c>
      <c r="E582" t="s">
        <v>30</v>
      </c>
      <c r="F582" t="s">
        <v>2481</v>
      </c>
      <c r="G582" t="s">
        <v>2482</v>
      </c>
      <c r="H582" t="s">
        <v>850</v>
      </c>
      <c r="I582" t="s">
        <v>774</v>
      </c>
      <c r="J582" t="s">
        <v>957</v>
      </c>
      <c r="K582">
        <v>16</v>
      </c>
      <c r="L582">
        <v>34</v>
      </c>
      <c r="M582">
        <v>89</v>
      </c>
      <c r="N582" t="s">
        <v>537</v>
      </c>
      <c r="O582">
        <v>35</v>
      </c>
      <c r="P582">
        <v>52</v>
      </c>
      <c r="Q582" s="3">
        <v>-1.1200000000000001</v>
      </c>
    </row>
    <row r="583" spans="1:17" x14ac:dyDescent="0.35">
      <c r="A583" t="s">
        <v>665</v>
      </c>
      <c r="B583" t="s">
        <v>65</v>
      </c>
      <c r="C583" t="s">
        <v>19</v>
      </c>
      <c r="D583" t="s">
        <v>2483</v>
      </c>
      <c r="E583" t="s">
        <v>21</v>
      </c>
      <c r="F583" t="s">
        <v>2484</v>
      </c>
      <c r="G583" t="s">
        <v>2485</v>
      </c>
      <c r="H583" t="s">
        <v>850</v>
      </c>
      <c r="I583" s="1">
        <v>45394</v>
      </c>
      <c r="J583" t="s">
        <v>501</v>
      </c>
      <c r="K583">
        <v>18</v>
      </c>
      <c r="L583">
        <v>86</v>
      </c>
      <c r="M583">
        <v>20</v>
      </c>
      <c r="N583" t="s">
        <v>235</v>
      </c>
      <c r="O583">
        <v>64</v>
      </c>
      <c r="P583">
        <v>34</v>
      </c>
      <c r="Q583" s="3">
        <v>-0.49</v>
      </c>
    </row>
    <row r="584" spans="1:17" x14ac:dyDescent="0.35">
      <c r="A584" t="s">
        <v>222</v>
      </c>
      <c r="B584" t="s">
        <v>65</v>
      </c>
      <c r="C584" t="s">
        <v>2023</v>
      </c>
      <c r="D584" t="s">
        <v>2486</v>
      </c>
      <c r="E584" t="s">
        <v>21</v>
      </c>
      <c r="F584" t="s">
        <v>2487</v>
      </c>
      <c r="G584" t="s">
        <v>2488</v>
      </c>
      <c r="H584" t="s">
        <v>850</v>
      </c>
      <c r="I584" t="s">
        <v>768</v>
      </c>
      <c r="J584" s="1">
        <v>45419</v>
      </c>
      <c r="K584">
        <v>64</v>
      </c>
      <c r="L584">
        <v>11</v>
      </c>
      <c r="M584">
        <v>97</v>
      </c>
      <c r="N584" t="s">
        <v>49</v>
      </c>
      <c r="O584">
        <v>33</v>
      </c>
      <c r="P584">
        <v>83</v>
      </c>
      <c r="Q584" s="3">
        <v>0.47</v>
      </c>
    </row>
    <row r="585" spans="1:17" x14ac:dyDescent="0.35">
      <c r="A585" t="s">
        <v>376</v>
      </c>
      <c r="B585" t="s">
        <v>18</v>
      </c>
      <c r="C585" t="s">
        <v>2489</v>
      </c>
      <c r="D585" t="s">
        <v>2490</v>
      </c>
      <c r="E585" t="s">
        <v>30</v>
      </c>
      <c r="F585" t="s">
        <v>2491</v>
      </c>
      <c r="G585" t="s">
        <v>2492</v>
      </c>
      <c r="H585" t="s">
        <v>850</v>
      </c>
      <c r="I585" s="1">
        <v>45416</v>
      </c>
      <c r="J585" s="1">
        <v>45481</v>
      </c>
      <c r="K585">
        <v>74</v>
      </c>
      <c r="L585">
        <v>4</v>
      </c>
      <c r="M585">
        <v>39</v>
      </c>
      <c r="N585" t="s">
        <v>34</v>
      </c>
      <c r="O585">
        <v>97</v>
      </c>
      <c r="P585">
        <v>24</v>
      </c>
      <c r="Q585" s="3">
        <v>-1.52</v>
      </c>
    </row>
    <row r="586" spans="1:17" x14ac:dyDescent="0.35">
      <c r="A586" t="s">
        <v>43</v>
      </c>
      <c r="B586" t="s">
        <v>18</v>
      </c>
      <c r="C586" t="s">
        <v>2172</v>
      </c>
      <c r="D586" t="s">
        <v>2493</v>
      </c>
      <c r="E586" t="s">
        <v>30</v>
      </c>
      <c r="F586" t="s">
        <v>2494</v>
      </c>
      <c r="G586" t="s">
        <v>2495</v>
      </c>
      <c r="H586" t="s">
        <v>127</v>
      </c>
      <c r="I586" s="1">
        <v>45485</v>
      </c>
      <c r="J586" s="1">
        <v>45546</v>
      </c>
      <c r="K586">
        <v>92</v>
      </c>
      <c r="L586">
        <v>39</v>
      </c>
      <c r="M586">
        <v>50</v>
      </c>
      <c r="N586" t="s">
        <v>2404</v>
      </c>
      <c r="O586">
        <v>30</v>
      </c>
      <c r="P586">
        <v>41</v>
      </c>
      <c r="Q586" s="3">
        <v>0.75</v>
      </c>
    </row>
    <row r="587" spans="1:17" x14ac:dyDescent="0.35">
      <c r="A587" t="s">
        <v>162</v>
      </c>
      <c r="B587" t="s">
        <v>163</v>
      </c>
      <c r="C587" t="s">
        <v>2475</v>
      </c>
      <c r="D587" t="s">
        <v>2496</v>
      </c>
      <c r="E587" t="s">
        <v>68</v>
      </c>
      <c r="F587" t="s">
        <v>2497</v>
      </c>
      <c r="G587" t="s">
        <v>2498</v>
      </c>
      <c r="H587" t="s">
        <v>127</v>
      </c>
      <c r="I587" t="s">
        <v>141</v>
      </c>
      <c r="J587" t="s">
        <v>258</v>
      </c>
      <c r="K587">
        <v>45</v>
      </c>
      <c r="L587">
        <v>36</v>
      </c>
      <c r="M587">
        <v>97</v>
      </c>
      <c r="N587" t="s">
        <v>169</v>
      </c>
      <c r="O587">
        <v>36</v>
      </c>
      <c r="P587">
        <v>6</v>
      </c>
      <c r="Q587" s="3">
        <v>-0.37</v>
      </c>
    </row>
    <row r="588" spans="1:17" x14ac:dyDescent="0.35">
      <c r="A588" t="s">
        <v>1623</v>
      </c>
      <c r="B588" t="s">
        <v>36</v>
      </c>
      <c r="C588" t="s">
        <v>1570</v>
      </c>
      <c r="D588" t="s">
        <v>2499</v>
      </c>
      <c r="E588" t="s">
        <v>68</v>
      </c>
      <c r="F588" t="s">
        <v>2500</v>
      </c>
      <c r="G588" t="s">
        <v>2501</v>
      </c>
      <c r="H588" t="s">
        <v>127</v>
      </c>
      <c r="I588" t="s">
        <v>1820</v>
      </c>
      <c r="J588" t="s">
        <v>1506</v>
      </c>
      <c r="K588">
        <v>74</v>
      </c>
      <c r="L588">
        <v>62</v>
      </c>
      <c r="M588">
        <v>6</v>
      </c>
      <c r="N588" t="s">
        <v>121</v>
      </c>
      <c r="O588">
        <v>65</v>
      </c>
      <c r="P588">
        <v>96</v>
      </c>
      <c r="Q588" s="3">
        <v>0.83</v>
      </c>
    </row>
    <row r="589" spans="1:17" x14ac:dyDescent="0.35">
      <c r="A589" t="s">
        <v>786</v>
      </c>
      <c r="B589" t="s">
        <v>65</v>
      </c>
      <c r="C589" t="s">
        <v>2122</v>
      </c>
      <c r="D589" t="s">
        <v>2502</v>
      </c>
      <c r="E589" t="s">
        <v>68</v>
      </c>
      <c r="F589" t="s">
        <v>2503</v>
      </c>
      <c r="G589" t="s">
        <v>2504</v>
      </c>
      <c r="H589" t="s">
        <v>127</v>
      </c>
      <c r="I589" t="s">
        <v>1178</v>
      </c>
      <c r="J589" t="s">
        <v>206</v>
      </c>
      <c r="K589">
        <v>88</v>
      </c>
      <c r="L589">
        <v>34</v>
      </c>
      <c r="M589">
        <v>94</v>
      </c>
      <c r="N589" t="s">
        <v>63</v>
      </c>
      <c r="O589">
        <v>95</v>
      </c>
      <c r="P589">
        <v>63</v>
      </c>
      <c r="Q589" s="3">
        <v>-0.48</v>
      </c>
    </row>
    <row r="590" spans="1:17" x14ac:dyDescent="0.35">
      <c r="A590" t="s">
        <v>653</v>
      </c>
      <c r="B590" t="s">
        <v>163</v>
      </c>
      <c r="C590" t="s">
        <v>1109</v>
      </c>
      <c r="D590" t="s">
        <v>2505</v>
      </c>
      <c r="E590" t="s">
        <v>68</v>
      </c>
      <c r="F590" t="s">
        <v>2506</v>
      </c>
      <c r="G590" t="s">
        <v>2507</v>
      </c>
      <c r="H590" t="s">
        <v>812</v>
      </c>
      <c r="I590" t="s">
        <v>354</v>
      </c>
      <c r="J590" s="1">
        <v>45424</v>
      </c>
      <c r="K590">
        <v>50</v>
      </c>
      <c r="L590">
        <v>100</v>
      </c>
      <c r="M590">
        <v>91</v>
      </c>
      <c r="N590" t="s">
        <v>2508</v>
      </c>
      <c r="O590">
        <v>29</v>
      </c>
      <c r="P590">
        <v>31</v>
      </c>
      <c r="Q590" s="3">
        <v>0.34</v>
      </c>
    </row>
    <row r="591" spans="1:17" x14ac:dyDescent="0.35">
      <c r="A591" t="s">
        <v>1371</v>
      </c>
      <c r="B591" t="s">
        <v>36</v>
      </c>
      <c r="C591" t="s">
        <v>2509</v>
      </c>
      <c r="D591" t="s">
        <v>2510</v>
      </c>
      <c r="E591" t="s">
        <v>30</v>
      </c>
      <c r="F591" t="s">
        <v>2511</v>
      </c>
      <c r="G591" t="s">
        <v>2512</v>
      </c>
      <c r="H591" t="s">
        <v>1200</v>
      </c>
      <c r="I591" t="s">
        <v>175</v>
      </c>
      <c r="J591" s="1">
        <v>45513</v>
      </c>
      <c r="K591">
        <v>10</v>
      </c>
      <c r="L591">
        <v>17</v>
      </c>
      <c r="M591">
        <v>70</v>
      </c>
      <c r="N591" t="s">
        <v>1376</v>
      </c>
      <c r="O591">
        <v>100</v>
      </c>
      <c r="P591">
        <v>63</v>
      </c>
      <c r="Q591" s="3">
        <v>-7.0000000000000007E-2</v>
      </c>
    </row>
    <row r="592" spans="1:17" x14ac:dyDescent="0.35">
      <c r="A592" t="s">
        <v>708</v>
      </c>
      <c r="B592" t="s">
        <v>163</v>
      </c>
      <c r="C592" t="s">
        <v>1851</v>
      </c>
      <c r="D592" t="s">
        <v>2513</v>
      </c>
      <c r="E592" t="s">
        <v>30</v>
      </c>
      <c r="F592" t="s">
        <v>2514</v>
      </c>
      <c r="G592" t="s">
        <v>2515</v>
      </c>
      <c r="H592" t="s">
        <v>1200</v>
      </c>
      <c r="I592" t="s">
        <v>1001</v>
      </c>
      <c r="J592" t="s">
        <v>140</v>
      </c>
      <c r="K592">
        <v>87</v>
      </c>
      <c r="L592">
        <v>91</v>
      </c>
      <c r="M592">
        <v>23</v>
      </c>
      <c r="N592" t="s">
        <v>2516</v>
      </c>
      <c r="O592">
        <v>90</v>
      </c>
      <c r="P592">
        <v>75</v>
      </c>
      <c r="Q592" s="3">
        <v>0.37</v>
      </c>
    </row>
    <row r="593" spans="1:17" x14ac:dyDescent="0.35">
      <c r="A593" t="s">
        <v>718</v>
      </c>
      <c r="B593" t="s">
        <v>65</v>
      </c>
      <c r="C593" t="s">
        <v>2517</v>
      </c>
      <c r="D593" t="s">
        <v>2518</v>
      </c>
      <c r="E593" t="s">
        <v>21</v>
      </c>
      <c r="F593" t="s">
        <v>2519</v>
      </c>
      <c r="G593" t="s">
        <v>2520</v>
      </c>
      <c r="H593" t="s">
        <v>1200</v>
      </c>
      <c r="I593" t="s">
        <v>294</v>
      </c>
      <c r="J593" s="1">
        <v>45451</v>
      </c>
      <c r="K593">
        <v>38</v>
      </c>
      <c r="L593">
        <v>82</v>
      </c>
      <c r="M593">
        <v>17</v>
      </c>
      <c r="N593" t="s">
        <v>34</v>
      </c>
      <c r="O593">
        <v>52</v>
      </c>
      <c r="P593">
        <v>47</v>
      </c>
      <c r="Q593" s="3">
        <v>0.17</v>
      </c>
    </row>
    <row r="594" spans="1:17" x14ac:dyDescent="0.35">
      <c r="A594" t="s">
        <v>200</v>
      </c>
      <c r="B594" t="s">
        <v>163</v>
      </c>
      <c r="C594" t="s">
        <v>451</v>
      </c>
      <c r="D594" t="s">
        <v>2521</v>
      </c>
      <c r="E594" t="s">
        <v>68</v>
      </c>
      <c r="F594" t="s">
        <v>2522</v>
      </c>
      <c r="G594" t="s">
        <v>2523</v>
      </c>
      <c r="H594" t="s">
        <v>1461</v>
      </c>
      <c r="I594" t="s">
        <v>1427</v>
      </c>
      <c r="J594" t="s">
        <v>48</v>
      </c>
      <c r="K594">
        <v>61</v>
      </c>
      <c r="L594">
        <v>31</v>
      </c>
      <c r="M594">
        <v>100</v>
      </c>
      <c r="N594" t="s">
        <v>2524</v>
      </c>
      <c r="O594">
        <v>95</v>
      </c>
      <c r="P594">
        <v>61</v>
      </c>
      <c r="Q594" s="3">
        <v>0.1</v>
      </c>
    </row>
    <row r="595" spans="1:17" x14ac:dyDescent="0.35">
      <c r="A595" t="s">
        <v>106</v>
      </c>
      <c r="B595" t="s">
        <v>18</v>
      </c>
      <c r="C595" t="s">
        <v>857</v>
      </c>
      <c r="D595" t="s">
        <v>2525</v>
      </c>
      <c r="E595" t="s">
        <v>30</v>
      </c>
      <c r="F595" t="s">
        <v>2526</v>
      </c>
      <c r="G595" t="s">
        <v>2527</v>
      </c>
      <c r="H595" t="s">
        <v>1461</v>
      </c>
      <c r="I595" t="s">
        <v>511</v>
      </c>
      <c r="J595" s="1">
        <v>45932</v>
      </c>
      <c r="K595">
        <v>81</v>
      </c>
      <c r="L595">
        <v>35</v>
      </c>
      <c r="M595">
        <v>82</v>
      </c>
      <c r="N595" t="s">
        <v>153</v>
      </c>
      <c r="O595">
        <v>86</v>
      </c>
      <c r="P595">
        <v>71</v>
      </c>
      <c r="Q595" s="3">
        <v>0.36</v>
      </c>
    </row>
    <row r="596" spans="1:17" x14ac:dyDescent="0.35">
      <c r="A596" t="s">
        <v>388</v>
      </c>
      <c r="B596" t="s">
        <v>75</v>
      </c>
      <c r="C596" t="s">
        <v>1628</v>
      </c>
      <c r="D596" t="s">
        <v>2528</v>
      </c>
      <c r="E596" t="s">
        <v>21</v>
      </c>
      <c r="F596" t="s">
        <v>2529</v>
      </c>
      <c r="G596" t="s">
        <v>2530</v>
      </c>
      <c r="H596" t="s">
        <v>1540</v>
      </c>
      <c r="I596" s="1">
        <v>45507</v>
      </c>
      <c r="J596" t="s">
        <v>281</v>
      </c>
      <c r="K596">
        <v>89</v>
      </c>
      <c r="L596">
        <v>34</v>
      </c>
      <c r="M596">
        <v>15</v>
      </c>
      <c r="N596" t="s">
        <v>344</v>
      </c>
      <c r="O596">
        <v>60</v>
      </c>
      <c r="P596">
        <v>2</v>
      </c>
      <c r="Q596" s="3">
        <v>0.17</v>
      </c>
    </row>
    <row r="597" spans="1:17" x14ac:dyDescent="0.35">
      <c r="A597" t="s">
        <v>129</v>
      </c>
      <c r="B597" t="s">
        <v>18</v>
      </c>
      <c r="C597" t="s">
        <v>2531</v>
      </c>
      <c r="D597" t="s">
        <v>2532</v>
      </c>
      <c r="E597" t="s">
        <v>68</v>
      </c>
      <c r="F597" t="s">
        <v>2533</v>
      </c>
      <c r="G597" t="s">
        <v>2534</v>
      </c>
      <c r="H597" t="s">
        <v>1540</v>
      </c>
      <c r="I597" t="s">
        <v>1125</v>
      </c>
      <c r="J597" s="1">
        <v>45809</v>
      </c>
      <c r="K597">
        <v>58</v>
      </c>
      <c r="L597">
        <v>55</v>
      </c>
      <c r="M597">
        <v>5</v>
      </c>
      <c r="N597" t="s">
        <v>1242</v>
      </c>
      <c r="O597">
        <v>62</v>
      </c>
      <c r="P597">
        <v>89</v>
      </c>
      <c r="Q597" s="3">
        <v>0.97</v>
      </c>
    </row>
    <row r="598" spans="1:17" x14ac:dyDescent="0.35">
      <c r="A598" t="s">
        <v>718</v>
      </c>
      <c r="B598" t="s">
        <v>65</v>
      </c>
      <c r="C598" t="s">
        <v>2535</v>
      </c>
      <c r="D598" t="s">
        <v>2536</v>
      </c>
      <c r="E598" t="s">
        <v>68</v>
      </c>
      <c r="F598" t="s">
        <v>2537</v>
      </c>
      <c r="G598" t="s">
        <v>2538</v>
      </c>
      <c r="H598" t="s">
        <v>1540</v>
      </c>
      <c r="I598" t="s">
        <v>639</v>
      </c>
      <c r="J598" s="1">
        <v>45630</v>
      </c>
      <c r="K598">
        <v>39</v>
      </c>
      <c r="L598">
        <v>83</v>
      </c>
      <c r="M598">
        <v>21</v>
      </c>
      <c r="N598" t="s">
        <v>34</v>
      </c>
      <c r="O598">
        <v>73</v>
      </c>
      <c r="P598">
        <v>88</v>
      </c>
      <c r="Q598" s="3">
        <v>-0.44</v>
      </c>
    </row>
    <row r="599" spans="1:17" x14ac:dyDescent="0.35">
      <c r="A599" t="s">
        <v>122</v>
      </c>
      <c r="B599" t="s">
        <v>18</v>
      </c>
      <c r="C599" t="s">
        <v>404</v>
      </c>
      <c r="D599" t="s">
        <v>2539</v>
      </c>
      <c r="E599" t="s">
        <v>68</v>
      </c>
      <c r="F599" t="s">
        <v>2540</v>
      </c>
      <c r="G599" t="s">
        <v>2541</v>
      </c>
      <c r="H599" t="s">
        <v>1540</v>
      </c>
      <c r="I599" t="s">
        <v>2092</v>
      </c>
      <c r="J599" t="s">
        <v>275</v>
      </c>
      <c r="K599">
        <v>95</v>
      </c>
      <c r="L599">
        <v>6</v>
      </c>
      <c r="M599">
        <v>59</v>
      </c>
      <c r="N599" t="s">
        <v>128</v>
      </c>
      <c r="O599">
        <v>49</v>
      </c>
      <c r="P599">
        <v>77</v>
      </c>
      <c r="Q599" s="3">
        <v>-0.21</v>
      </c>
    </row>
    <row r="600" spans="1:17" x14ac:dyDescent="0.35">
      <c r="A600" t="s">
        <v>861</v>
      </c>
      <c r="B600" t="s">
        <v>36</v>
      </c>
      <c r="C600" t="s">
        <v>259</v>
      </c>
      <c r="D600" t="s">
        <v>2542</v>
      </c>
      <c r="E600" t="s">
        <v>68</v>
      </c>
      <c r="F600" t="s">
        <v>2543</v>
      </c>
      <c r="G600" t="s">
        <v>2544</v>
      </c>
      <c r="H600" t="s">
        <v>822</v>
      </c>
      <c r="I600" s="1">
        <v>45604</v>
      </c>
      <c r="J600" s="1">
        <v>45447</v>
      </c>
      <c r="K600">
        <v>67</v>
      </c>
      <c r="L600">
        <v>79</v>
      </c>
      <c r="M600">
        <v>98</v>
      </c>
      <c r="N600" t="s">
        <v>57</v>
      </c>
      <c r="O600">
        <v>73</v>
      </c>
      <c r="P600">
        <v>36</v>
      </c>
      <c r="Q600" s="3">
        <v>-0.56999999999999995</v>
      </c>
    </row>
    <row r="601" spans="1:17" x14ac:dyDescent="0.35">
      <c r="A601" t="s">
        <v>376</v>
      </c>
      <c r="B601" t="s">
        <v>18</v>
      </c>
      <c r="C601" t="s">
        <v>2545</v>
      </c>
      <c r="D601" t="s">
        <v>2546</v>
      </c>
      <c r="E601" t="s">
        <v>30</v>
      </c>
      <c r="F601" t="s">
        <v>2547</v>
      </c>
      <c r="G601" t="s">
        <v>2548</v>
      </c>
      <c r="H601" t="s">
        <v>822</v>
      </c>
      <c r="I601" s="1">
        <v>45359</v>
      </c>
      <c r="J601" s="1">
        <v>45422</v>
      </c>
      <c r="K601">
        <v>50</v>
      </c>
      <c r="L601">
        <v>20</v>
      </c>
      <c r="M601">
        <v>74</v>
      </c>
      <c r="N601" t="s">
        <v>34</v>
      </c>
      <c r="O601">
        <v>30</v>
      </c>
      <c r="P601">
        <v>57</v>
      </c>
      <c r="Q601" s="3">
        <v>0.51</v>
      </c>
    </row>
    <row r="602" spans="1:17" x14ac:dyDescent="0.35">
      <c r="A602" t="s">
        <v>413</v>
      </c>
      <c r="B602" t="s">
        <v>65</v>
      </c>
      <c r="C602" t="s">
        <v>1441</v>
      </c>
      <c r="D602" t="s">
        <v>2549</v>
      </c>
      <c r="E602" t="s">
        <v>30</v>
      </c>
      <c r="F602" t="s">
        <v>2550</v>
      </c>
      <c r="G602" t="s">
        <v>2551</v>
      </c>
      <c r="H602" t="s">
        <v>822</v>
      </c>
      <c r="I602" s="1">
        <v>45514</v>
      </c>
      <c r="J602" t="s">
        <v>600</v>
      </c>
      <c r="K602">
        <v>10</v>
      </c>
      <c r="L602">
        <v>11</v>
      </c>
      <c r="M602">
        <v>29</v>
      </c>
      <c r="N602" t="s">
        <v>1686</v>
      </c>
      <c r="O602">
        <v>29</v>
      </c>
      <c r="P602">
        <v>72</v>
      </c>
      <c r="Q602" s="3">
        <v>-0.9</v>
      </c>
    </row>
    <row r="603" spans="1:17" x14ac:dyDescent="0.35">
      <c r="A603" t="s">
        <v>154</v>
      </c>
      <c r="B603" t="s">
        <v>65</v>
      </c>
      <c r="C603" t="s">
        <v>409</v>
      </c>
      <c r="D603" t="s">
        <v>2552</v>
      </c>
      <c r="E603" t="s">
        <v>30</v>
      </c>
      <c r="F603" t="s">
        <v>2553</v>
      </c>
      <c r="G603" t="s">
        <v>2554</v>
      </c>
      <c r="H603" t="s">
        <v>822</v>
      </c>
      <c r="I603" s="1">
        <v>45658</v>
      </c>
      <c r="J603" s="1">
        <v>45605</v>
      </c>
      <c r="K603">
        <v>59</v>
      </c>
      <c r="L603">
        <v>73</v>
      </c>
      <c r="M603">
        <v>86</v>
      </c>
      <c r="N603" t="s">
        <v>349</v>
      </c>
      <c r="O603">
        <v>32</v>
      </c>
      <c r="P603">
        <v>56</v>
      </c>
      <c r="Q603" s="3">
        <v>-1.48</v>
      </c>
    </row>
    <row r="604" spans="1:17" x14ac:dyDescent="0.35">
      <c r="A604" t="s">
        <v>842</v>
      </c>
      <c r="B604" t="s">
        <v>75</v>
      </c>
      <c r="C604" t="s">
        <v>2555</v>
      </c>
      <c r="D604" t="s">
        <v>2556</v>
      </c>
      <c r="E604" t="s">
        <v>68</v>
      </c>
      <c r="F604" t="s">
        <v>2557</v>
      </c>
      <c r="G604" t="s">
        <v>2558</v>
      </c>
      <c r="H604" t="s">
        <v>755</v>
      </c>
      <c r="I604" t="s">
        <v>233</v>
      </c>
      <c r="J604" t="s">
        <v>55</v>
      </c>
      <c r="K604">
        <v>17</v>
      </c>
      <c r="L604">
        <v>38</v>
      </c>
      <c r="M604">
        <v>93</v>
      </c>
      <c r="N604" t="s">
        <v>88</v>
      </c>
      <c r="O604">
        <v>100</v>
      </c>
      <c r="P604">
        <v>63</v>
      </c>
      <c r="Q604" s="3">
        <v>-0.75</v>
      </c>
    </row>
    <row r="605" spans="1:17" x14ac:dyDescent="0.35">
      <c r="A605" t="s">
        <v>43</v>
      </c>
      <c r="B605" t="s">
        <v>18</v>
      </c>
      <c r="C605" t="s">
        <v>804</v>
      </c>
      <c r="D605" t="s">
        <v>2559</v>
      </c>
      <c r="E605" t="s">
        <v>68</v>
      </c>
      <c r="F605" t="s">
        <v>2560</v>
      </c>
      <c r="G605" t="s">
        <v>2561</v>
      </c>
      <c r="H605" t="s">
        <v>755</v>
      </c>
      <c r="I605" s="1">
        <v>45385</v>
      </c>
      <c r="J605" t="s">
        <v>768</v>
      </c>
      <c r="K605">
        <v>74</v>
      </c>
      <c r="L605">
        <v>37</v>
      </c>
      <c r="M605">
        <v>57</v>
      </c>
      <c r="N605" t="s">
        <v>49</v>
      </c>
      <c r="O605">
        <v>91</v>
      </c>
      <c r="P605">
        <v>18</v>
      </c>
      <c r="Q605" s="3">
        <v>0.37</v>
      </c>
    </row>
    <row r="606" spans="1:17" x14ac:dyDescent="0.35">
      <c r="A606" t="s">
        <v>1900</v>
      </c>
      <c r="B606" t="s">
        <v>75</v>
      </c>
      <c r="C606" t="s">
        <v>2172</v>
      </c>
      <c r="D606" t="s">
        <v>2562</v>
      </c>
      <c r="E606" t="s">
        <v>30</v>
      </c>
      <c r="F606" t="s">
        <v>2563</v>
      </c>
      <c r="G606" t="s">
        <v>2564</v>
      </c>
      <c r="H606" t="s">
        <v>755</v>
      </c>
      <c r="I606" s="1">
        <v>45604</v>
      </c>
      <c r="J606" t="s">
        <v>941</v>
      </c>
      <c r="K606">
        <v>91</v>
      </c>
      <c r="L606">
        <v>96</v>
      </c>
      <c r="M606">
        <v>90</v>
      </c>
      <c r="N606" t="s">
        <v>1906</v>
      </c>
      <c r="O606">
        <v>90</v>
      </c>
      <c r="P606">
        <v>75</v>
      </c>
      <c r="Q606" s="3">
        <v>0.8</v>
      </c>
    </row>
    <row r="607" spans="1:17" x14ac:dyDescent="0.35">
      <c r="A607" t="s">
        <v>371</v>
      </c>
      <c r="B607" t="s">
        <v>75</v>
      </c>
      <c r="C607" t="s">
        <v>2565</v>
      </c>
      <c r="D607" t="s">
        <v>2566</v>
      </c>
      <c r="E607" t="s">
        <v>21</v>
      </c>
      <c r="F607" t="s">
        <v>2567</v>
      </c>
      <c r="G607" t="s">
        <v>2568</v>
      </c>
      <c r="H607" t="s">
        <v>755</v>
      </c>
      <c r="I607" s="1">
        <v>45778</v>
      </c>
      <c r="J607" s="1">
        <v>45576</v>
      </c>
      <c r="K607">
        <v>89</v>
      </c>
      <c r="L607">
        <v>67</v>
      </c>
      <c r="M607">
        <v>89</v>
      </c>
      <c r="N607" t="s">
        <v>42</v>
      </c>
      <c r="O607">
        <v>96</v>
      </c>
      <c r="P607">
        <v>42</v>
      </c>
      <c r="Q607" s="3">
        <v>0.17</v>
      </c>
    </row>
    <row r="608" spans="1:17" x14ac:dyDescent="0.35">
      <c r="A608" t="s">
        <v>690</v>
      </c>
      <c r="B608" t="s">
        <v>36</v>
      </c>
      <c r="C608" t="s">
        <v>1391</v>
      </c>
      <c r="D608" t="s">
        <v>2569</v>
      </c>
      <c r="E608" t="s">
        <v>68</v>
      </c>
      <c r="F608" t="s">
        <v>2570</v>
      </c>
      <c r="G608" t="s">
        <v>2571</v>
      </c>
      <c r="H608" t="s">
        <v>307</v>
      </c>
      <c r="I608" t="s">
        <v>986</v>
      </c>
      <c r="J608" t="s">
        <v>712</v>
      </c>
      <c r="K608">
        <v>72</v>
      </c>
      <c r="L608">
        <v>58</v>
      </c>
      <c r="M608">
        <v>52</v>
      </c>
      <c r="N608" t="s">
        <v>63</v>
      </c>
      <c r="O608">
        <v>36</v>
      </c>
      <c r="P608">
        <v>14</v>
      </c>
      <c r="Q608" s="3">
        <v>0.56000000000000005</v>
      </c>
    </row>
    <row r="609" spans="1:17" x14ac:dyDescent="0.35">
      <c r="A609" t="s">
        <v>222</v>
      </c>
      <c r="B609" t="s">
        <v>65</v>
      </c>
      <c r="C609" t="s">
        <v>2572</v>
      </c>
      <c r="D609" t="s">
        <v>2573</v>
      </c>
      <c r="E609" t="s">
        <v>30</v>
      </c>
      <c r="F609" t="s">
        <v>2574</v>
      </c>
      <c r="G609" t="s">
        <v>2575</v>
      </c>
      <c r="H609" t="s">
        <v>652</v>
      </c>
      <c r="I609" t="s">
        <v>312</v>
      </c>
      <c r="J609" t="s">
        <v>206</v>
      </c>
      <c r="K609">
        <v>25</v>
      </c>
      <c r="L609">
        <v>60</v>
      </c>
      <c r="M609">
        <v>36</v>
      </c>
      <c r="N609" t="s">
        <v>49</v>
      </c>
      <c r="O609">
        <v>31</v>
      </c>
      <c r="P609">
        <v>41</v>
      </c>
      <c r="Q609" s="3">
        <v>0.61</v>
      </c>
    </row>
    <row r="610" spans="1:17" x14ac:dyDescent="0.35">
      <c r="A610" t="s">
        <v>1191</v>
      </c>
      <c r="B610" t="s">
        <v>75</v>
      </c>
      <c r="C610" t="s">
        <v>1275</v>
      </c>
      <c r="D610" t="s">
        <v>2576</v>
      </c>
      <c r="E610" t="s">
        <v>30</v>
      </c>
      <c r="F610" t="s">
        <v>2577</v>
      </c>
      <c r="G610" t="s">
        <v>2578</v>
      </c>
      <c r="H610" t="s">
        <v>1029</v>
      </c>
      <c r="I610" t="s">
        <v>1452</v>
      </c>
      <c r="J610" s="1">
        <v>45385</v>
      </c>
      <c r="K610">
        <v>40</v>
      </c>
      <c r="L610">
        <v>81</v>
      </c>
      <c r="M610">
        <v>78</v>
      </c>
      <c r="N610" t="s">
        <v>169</v>
      </c>
      <c r="O610">
        <v>39</v>
      </c>
      <c r="P610">
        <v>65</v>
      </c>
      <c r="Q610" s="3">
        <v>-0.32</v>
      </c>
    </row>
    <row r="611" spans="1:17" x14ac:dyDescent="0.35">
      <c r="A611" t="s">
        <v>247</v>
      </c>
      <c r="B611" t="s">
        <v>18</v>
      </c>
      <c r="C611" t="s">
        <v>1979</v>
      </c>
      <c r="D611" t="s">
        <v>2579</v>
      </c>
      <c r="E611" t="s">
        <v>68</v>
      </c>
      <c r="F611" t="s">
        <v>2580</v>
      </c>
      <c r="G611" t="s">
        <v>2581</v>
      </c>
      <c r="H611" t="s">
        <v>1029</v>
      </c>
      <c r="I611" t="s">
        <v>1461</v>
      </c>
      <c r="J611" t="s">
        <v>2032</v>
      </c>
      <c r="K611">
        <v>75</v>
      </c>
      <c r="L611">
        <v>18</v>
      </c>
      <c r="M611">
        <v>65</v>
      </c>
      <c r="N611" t="s">
        <v>34</v>
      </c>
      <c r="O611">
        <v>32</v>
      </c>
      <c r="P611">
        <v>92</v>
      </c>
      <c r="Q611" s="3">
        <v>-0.67</v>
      </c>
    </row>
    <row r="612" spans="1:17" x14ac:dyDescent="0.35">
      <c r="A612" t="s">
        <v>1030</v>
      </c>
      <c r="B612" t="s">
        <v>114</v>
      </c>
      <c r="C612" t="s">
        <v>284</v>
      </c>
      <c r="D612" t="s">
        <v>2582</v>
      </c>
      <c r="E612" t="s">
        <v>21</v>
      </c>
      <c r="F612" t="s">
        <v>2583</v>
      </c>
      <c r="G612" t="s">
        <v>2584</v>
      </c>
      <c r="H612" t="s">
        <v>1318</v>
      </c>
      <c r="I612" t="s">
        <v>48</v>
      </c>
      <c r="J612" t="s">
        <v>664</v>
      </c>
      <c r="K612">
        <v>85</v>
      </c>
      <c r="L612">
        <v>57</v>
      </c>
      <c r="M612">
        <v>25</v>
      </c>
      <c r="N612" t="s">
        <v>282</v>
      </c>
      <c r="O612">
        <v>30</v>
      </c>
      <c r="P612">
        <v>42</v>
      </c>
      <c r="Q612" s="3">
        <v>-1.88</v>
      </c>
    </row>
    <row r="613" spans="1:17" x14ac:dyDescent="0.35">
      <c r="A613" t="s">
        <v>26</v>
      </c>
      <c r="B613" t="s">
        <v>27</v>
      </c>
      <c r="C613" t="s">
        <v>1238</v>
      </c>
      <c r="D613" t="s">
        <v>2585</v>
      </c>
      <c r="E613" t="s">
        <v>30</v>
      </c>
      <c r="F613" t="s">
        <v>2586</v>
      </c>
      <c r="G613" t="s">
        <v>2587</v>
      </c>
      <c r="H613" t="s">
        <v>1318</v>
      </c>
      <c r="I613" t="s">
        <v>1346</v>
      </c>
      <c r="J613" t="s">
        <v>1427</v>
      </c>
      <c r="K613">
        <v>41</v>
      </c>
      <c r="L613">
        <v>66</v>
      </c>
      <c r="M613">
        <v>50</v>
      </c>
      <c r="N613" t="s">
        <v>34</v>
      </c>
      <c r="O613">
        <v>55</v>
      </c>
      <c r="P613">
        <v>74</v>
      </c>
      <c r="Q613" s="3">
        <v>-0.4</v>
      </c>
    </row>
    <row r="614" spans="1:17" x14ac:dyDescent="0.35">
      <c r="A614" t="s">
        <v>480</v>
      </c>
      <c r="B614" t="s">
        <v>36</v>
      </c>
      <c r="C614" t="s">
        <v>207</v>
      </c>
      <c r="D614" t="s">
        <v>2588</v>
      </c>
      <c r="E614" t="s">
        <v>21</v>
      </c>
      <c r="F614" t="s">
        <v>2589</v>
      </c>
      <c r="G614" t="s">
        <v>2590</v>
      </c>
      <c r="H614" t="s">
        <v>465</v>
      </c>
      <c r="I614" t="s">
        <v>1726</v>
      </c>
      <c r="J614" t="s">
        <v>1017</v>
      </c>
      <c r="K614">
        <v>92</v>
      </c>
      <c r="L614">
        <v>99</v>
      </c>
      <c r="M614">
        <v>93</v>
      </c>
      <c r="N614" t="s">
        <v>121</v>
      </c>
      <c r="O614">
        <v>43</v>
      </c>
      <c r="P614">
        <v>90</v>
      </c>
      <c r="Q614" s="3">
        <v>-0.35</v>
      </c>
    </row>
    <row r="615" spans="1:17" x14ac:dyDescent="0.35">
      <c r="A615" t="s">
        <v>64</v>
      </c>
      <c r="B615" t="s">
        <v>65</v>
      </c>
      <c r="C615" t="s">
        <v>2098</v>
      </c>
      <c r="D615" t="s">
        <v>2591</v>
      </c>
      <c r="E615" t="s">
        <v>21</v>
      </c>
      <c r="F615" t="s">
        <v>2592</v>
      </c>
      <c r="G615" t="s">
        <v>2593</v>
      </c>
      <c r="H615" t="s">
        <v>465</v>
      </c>
      <c r="I615" t="s">
        <v>48</v>
      </c>
      <c r="J615" t="s">
        <v>361</v>
      </c>
      <c r="K615">
        <v>51</v>
      </c>
      <c r="L615">
        <v>55</v>
      </c>
      <c r="M615">
        <v>76</v>
      </c>
      <c r="N615" t="s">
        <v>73</v>
      </c>
      <c r="O615">
        <v>21</v>
      </c>
      <c r="P615">
        <v>13</v>
      </c>
      <c r="Q615" s="3">
        <v>-1.0900000000000001</v>
      </c>
    </row>
    <row r="616" spans="1:17" x14ac:dyDescent="0.35">
      <c r="A616" t="s">
        <v>671</v>
      </c>
      <c r="B616" t="s">
        <v>65</v>
      </c>
      <c r="C616" t="s">
        <v>178</v>
      </c>
      <c r="D616" t="s">
        <v>2594</v>
      </c>
      <c r="E616" t="s">
        <v>68</v>
      </c>
      <c r="F616" t="s">
        <v>2595</v>
      </c>
      <c r="G616" t="s">
        <v>2596</v>
      </c>
      <c r="H616" t="s">
        <v>465</v>
      </c>
      <c r="I616" s="1">
        <v>45963</v>
      </c>
      <c r="J616" t="s">
        <v>2058</v>
      </c>
      <c r="K616">
        <v>98</v>
      </c>
      <c r="L616">
        <v>40</v>
      </c>
      <c r="M616">
        <v>93</v>
      </c>
      <c r="N616" t="s">
        <v>49</v>
      </c>
      <c r="O616">
        <v>30</v>
      </c>
      <c r="P616">
        <v>53</v>
      </c>
      <c r="Q616" s="3">
        <v>0.38</v>
      </c>
    </row>
    <row r="617" spans="1:17" x14ac:dyDescent="0.35">
      <c r="A617" t="s">
        <v>74</v>
      </c>
      <c r="B617" t="s">
        <v>75</v>
      </c>
      <c r="C617" t="s">
        <v>1129</v>
      </c>
      <c r="D617" t="s">
        <v>2597</v>
      </c>
      <c r="E617" t="s">
        <v>21</v>
      </c>
      <c r="F617" t="s">
        <v>2598</v>
      </c>
      <c r="G617" t="s">
        <v>2599</v>
      </c>
      <c r="H617" t="s">
        <v>465</v>
      </c>
      <c r="I617" t="s">
        <v>1079</v>
      </c>
      <c r="J617" s="1">
        <v>45485</v>
      </c>
      <c r="K617">
        <v>100</v>
      </c>
      <c r="L617">
        <v>99</v>
      </c>
      <c r="M617">
        <v>8</v>
      </c>
      <c r="N617" t="s">
        <v>82</v>
      </c>
      <c r="O617">
        <v>54</v>
      </c>
      <c r="P617">
        <v>92</v>
      </c>
      <c r="Q617" s="3">
        <v>-0.77</v>
      </c>
    </row>
    <row r="618" spans="1:17" x14ac:dyDescent="0.35">
      <c r="A618" t="s">
        <v>1341</v>
      </c>
      <c r="B618" t="s">
        <v>18</v>
      </c>
      <c r="C618" t="s">
        <v>1360</v>
      </c>
      <c r="D618" t="s">
        <v>2600</v>
      </c>
      <c r="E618" t="s">
        <v>30</v>
      </c>
      <c r="F618" t="s">
        <v>2601</v>
      </c>
      <c r="G618" t="s">
        <v>2602</v>
      </c>
      <c r="H618" t="s">
        <v>465</v>
      </c>
      <c r="I618" t="s">
        <v>543</v>
      </c>
      <c r="J618" t="s">
        <v>932</v>
      </c>
      <c r="K618">
        <v>43</v>
      </c>
      <c r="L618">
        <v>21</v>
      </c>
      <c r="M618">
        <v>31</v>
      </c>
      <c r="N618" t="s">
        <v>128</v>
      </c>
      <c r="O618">
        <v>22</v>
      </c>
      <c r="P618">
        <v>25</v>
      </c>
      <c r="Q618" s="3">
        <v>-0.7</v>
      </c>
    </row>
    <row r="619" spans="1:17" x14ac:dyDescent="0.35">
      <c r="A619" t="s">
        <v>1201</v>
      </c>
      <c r="B619" t="s">
        <v>18</v>
      </c>
      <c r="C619" t="s">
        <v>2304</v>
      </c>
      <c r="D619" t="s">
        <v>2603</v>
      </c>
      <c r="E619" t="s">
        <v>68</v>
      </c>
      <c r="F619" t="s">
        <v>2604</v>
      </c>
      <c r="G619" t="s">
        <v>2605</v>
      </c>
      <c r="H619" t="s">
        <v>1178</v>
      </c>
      <c r="I619" s="1">
        <v>45516</v>
      </c>
      <c r="J619" t="s">
        <v>343</v>
      </c>
      <c r="K619">
        <v>31</v>
      </c>
      <c r="L619">
        <v>54</v>
      </c>
      <c r="M619">
        <v>52</v>
      </c>
      <c r="N619" t="s">
        <v>121</v>
      </c>
      <c r="O619">
        <v>69</v>
      </c>
      <c r="P619">
        <v>77</v>
      </c>
      <c r="Q619" s="3">
        <v>-0.14000000000000001</v>
      </c>
    </row>
    <row r="620" spans="1:17" x14ac:dyDescent="0.35">
      <c r="A620" t="s">
        <v>228</v>
      </c>
      <c r="B620" t="s">
        <v>18</v>
      </c>
      <c r="C620" t="s">
        <v>102</v>
      </c>
      <c r="D620" t="s">
        <v>2606</v>
      </c>
      <c r="E620" t="s">
        <v>30</v>
      </c>
      <c r="F620" t="s">
        <v>2607</v>
      </c>
      <c r="G620" t="s">
        <v>2608</v>
      </c>
      <c r="H620" t="s">
        <v>1178</v>
      </c>
      <c r="I620" s="1">
        <v>45455</v>
      </c>
      <c r="J620" t="s">
        <v>2092</v>
      </c>
      <c r="K620">
        <v>12</v>
      </c>
      <c r="L620">
        <v>93</v>
      </c>
      <c r="M620">
        <v>29</v>
      </c>
      <c r="N620" t="s">
        <v>370</v>
      </c>
      <c r="O620">
        <v>45</v>
      </c>
      <c r="P620">
        <v>12</v>
      </c>
      <c r="Q620" s="3">
        <v>-0.12</v>
      </c>
    </row>
    <row r="621" spans="1:17" x14ac:dyDescent="0.35">
      <c r="A621" t="s">
        <v>596</v>
      </c>
      <c r="B621" t="s">
        <v>18</v>
      </c>
      <c r="C621" t="s">
        <v>544</v>
      </c>
      <c r="D621" t="s">
        <v>2609</v>
      </c>
      <c r="E621" t="s">
        <v>30</v>
      </c>
      <c r="F621" t="s">
        <v>2610</v>
      </c>
      <c r="G621" t="s">
        <v>2611</v>
      </c>
      <c r="H621" t="s">
        <v>779</v>
      </c>
      <c r="I621" s="1">
        <v>45446</v>
      </c>
      <c r="J621" t="s">
        <v>2612</v>
      </c>
      <c r="K621">
        <v>40</v>
      </c>
      <c r="L621">
        <v>53</v>
      </c>
      <c r="M621">
        <v>7</v>
      </c>
      <c r="N621" t="s">
        <v>121</v>
      </c>
      <c r="O621">
        <v>70</v>
      </c>
      <c r="P621">
        <v>20</v>
      </c>
      <c r="Q621" s="3">
        <v>0.73</v>
      </c>
    </row>
    <row r="622" spans="1:17" x14ac:dyDescent="0.35">
      <c r="A622" t="s">
        <v>1623</v>
      </c>
      <c r="B622" t="s">
        <v>36</v>
      </c>
      <c r="C622" t="s">
        <v>59</v>
      </c>
      <c r="D622" t="s">
        <v>2613</v>
      </c>
      <c r="E622" t="s">
        <v>30</v>
      </c>
      <c r="F622" t="s">
        <v>2614</v>
      </c>
      <c r="G622" t="s">
        <v>2615</v>
      </c>
      <c r="H622" t="s">
        <v>779</v>
      </c>
      <c r="I622" t="s">
        <v>542</v>
      </c>
      <c r="J622" s="1">
        <v>45573</v>
      </c>
      <c r="K622">
        <v>57</v>
      </c>
      <c r="L622">
        <v>62</v>
      </c>
      <c r="M622">
        <v>72</v>
      </c>
      <c r="N622" t="s">
        <v>121</v>
      </c>
      <c r="O622">
        <v>23</v>
      </c>
      <c r="P622">
        <v>4</v>
      </c>
      <c r="Q622" s="3">
        <v>0.71</v>
      </c>
    </row>
    <row r="623" spans="1:17" x14ac:dyDescent="0.35">
      <c r="A623" t="s">
        <v>188</v>
      </c>
      <c r="B623" t="s">
        <v>65</v>
      </c>
      <c r="C623" t="s">
        <v>2616</v>
      </c>
      <c r="D623" t="s">
        <v>2617</v>
      </c>
      <c r="E623" t="s">
        <v>21</v>
      </c>
      <c r="F623" t="s">
        <v>2618</v>
      </c>
      <c r="G623" t="s">
        <v>2619</v>
      </c>
      <c r="H623" t="s">
        <v>1092</v>
      </c>
      <c r="I623" t="s">
        <v>522</v>
      </c>
      <c r="J623" s="1">
        <v>45478</v>
      </c>
      <c r="K623">
        <v>24</v>
      </c>
      <c r="L623">
        <v>15</v>
      </c>
      <c r="M623">
        <v>6</v>
      </c>
      <c r="N623" t="s">
        <v>193</v>
      </c>
      <c r="O623">
        <v>35</v>
      </c>
      <c r="P623">
        <v>4</v>
      </c>
      <c r="Q623" s="3">
        <v>0.83</v>
      </c>
    </row>
    <row r="624" spans="1:17" x14ac:dyDescent="0.35">
      <c r="A624" t="s">
        <v>26</v>
      </c>
      <c r="B624" t="s">
        <v>27</v>
      </c>
      <c r="C624" t="s">
        <v>2164</v>
      </c>
      <c r="D624" t="s">
        <v>2620</v>
      </c>
      <c r="E624" t="s">
        <v>30</v>
      </c>
      <c r="F624" t="s">
        <v>2621</v>
      </c>
      <c r="G624" t="s">
        <v>2622</v>
      </c>
      <c r="H624" t="s">
        <v>80</v>
      </c>
      <c r="I624" t="s">
        <v>71</v>
      </c>
      <c r="J624" s="1">
        <v>45332</v>
      </c>
      <c r="K624">
        <v>75</v>
      </c>
      <c r="L624">
        <v>61</v>
      </c>
      <c r="M624">
        <v>19</v>
      </c>
      <c r="N624" t="s">
        <v>34</v>
      </c>
      <c r="O624">
        <v>79</v>
      </c>
      <c r="P624">
        <v>69</v>
      </c>
      <c r="Q624" s="3">
        <v>0.89</v>
      </c>
    </row>
    <row r="625" spans="1:17" x14ac:dyDescent="0.35">
      <c r="A625" t="s">
        <v>154</v>
      </c>
      <c r="B625" t="s">
        <v>65</v>
      </c>
      <c r="C625" t="s">
        <v>254</v>
      </c>
      <c r="D625" t="s">
        <v>2623</v>
      </c>
      <c r="E625" t="s">
        <v>68</v>
      </c>
      <c r="F625" t="s">
        <v>2624</v>
      </c>
      <c r="G625" t="s">
        <v>2625</v>
      </c>
      <c r="H625" t="s">
        <v>80</v>
      </c>
      <c r="I625" s="1">
        <v>45538</v>
      </c>
      <c r="J625" s="1">
        <v>45689</v>
      </c>
      <c r="K625">
        <v>60</v>
      </c>
      <c r="L625">
        <v>69</v>
      </c>
      <c r="M625">
        <v>64</v>
      </c>
      <c r="N625" t="s">
        <v>349</v>
      </c>
      <c r="O625">
        <v>51</v>
      </c>
      <c r="P625">
        <v>6</v>
      </c>
      <c r="Q625" s="3">
        <v>0.13</v>
      </c>
    </row>
    <row r="626" spans="1:17" x14ac:dyDescent="0.35">
      <c r="A626" t="s">
        <v>793</v>
      </c>
      <c r="B626" t="s">
        <v>75</v>
      </c>
      <c r="C626" t="s">
        <v>1507</v>
      </c>
      <c r="D626" t="s">
        <v>2626</v>
      </c>
      <c r="E626" t="s">
        <v>21</v>
      </c>
      <c r="F626" t="s">
        <v>2627</v>
      </c>
      <c r="G626" t="s">
        <v>2628</v>
      </c>
      <c r="H626" t="s">
        <v>670</v>
      </c>
      <c r="I626" s="1">
        <v>45629</v>
      </c>
      <c r="J626" t="s">
        <v>387</v>
      </c>
      <c r="K626">
        <v>56</v>
      </c>
      <c r="L626">
        <v>50</v>
      </c>
      <c r="M626">
        <v>80</v>
      </c>
      <c r="N626" t="s">
        <v>798</v>
      </c>
      <c r="O626">
        <v>99</v>
      </c>
      <c r="P626">
        <v>5</v>
      </c>
      <c r="Q626" s="3">
        <v>0.88</v>
      </c>
    </row>
    <row r="627" spans="1:17" x14ac:dyDescent="0.35">
      <c r="A627" t="s">
        <v>1196</v>
      </c>
      <c r="B627" t="s">
        <v>75</v>
      </c>
      <c r="C627" t="s">
        <v>2164</v>
      </c>
      <c r="D627" t="s">
        <v>2629</v>
      </c>
      <c r="E627" t="s">
        <v>21</v>
      </c>
      <c r="F627" t="s">
        <v>2630</v>
      </c>
      <c r="G627" t="s">
        <v>2631</v>
      </c>
      <c r="H627" t="s">
        <v>670</v>
      </c>
      <c r="I627" t="s">
        <v>489</v>
      </c>
      <c r="J627" t="s">
        <v>306</v>
      </c>
      <c r="K627">
        <v>88</v>
      </c>
      <c r="L627">
        <v>40</v>
      </c>
      <c r="M627">
        <v>29</v>
      </c>
      <c r="N627" t="s">
        <v>713</v>
      </c>
      <c r="O627">
        <v>96</v>
      </c>
      <c r="P627">
        <v>87</v>
      </c>
      <c r="Q627" s="3">
        <v>0.95</v>
      </c>
    </row>
    <row r="628" spans="1:17" x14ac:dyDescent="0.35">
      <c r="A628" t="s">
        <v>177</v>
      </c>
      <c r="B628" t="s">
        <v>18</v>
      </c>
      <c r="C628" t="s">
        <v>284</v>
      </c>
      <c r="D628" t="s">
        <v>2632</v>
      </c>
      <c r="E628" t="s">
        <v>30</v>
      </c>
      <c r="F628" t="s">
        <v>2633</v>
      </c>
      <c r="G628" t="s">
        <v>2634</v>
      </c>
      <c r="H628" t="s">
        <v>670</v>
      </c>
      <c r="I628" s="1">
        <v>45389</v>
      </c>
      <c r="J628" t="s">
        <v>275</v>
      </c>
      <c r="K628">
        <v>53</v>
      </c>
      <c r="L628">
        <v>98</v>
      </c>
      <c r="M628">
        <v>23</v>
      </c>
      <c r="N628" t="s">
        <v>73</v>
      </c>
      <c r="O628">
        <v>41</v>
      </c>
      <c r="P628">
        <v>84</v>
      </c>
      <c r="Q628" s="3">
        <v>0.09</v>
      </c>
    </row>
    <row r="629" spans="1:17" x14ac:dyDescent="0.35">
      <c r="A629" t="s">
        <v>162</v>
      </c>
      <c r="B629" t="s">
        <v>163</v>
      </c>
      <c r="C629" t="s">
        <v>1113</v>
      </c>
      <c r="D629" t="s">
        <v>2635</v>
      </c>
      <c r="E629" t="s">
        <v>21</v>
      </c>
      <c r="F629" t="s">
        <v>2636</v>
      </c>
      <c r="G629" t="s">
        <v>2637</v>
      </c>
      <c r="H629" t="s">
        <v>306</v>
      </c>
      <c r="I629" t="s">
        <v>2299</v>
      </c>
      <c r="J629" t="s">
        <v>2260</v>
      </c>
      <c r="K629">
        <v>22</v>
      </c>
      <c r="L629">
        <v>89</v>
      </c>
      <c r="M629">
        <v>25</v>
      </c>
      <c r="N629" t="s">
        <v>2224</v>
      </c>
      <c r="O629">
        <v>30</v>
      </c>
      <c r="P629">
        <v>62</v>
      </c>
      <c r="Q629" s="3">
        <v>-1.05</v>
      </c>
    </row>
    <row r="630" spans="1:17" x14ac:dyDescent="0.35">
      <c r="A630" t="s">
        <v>872</v>
      </c>
      <c r="B630" t="s">
        <v>18</v>
      </c>
      <c r="C630" t="s">
        <v>1202</v>
      </c>
      <c r="D630" t="s">
        <v>2638</v>
      </c>
      <c r="E630" t="s">
        <v>21</v>
      </c>
      <c r="F630" t="s">
        <v>2639</v>
      </c>
      <c r="G630" t="s">
        <v>2640</v>
      </c>
      <c r="H630" t="s">
        <v>1096</v>
      </c>
      <c r="I630" t="s">
        <v>792</v>
      </c>
      <c r="J630" s="1">
        <v>45301</v>
      </c>
      <c r="K630">
        <v>41</v>
      </c>
      <c r="L630">
        <v>29</v>
      </c>
      <c r="M630">
        <v>76</v>
      </c>
      <c r="N630" t="s">
        <v>63</v>
      </c>
      <c r="O630">
        <v>59</v>
      </c>
      <c r="P630">
        <v>4</v>
      </c>
      <c r="Q630" s="3">
        <v>-1.07</v>
      </c>
    </row>
    <row r="631" spans="1:17" x14ac:dyDescent="0.35">
      <c r="A631" t="s">
        <v>1234</v>
      </c>
      <c r="B631" t="s">
        <v>27</v>
      </c>
      <c r="C631" t="s">
        <v>2641</v>
      </c>
      <c r="D631" t="s">
        <v>2642</v>
      </c>
      <c r="E631" t="s">
        <v>68</v>
      </c>
      <c r="F631" t="s">
        <v>2643</v>
      </c>
      <c r="G631" t="s">
        <v>2644</v>
      </c>
      <c r="H631" t="s">
        <v>1096</v>
      </c>
      <c r="I631" s="1">
        <v>45360</v>
      </c>
      <c r="J631" t="s">
        <v>658</v>
      </c>
      <c r="K631">
        <v>70</v>
      </c>
      <c r="L631">
        <v>96</v>
      </c>
      <c r="M631">
        <v>85</v>
      </c>
      <c r="N631" t="s">
        <v>128</v>
      </c>
      <c r="O631">
        <v>34</v>
      </c>
      <c r="P631">
        <v>3</v>
      </c>
      <c r="Q631" s="3">
        <v>0.93</v>
      </c>
    </row>
    <row r="632" spans="1:17" x14ac:dyDescent="0.35">
      <c r="A632" t="s">
        <v>596</v>
      </c>
      <c r="B632" t="s">
        <v>18</v>
      </c>
      <c r="C632" t="s">
        <v>2645</v>
      </c>
      <c r="D632" t="s">
        <v>2646</v>
      </c>
      <c r="E632" t="s">
        <v>30</v>
      </c>
      <c r="F632" t="s">
        <v>2647</v>
      </c>
      <c r="G632" t="s">
        <v>2648</v>
      </c>
      <c r="H632" t="s">
        <v>1096</v>
      </c>
      <c r="I632" t="s">
        <v>2092</v>
      </c>
      <c r="J632" s="1">
        <v>45446</v>
      </c>
      <c r="K632">
        <v>73</v>
      </c>
      <c r="L632">
        <v>90</v>
      </c>
      <c r="M632">
        <v>77</v>
      </c>
      <c r="N632" t="s">
        <v>121</v>
      </c>
      <c r="O632">
        <v>75</v>
      </c>
      <c r="P632">
        <v>19</v>
      </c>
      <c r="Q632" s="3">
        <v>0.91</v>
      </c>
    </row>
    <row r="633" spans="1:17" x14ac:dyDescent="0.35">
      <c r="A633" t="s">
        <v>320</v>
      </c>
      <c r="B633" t="s">
        <v>36</v>
      </c>
      <c r="C633" t="s">
        <v>550</v>
      </c>
      <c r="D633" t="s">
        <v>2649</v>
      </c>
      <c r="E633" t="s">
        <v>30</v>
      </c>
      <c r="F633" t="s">
        <v>2650</v>
      </c>
      <c r="G633" t="s">
        <v>2651</v>
      </c>
      <c r="H633" t="s">
        <v>774</v>
      </c>
      <c r="I633" s="1">
        <v>45326</v>
      </c>
      <c r="J633" s="1">
        <v>45422</v>
      </c>
      <c r="K633">
        <v>94</v>
      </c>
      <c r="L633">
        <v>13</v>
      </c>
      <c r="M633">
        <v>15</v>
      </c>
      <c r="N633" t="s">
        <v>57</v>
      </c>
      <c r="O633">
        <v>20</v>
      </c>
      <c r="P633">
        <v>24</v>
      </c>
      <c r="Q633" s="3">
        <v>0.75</v>
      </c>
    </row>
    <row r="634" spans="1:17" x14ac:dyDescent="0.35">
      <c r="A634" t="s">
        <v>96</v>
      </c>
      <c r="B634" t="s">
        <v>36</v>
      </c>
      <c r="C634" t="s">
        <v>1004</v>
      </c>
      <c r="D634" t="s">
        <v>2652</v>
      </c>
      <c r="E634" t="s">
        <v>68</v>
      </c>
      <c r="F634" t="s">
        <v>2653</v>
      </c>
      <c r="G634" t="s">
        <v>2654</v>
      </c>
      <c r="H634" t="s">
        <v>774</v>
      </c>
      <c r="I634" s="1">
        <v>45332</v>
      </c>
      <c r="J634" t="s">
        <v>957</v>
      </c>
      <c r="K634">
        <v>68</v>
      </c>
      <c r="L634">
        <v>60</v>
      </c>
      <c r="M634">
        <v>21</v>
      </c>
      <c r="N634" t="s">
        <v>1859</v>
      </c>
      <c r="O634">
        <v>79</v>
      </c>
      <c r="P634">
        <v>46</v>
      </c>
      <c r="Q634" s="3">
        <v>-0.2</v>
      </c>
    </row>
    <row r="635" spans="1:17" x14ac:dyDescent="0.35">
      <c r="A635" t="s">
        <v>1704</v>
      </c>
      <c r="B635" t="s">
        <v>18</v>
      </c>
      <c r="C635" t="s">
        <v>1497</v>
      </c>
      <c r="D635" t="s">
        <v>2655</v>
      </c>
      <c r="E635" t="s">
        <v>68</v>
      </c>
      <c r="F635" t="s">
        <v>2656</v>
      </c>
      <c r="G635" t="s">
        <v>2657</v>
      </c>
      <c r="H635" t="s">
        <v>1959</v>
      </c>
      <c r="I635" t="s">
        <v>982</v>
      </c>
      <c r="J635" s="1">
        <v>45810</v>
      </c>
      <c r="K635">
        <v>66</v>
      </c>
      <c r="L635">
        <v>40</v>
      </c>
      <c r="M635">
        <v>96</v>
      </c>
      <c r="N635" t="s">
        <v>82</v>
      </c>
      <c r="O635">
        <v>24</v>
      </c>
      <c r="P635">
        <v>61</v>
      </c>
      <c r="Q635" s="3">
        <v>0.42</v>
      </c>
    </row>
    <row r="636" spans="1:17" x14ac:dyDescent="0.35">
      <c r="A636" t="s">
        <v>1311</v>
      </c>
      <c r="B636" t="s">
        <v>36</v>
      </c>
      <c r="C636" t="s">
        <v>164</v>
      </c>
      <c r="D636" t="s">
        <v>2658</v>
      </c>
      <c r="E636" t="s">
        <v>30</v>
      </c>
      <c r="F636" t="s">
        <v>2659</v>
      </c>
      <c r="G636" t="s">
        <v>2660</v>
      </c>
      <c r="H636" t="s">
        <v>1959</v>
      </c>
      <c r="I636" t="s">
        <v>531</v>
      </c>
      <c r="J636" s="1">
        <v>45749</v>
      </c>
      <c r="K636">
        <v>93</v>
      </c>
      <c r="L636">
        <v>8</v>
      </c>
      <c r="M636">
        <v>51</v>
      </c>
      <c r="N636" t="s">
        <v>798</v>
      </c>
      <c r="O636">
        <v>93</v>
      </c>
      <c r="P636">
        <v>85</v>
      </c>
      <c r="Q636" s="3">
        <v>-1.54</v>
      </c>
    </row>
    <row r="637" spans="1:17" x14ac:dyDescent="0.35">
      <c r="A637" t="s">
        <v>135</v>
      </c>
      <c r="B637" t="s">
        <v>36</v>
      </c>
      <c r="C637" t="s">
        <v>1841</v>
      </c>
      <c r="D637" t="s">
        <v>2661</v>
      </c>
      <c r="E637" t="s">
        <v>30</v>
      </c>
      <c r="F637" t="s">
        <v>2662</v>
      </c>
      <c r="G637" t="s">
        <v>2663</v>
      </c>
      <c r="H637" t="s">
        <v>1959</v>
      </c>
      <c r="I637" t="s">
        <v>354</v>
      </c>
      <c r="J637" t="s">
        <v>501</v>
      </c>
      <c r="K637">
        <v>56</v>
      </c>
      <c r="L637">
        <v>97</v>
      </c>
      <c r="M637">
        <v>29</v>
      </c>
      <c r="N637" t="s">
        <v>128</v>
      </c>
      <c r="O637">
        <v>82</v>
      </c>
      <c r="P637">
        <v>100</v>
      </c>
      <c r="Q637" s="3">
        <v>0.09</v>
      </c>
    </row>
    <row r="638" spans="1:17" x14ac:dyDescent="0.35">
      <c r="A638" t="s">
        <v>1623</v>
      </c>
      <c r="B638" t="s">
        <v>36</v>
      </c>
      <c r="C638" t="s">
        <v>1009</v>
      </c>
      <c r="D638" t="s">
        <v>2664</v>
      </c>
      <c r="E638" t="s">
        <v>68</v>
      </c>
      <c r="F638" t="s">
        <v>2665</v>
      </c>
      <c r="G638" t="s">
        <v>2666</v>
      </c>
      <c r="H638" t="s">
        <v>1959</v>
      </c>
      <c r="I638" t="s">
        <v>664</v>
      </c>
      <c r="J638" t="s">
        <v>785</v>
      </c>
      <c r="K638">
        <v>82</v>
      </c>
      <c r="L638">
        <v>12</v>
      </c>
      <c r="M638">
        <v>94</v>
      </c>
      <c r="N638" t="s">
        <v>1002</v>
      </c>
      <c r="O638">
        <v>69</v>
      </c>
      <c r="P638">
        <v>93</v>
      </c>
      <c r="Q638" s="3">
        <v>-0.22</v>
      </c>
    </row>
    <row r="639" spans="1:17" x14ac:dyDescent="0.35">
      <c r="A639" t="s">
        <v>408</v>
      </c>
      <c r="B639" t="s">
        <v>18</v>
      </c>
      <c r="C639" t="s">
        <v>2517</v>
      </c>
      <c r="D639" t="s">
        <v>2667</v>
      </c>
      <c r="E639" t="s">
        <v>68</v>
      </c>
      <c r="F639" t="s">
        <v>2668</v>
      </c>
      <c r="G639" t="s">
        <v>2669</v>
      </c>
      <c r="H639" t="s">
        <v>1959</v>
      </c>
      <c r="I639" s="1">
        <v>45542</v>
      </c>
      <c r="J639" t="s">
        <v>1149</v>
      </c>
      <c r="K639">
        <v>11</v>
      </c>
      <c r="L639">
        <v>58</v>
      </c>
      <c r="M639">
        <v>32</v>
      </c>
      <c r="N639" t="s">
        <v>121</v>
      </c>
      <c r="O639">
        <v>99</v>
      </c>
      <c r="P639">
        <v>94</v>
      </c>
      <c r="Q639" s="3">
        <v>-0.35</v>
      </c>
    </row>
    <row r="640" spans="1:17" x14ac:dyDescent="0.35">
      <c r="A640" t="s">
        <v>253</v>
      </c>
      <c r="B640" t="s">
        <v>65</v>
      </c>
      <c r="C640" t="s">
        <v>1187</v>
      </c>
      <c r="D640" t="s">
        <v>2670</v>
      </c>
      <c r="E640" t="s">
        <v>68</v>
      </c>
      <c r="F640" t="s">
        <v>2671</v>
      </c>
      <c r="G640" t="s">
        <v>2672</v>
      </c>
      <c r="H640" t="s">
        <v>791</v>
      </c>
      <c r="I640" s="1">
        <v>45388</v>
      </c>
      <c r="J640" t="s">
        <v>645</v>
      </c>
      <c r="K640">
        <v>31</v>
      </c>
      <c r="L640">
        <v>32</v>
      </c>
      <c r="M640">
        <v>69</v>
      </c>
      <c r="N640" t="s">
        <v>34</v>
      </c>
      <c r="O640">
        <v>38</v>
      </c>
      <c r="P640">
        <v>23</v>
      </c>
      <c r="Q640" s="3">
        <v>0.05</v>
      </c>
    </row>
    <row r="641" spans="1:17" x14ac:dyDescent="0.35">
      <c r="A641" t="s">
        <v>148</v>
      </c>
      <c r="B641" t="s">
        <v>18</v>
      </c>
      <c r="C641" t="s">
        <v>2028</v>
      </c>
      <c r="D641" t="s">
        <v>2673</v>
      </c>
      <c r="E641" t="s">
        <v>30</v>
      </c>
      <c r="F641" t="s">
        <v>2674</v>
      </c>
      <c r="G641" t="s">
        <v>2675</v>
      </c>
      <c r="H641" t="s">
        <v>791</v>
      </c>
      <c r="I641" s="1">
        <v>45810</v>
      </c>
      <c r="J641" s="1">
        <v>45577</v>
      </c>
      <c r="K641">
        <v>97</v>
      </c>
      <c r="L641">
        <v>20</v>
      </c>
      <c r="M641">
        <v>72</v>
      </c>
      <c r="N641" t="s">
        <v>153</v>
      </c>
      <c r="O641">
        <v>29</v>
      </c>
      <c r="P641">
        <v>59</v>
      </c>
      <c r="Q641" s="3">
        <v>0.39</v>
      </c>
    </row>
    <row r="642" spans="1:17" x14ac:dyDescent="0.35">
      <c r="A642" t="s">
        <v>283</v>
      </c>
      <c r="B642" t="s">
        <v>163</v>
      </c>
      <c r="C642" t="s">
        <v>2676</v>
      </c>
      <c r="D642" t="s">
        <v>2677</v>
      </c>
      <c r="E642" t="s">
        <v>68</v>
      </c>
      <c r="F642" t="s">
        <v>2678</v>
      </c>
      <c r="G642" t="s">
        <v>2679</v>
      </c>
      <c r="H642" t="s">
        <v>791</v>
      </c>
      <c r="I642" s="1">
        <v>45718</v>
      </c>
      <c r="J642" s="1">
        <v>45447</v>
      </c>
      <c r="K642">
        <v>74</v>
      </c>
      <c r="L642">
        <v>2</v>
      </c>
      <c r="M642">
        <v>45</v>
      </c>
      <c r="N642" t="s">
        <v>82</v>
      </c>
      <c r="O642">
        <v>37</v>
      </c>
      <c r="P642">
        <v>99</v>
      </c>
      <c r="Q642" s="3">
        <v>-1.03</v>
      </c>
    </row>
    <row r="643" spans="1:17" x14ac:dyDescent="0.35">
      <c r="A643" t="s">
        <v>856</v>
      </c>
      <c r="B643" t="s">
        <v>18</v>
      </c>
      <c r="C643" t="s">
        <v>265</v>
      </c>
      <c r="D643" t="s">
        <v>2680</v>
      </c>
      <c r="E643" t="s">
        <v>68</v>
      </c>
      <c r="F643" t="s">
        <v>2681</v>
      </c>
      <c r="G643" t="s">
        <v>2682</v>
      </c>
      <c r="H643" t="s">
        <v>1648</v>
      </c>
      <c r="I643" s="1">
        <v>45568</v>
      </c>
      <c r="J643" t="s">
        <v>2202</v>
      </c>
      <c r="K643">
        <v>44</v>
      </c>
      <c r="L643">
        <v>67</v>
      </c>
      <c r="M643">
        <v>15</v>
      </c>
      <c r="N643" t="s">
        <v>128</v>
      </c>
      <c r="O643">
        <v>82</v>
      </c>
      <c r="P643">
        <v>51</v>
      </c>
      <c r="Q643" s="3">
        <v>-1.68</v>
      </c>
    </row>
    <row r="644" spans="1:17" x14ac:dyDescent="0.35">
      <c r="A644" t="s">
        <v>50</v>
      </c>
      <c r="B644" t="s">
        <v>18</v>
      </c>
      <c r="C644" t="s">
        <v>1298</v>
      </c>
      <c r="D644" t="s">
        <v>2683</v>
      </c>
      <c r="E644" t="s">
        <v>68</v>
      </c>
      <c r="F644" t="s">
        <v>2684</v>
      </c>
      <c r="G644" t="s">
        <v>2685</v>
      </c>
      <c r="H644" t="s">
        <v>1648</v>
      </c>
      <c r="I644" s="1">
        <v>45992</v>
      </c>
      <c r="J644" t="s">
        <v>897</v>
      </c>
      <c r="K644">
        <v>33</v>
      </c>
      <c r="L644">
        <v>4</v>
      </c>
      <c r="M644">
        <v>31</v>
      </c>
      <c r="N644" t="s">
        <v>57</v>
      </c>
      <c r="O644">
        <v>46</v>
      </c>
      <c r="P644">
        <v>92</v>
      </c>
      <c r="Q644" s="3">
        <v>0.38</v>
      </c>
    </row>
    <row r="645" spans="1:17" x14ac:dyDescent="0.35">
      <c r="A645" t="s">
        <v>532</v>
      </c>
      <c r="B645" t="s">
        <v>75</v>
      </c>
      <c r="C645" t="s">
        <v>241</v>
      </c>
      <c r="D645" t="s">
        <v>2686</v>
      </c>
      <c r="E645" t="s">
        <v>30</v>
      </c>
      <c r="F645" t="s">
        <v>2687</v>
      </c>
      <c r="G645" t="s">
        <v>2688</v>
      </c>
      <c r="H645" t="s">
        <v>1905</v>
      </c>
      <c r="I645" t="s">
        <v>812</v>
      </c>
      <c r="J645" t="s">
        <v>1427</v>
      </c>
      <c r="K645">
        <v>88</v>
      </c>
      <c r="L645">
        <v>71</v>
      </c>
      <c r="M645">
        <v>9</v>
      </c>
      <c r="N645" t="s">
        <v>537</v>
      </c>
      <c r="O645">
        <v>28</v>
      </c>
      <c r="P645">
        <v>14</v>
      </c>
      <c r="Q645" s="3">
        <v>-1</v>
      </c>
    </row>
    <row r="646" spans="1:17" x14ac:dyDescent="0.35">
      <c r="A646" t="s">
        <v>1191</v>
      </c>
      <c r="B646" t="s">
        <v>75</v>
      </c>
      <c r="C646" t="s">
        <v>544</v>
      </c>
      <c r="D646" t="s">
        <v>2689</v>
      </c>
      <c r="E646" t="s">
        <v>21</v>
      </c>
      <c r="F646" t="s">
        <v>2690</v>
      </c>
      <c r="G646" t="s">
        <v>2691</v>
      </c>
      <c r="H646" t="s">
        <v>1905</v>
      </c>
      <c r="I646" t="s">
        <v>2046</v>
      </c>
      <c r="J646" t="s">
        <v>2046</v>
      </c>
      <c r="K646">
        <v>14</v>
      </c>
      <c r="L646">
        <v>67</v>
      </c>
      <c r="M646">
        <v>65</v>
      </c>
      <c r="N646" t="s">
        <v>169</v>
      </c>
      <c r="O646">
        <v>71</v>
      </c>
      <c r="P646">
        <v>94</v>
      </c>
      <c r="Q646" s="3">
        <v>0.5</v>
      </c>
    </row>
    <row r="647" spans="1:17" x14ac:dyDescent="0.35">
      <c r="A647" t="s">
        <v>162</v>
      </c>
      <c r="B647" t="s">
        <v>163</v>
      </c>
      <c r="C647" t="s">
        <v>1217</v>
      </c>
      <c r="D647" t="s">
        <v>2692</v>
      </c>
      <c r="E647" t="s">
        <v>30</v>
      </c>
      <c r="F647" t="s">
        <v>2693</v>
      </c>
      <c r="G647" t="s">
        <v>2694</v>
      </c>
      <c r="H647" t="s">
        <v>2032</v>
      </c>
      <c r="I647" t="s">
        <v>1318</v>
      </c>
      <c r="J647" t="s">
        <v>72</v>
      </c>
      <c r="K647">
        <v>36</v>
      </c>
      <c r="L647">
        <v>64</v>
      </c>
      <c r="M647">
        <v>63</v>
      </c>
      <c r="N647" t="s">
        <v>169</v>
      </c>
      <c r="O647">
        <v>91</v>
      </c>
      <c r="P647">
        <v>35</v>
      </c>
      <c r="Q647" s="3">
        <v>-0.32</v>
      </c>
    </row>
    <row r="648" spans="1:17" x14ac:dyDescent="0.35">
      <c r="A648" t="s">
        <v>217</v>
      </c>
      <c r="B648" t="s">
        <v>65</v>
      </c>
      <c r="C648" t="s">
        <v>102</v>
      </c>
      <c r="D648" t="s">
        <v>2695</v>
      </c>
      <c r="E648" t="s">
        <v>68</v>
      </c>
      <c r="F648" t="s">
        <v>2696</v>
      </c>
      <c r="G648" t="s">
        <v>2697</v>
      </c>
      <c r="H648" t="s">
        <v>2032</v>
      </c>
      <c r="I648" s="1">
        <v>45389</v>
      </c>
      <c r="J648" t="s">
        <v>422</v>
      </c>
      <c r="K648">
        <v>56</v>
      </c>
      <c r="L648">
        <v>4</v>
      </c>
      <c r="M648">
        <v>74</v>
      </c>
      <c r="N648" t="s">
        <v>134</v>
      </c>
      <c r="O648">
        <v>61</v>
      </c>
      <c r="P648">
        <v>73</v>
      </c>
      <c r="Q648" s="3">
        <v>0.62</v>
      </c>
    </row>
    <row r="649" spans="1:17" x14ac:dyDescent="0.35">
      <c r="A649" t="s">
        <v>188</v>
      </c>
      <c r="B649" t="s">
        <v>65</v>
      </c>
      <c r="C649" t="s">
        <v>1995</v>
      </c>
      <c r="D649" t="s">
        <v>2698</v>
      </c>
      <c r="E649" t="s">
        <v>21</v>
      </c>
      <c r="F649" t="s">
        <v>2699</v>
      </c>
      <c r="G649" t="s">
        <v>2700</v>
      </c>
      <c r="H649" t="s">
        <v>2032</v>
      </c>
      <c r="I649" t="s">
        <v>1492</v>
      </c>
      <c r="J649" s="1">
        <v>45420</v>
      </c>
      <c r="K649">
        <v>44</v>
      </c>
      <c r="L649">
        <v>26</v>
      </c>
      <c r="M649">
        <v>60</v>
      </c>
      <c r="N649" t="s">
        <v>193</v>
      </c>
      <c r="O649">
        <v>63</v>
      </c>
      <c r="P649">
        <v>59</v>
      </c>
      <c r="Q649" s="3">
        <v>-0.2</v>
      </c>
    </row>
    <row r="650" spans="1:17" x14ac:dyDescent="0.35">
      <c r="A650" t="s">
        <v>188</v>
      </c>
      <c r="B650" t="s">
        <v>65</v>
      </c>
      <c r="C650" t="s">
        <v>691</v>
      </c>
      <c r="D650" t="s">
        <v>2701</v>
      </c>
      <c r="E650" t="s">
        <v>21</v>
      </c>
      <c r="F650" t="s">
        <v>2702</v>
      </c>
      <c r="G650" t="s">
        <v>2703</v>
      </c>
      <c r="H650" t="s">
        <v>2032</v>
      </c>
      <c r="I650" s="1">
        <v>45421</v>
      </c>
      <c r="J650" t="s">
        <v>1125</v>
      </c>
      <c r="K650">
        <v>33</v>
      </c>
      <c r="L650">
        <v>44</v>
      </c>
      <c r="M650">
        <v>89</v>
      </c>
      <c r="N650" t="s">
        <v>193</v>
      </c>
      <c r="O650">
        <v>93</v>
      </c>
      <c r="P650">
        <v>19</v>
      </c>
      <c r="Q650" s="3">
        <v>0.06</v>
      </c>
    </row>
    <row r="651" spans="1:17" x14ac:dyDescent="0.35">
      <c r="A651" t="s">
        <v>1440</v>
      </c>
      <c r="B651" t="s">
        <v>18</v>
      </c>
      <c r="C651" t="s">
        <v>1213</v>
      </c>
      <c r="D651" t="s">
        <v>2704</v>
      </c>
      <c r="E651" t="s">
        <v>21</v>
      </c>
      <c r="F651" t="s">
        <v>2705</v>
      </c>
      <c r="G651" t="s">
        <v>2706</v>
      </c>
      <c r="H651" t="s">
        <v>1427</v>
      </c>
      <c r="I651" t="s">
        <v>1820</v>
      </c>
      <c r="J651" t="s">
        <v>1291</v>
      </c>
      <c r="K651">
        <v>53</v>
      </c>
      <c r="L651">
        <v>41</v>
      </c>
      <c r="M651">
        <v>30</v>
      </c>
      <c r="N651" t="s">
        <v>153</v>
      </c>
      <c r="O651">
        <v>24</v>
      </c>
      <c r="P651">
        <v>77</v>
      </c>
      <c r="Q651" s="3">
        <v>0.8</v>
      </c>
    </row>
    <row r="652" spans="1:17" x14ac:dyDescent="0.35">
      <c r="A652" t="s">
        <v>880</v>
      </c>
      <c r="B652" t="s">
        <v>27</v>
      </c>
      <c r="C652" t="s">
        <v>1580</v>
      </c>
      <c r="D652" t="s">
        <v>2707</v>
      </c>
      <c r="E652" t="s">
        <v>21</v>
      </c>
      <c r="F652" t="s">
        <v>2708</v>
      </c>
      <c r="G652" t="s">
        <v>2709</v>
      </c>
      <c r="H652" t="s">
        <v>1427</v>
      </c>
      <c r="I652" s="1">
        <v>45387</v>
      </c>
      <c r="J652" t="s">
        <v>205</v>
      </c>
      <c r="K652">
        <v>96</v>
      </c>
      <c r="L652">
        <v>51</v>
      </c>
      <c r="M652">
        <v>40</v>
      </c>
      <c r="N652" t="s">
        <v>884</v>
      </c>
      <c r="O652">
        <v>61</v>
      </c>
      <c r="P652">
        <v>4</v>
      </c>
      <c r="Q652" s="3">
        <v>-2.21</v>
      </c>
    </row>
    <row r="653" spans="1:17" x14ac:dyDescent="0.35">
      <c r="A653" t="s">
        <v>356</v>
      </c>
      <c r="B653" t="s">
        <v>18</v>
      </c>
      <c r="C653" t="s">
        <v>1619</v>
      </c>
      <c r="D653" t="s">
        <v>2710</v>
      </c>
      <c r="E653" t="s">
        <v>21</v>
      </c>
      <c r="F653" t="s">
        <v>2711</v>
      </c>
      <c r="G653" t="s">
        <v>2712</v>
      </c>
      <c r="H653" t="s">
        <v>119</v>
      </c>
      <c r="I653" t="s">
        <v>258</v>
      </c>
      <c r="J653" t="s">
        <v>206</v>
      </c>
      <c r="K653">
        <v>48</v>
      </c>
      <c r="L653">
        <v>48</v>
      </c>
      <c r="M653">
        <v>39</v>
      </c>
      <c r="N653" t="s">
        <v>2713</v>
      </c>
      <c r="O653">
        <v>51</v>
      </c>
      <c r="P653">
        <v>50</v>
      </c>
      <c r="Q653" s="3">
        <v>0.93</v>
      </c>
    </row>
    <row r="654" spans="1:17" x14ac:dyDescent="0.35">
      <c r="A654" t="s">
        <v>1234</v>
      </c>
      <c r="B654" t="s">
        <v>27</v>
      </c>
      <c r="C654" t="s">
        <v>1416</v>
      </c>
      <c r="D654" t="s">
        <v>2714</v>
      </c>
      <c r="E654" t="s">
        <v>68</v>
      </c>
      <c r="F654" t="s">
        <v>2715</v>
      </c>
      <c r="G654" t="s">
        <v>2716</v>
      </c>
      <c r="H654" t="s">
        <v>1073</v>
      </c>
      <c r="I654" s="1">
        <v>45478</v>
      </c>
      <c r="J654" t="s">
        <v>664</v>
      </c>
      <c r="K654">
        <v>96</v>
      </c>
      <c r="L654">
        <v>52</v>
      </c>
      <c r="M654">
        <v>16</v>
      </c>
      <c r="N654" t="s">
        <v>128</v>
      </c>
      <c r="O654">
        <v>67</v>
      </c>
      <c r="P654">
        <v>13</v>
      </c>
      <c r="Q654" s="3">
        <v>0.02</v>
      </c>
    </row>
    <row r="655" spans="1:17" x14ac:dyDescent="0.35">
      <c r="A655" t="s">
        <v>177</v>
      </c>
      <c r="B655" t="s">
        <v>18</v>
      </c>
      <c r="C655" t="s">
        <v>2717</v>
      </c>
      <c r="D655" t="s">
        <v>2718</v>
      </c>
      <c r="E655" t="s">
        <v>68</v>
      </c>
      <c r="F655" t="s">
        <v>2719</v>
      </c>
      <c r="G655" t="s">
        <v>2720</v>
      </c>
      <c r="H655" t="s">
        <v>1073</v>
      </c>
      <c r="I655" s="1">
        <v>45420</v>
      </c>
      <c r="J655" t="s">
        <v>71</v>
      </c>
      <c r="K655">
        <v>58</v>
      </c>
      <c r="L655">
        <v>58</v>
      </c>
      <c r="M655">
        <v>28</v>
      </c>
      <c r="N655" t="s">
        <v>646</v>
      </c>
      <c r="O655">
        <v>85</v>
      </c>
      <c r="P655">
        <v>63</v>
      </c>
      <c r="Q655" s="3">
        <v>0.81</v>
      </c>
    </row>
    <row r="656" spans="1:17" x14ac:dyDescent="0.35">
      <c r="A656" t="s">
        <v>1527</v>
      </c>
      <c r="B656" t="s">
        <v>18</v>
      </c>
      <c r="C656" t="s">
        <v>44</v>
      </c>
      <c r="D656" t="s">
        <v>2721</v>
      </c>
      <c r="E656" t="s">
        <v>21</v>
      </c>
      <c r="F656" t="s">
        <v>2722</v>
      </c>
      <c r="G656" t="s">
        <v>2723</v>
      </c>
      <c r="H656" t="s">
        <v>1073</v>
      </c>
      <c r="I656" t="s">
        <v>651</v>
      </c>
      <c r="J656" t="s">
        <v>81</v>
      </c>
      <c r="K656">
        <v>45</v>
      </c>
      <c r="L656">
        <v>28</v>
      </c>
      <c r="M656">
        <v>6</v>
      </c>
      <c r="N656" t="s">
        <v>134</v>
      </c>
      <c r="O656">
        <v>35</v>
      </c>
      <c r="P656">
        <v>16</v>
      </c>
      <c r="Q656" s="3">
        <v>0.26</v>
      </c>
    </row>
    <row r="657" spans="1:17" x14ac:dyDescent="0.35">
      <c r="A657" t="s">
        <v>708</v>
      </c>
      <c r="B657" t="s">
        <v>163</v>
      </c>
      <c r="C657" t="s">
        <v>1563</v>
      </c>
      <c r="D657" t="s">
        <v>2724</v>
      </c>
      <c r="E657" t="s">
        <v>21</v>
      </c>
      <c r="F657" t="s">
        <v>2725</v>
      </c>
      <c r="G657" t="s">
        <v>2726</v>
      </c>
      <c r="H657" t="s">
        <v>1073</v>
      </c>
      <c r="I657" s="1">
        <v>45571</v>
      </c>
      <c r="J657" s="1">
        <v>45385</v>
      </c>
      <c r="K657">
        <v>24</v>
      </c>
      <c r="L657">
        <v>77</v>
      </c>
      <c r="M657">
        <v>32</v>
      </c>
      <c r="N657" t="s">
        <v>2727</v>
      </c>
      <c r="O657">
        <v>80</v>
      </c>
      <c r="P657">
        <v>42</v>
      </c>
      <c r="Q657" s="3">
        <v>0.54</v>
      </c>
    </row>
    <row r="658" spans="1:17" x14ac:dyDescent="0.35">
      <c r="A658" t="s">
        <v>1502</v>
      </c>
      <c r="B658" t="s">
        <v>114</v>
      </c>
      <c r="C658" t="s">
        <v>2728</v>
      </c>
      <c r="D658" t="s">
        <v>2729</v>
      </c>
      <c r="E658" t="s">
        <v>30</v>
      </c>
      <c r="F658" t="s">
        <v>2730</v>
      </c>
      <c r="G658" t="s">
        <v>2731</v>
      </c>
      <c r="H658" t="s">
        <v>1073</v>
      </c>
      <c r="I658" t="s">
        <v>269</v>
      </c>
      <c r="J658" s="1">
        <v>45302</v>
      </c>
      <c r="K658">
        <v>94</v>
      </c>
      <c r="L658">
        <v>34</v>
      </c>
      <c r="M658">
        <v>21</v>
      </c>
      <c r="N658" t="s">
        <v>502</v>
      </c>
      <c r="O658">
        <v>74</v>
      </c>
      <c r="P658">
        <v>70</v>
      </c>
      <c r="Q658" s="3">
        <v>0.48</v>
      </c>
    </row>
    <row r="659" spans="1:17" x14ac:dyDescent="0.35">
      <c r="A659" t="s">
        <v>217</v>
      </c>
      <c r="B659" t="s">
        <v>65</v>
      </c>
      <c r="C659" t="s">
        <v>959</v>
      </c>
      <c r="D659" t="s">
        <v>2732</v>
      </c>
      <c r="E659" t="s">
        <v>21</v>
      </c>
      <c r="F659" t="s">
        <v>2733</v>
      </c>
      <c r="G659" t="s">
        <v>2734</v>
      </c>
      <c r="H659" t="s">
        <v>1073</v>
      </c>
      <c r="I659" t="s">
        <v>1039</v>
      </c>
      <c r="J659" t="s">
        <v>56</v>
      </c>
      <c r="K659">
        <v>86</v>
      </c>
      <c r="L659">
        <v>80</v>
      </c>
      <c r="M659">
        <v>80</v>
      </c>
      <c r="N659" t="s">
        <v>134</v>
      </c>
      <c r="O659">
        <v>22</v>
      </c>
      <c r="P659">
        <v>67</v>
      </c>
      <c r="Q659" s="3">
        <v>0.05</v>
      </c>
    </row>
    <row r="660" spans="1:17" x14ac:dyDescent="0.35">
      <c r="A660" t="s">
        <v>64</v>
      </c>
      <c r="B660" t="s">
        <v>65</v>
      </c>
      <c r="C660" t="s">
        <v>630</v>
      </c>
      <c r="D660" t="s">
        <v>2735</v>
      </c>
      <c r="E660" t="s">
        <v>30</v>
      </c>
      <c r="F660" t="s">
        <v>2736</v>
      </c>
      <c r="G660" t="s">
        <v>2737</v>
      </c>
      <c r="H660" t="s">
        <v>263</v>
      </c>
      <c r="I660" t="s">
        <v>55</v>
      </c>
      <c r="J660" t="s">
        <v>1836</v>
      </c>
      <c r="K660">
        <v>20</v>
      </c>
      <c r="L660">
        <v>51</v>
      </c>
      <c r="M660">
        <v>21</v>
      </c>
      <c r="N660" t="s">
        <v>73</v>
      </c>
      <c r="O660">
        <v>71</v>
      </c>
      <c r="P660">
        <v>26</v>
      </c>
      <c r="Q660" s="3">
        <v>-2.0499999999999998</v>
      </c>
    </row>
    <row r="661" spans="1:17" x14ac:dyDescent="0.35">
      <c r="A661" t="s">
        <v>106</v>
      </c>
      <c r="B661" t="s">
        <v>18</v>
      </c>
      <c r="C661" t="s">
        <v>115</v>
      </c>
      <c r="D661" t="s">
        <v>2738</v>
      </c>
      <c r="E661" t="s">
        <v>21</v>
      </c>
      <c r="F661" t="s">
        <v>2739</v>
      </c>
      <c r="G661" t="s">
        <v>2740</v>
      </c>
      <c r="H661" t="s">
        <v>269</v>
      </c>
      <c r="I661" t="s">
        <v>812</v>
      </c>
      <c r="J661" s="1">
        <v>45690</v>
      </c>
      <c r="K661">
        <v>85</v>
      </c>
      <c r="L661">
        <v>45</v>
      </c>
      <c r="M661">
        <v>71</v>
      </c>
      <c r="N661" t="s">
        <v>153</v>
      </c>
      <c r="O661">
        <v>95</v>
      </c>
      <c r="P661">
        <v>72</v>
      </c>
      <c r="Q661" s="3">
        <v>0.63</v>
      </c>
    </row>
    <row r="662" spans="1:17" x14ac:dyDescent="0.35">
      <c r="A662" t="s">
        <v>1201</v>
      </c>
      <c r="B662" t="s">
        <v>18</v>
      </c>
      <c r="C662" t="s">
        <v>1432</v>
      </c>
      <c r="D662" t="s">
        <v>2741</v>
      </c>
      <c r="E662" t="s">
        <v>21</v>
      </c>
      <c r="F662" t="s">
        <v>2742</v>
      </c>
      <c r="G662" t="s">
        <v>2743</v>
      </c>
      <c r="H662" t="s">
        <v>269</v>
      </c>
      <c r="I662" t="s">
        <v>879</v>
      </c>
      <c r="J662" s="1">
        <v>45600</v>
      </c>
      <c r="K662">
        <v>30</v>
      </c>
      <c r="L662">
        <v>59</v>
      </c>
      <c r="M662">
        <v>76</v>
      </c>
      <c r="N662" t="s">
        <v>121</v>
      </c>
      <c r="O662">
        <v>61</v>
      </c>
      <c r="P662">
        <v>3</v>
      </c>
      <c r="Q662" s="3">
        <v>0.24</v>
      </c>
    </row>
    <row r="663" spans="1:17" x14ac:dyDescent="0.35">
      <c r="A663" t="s">
        <v>872</v>
      </c>
      <c r="B663" t="s">
        <v>18</v>
      </c>
      <c r="C663" t="s">
        <v>1829</v>
      </c>
      <c r="D663" t="s">
        <v>2744</v>
      </c>
      <c r="E663" t="s">
        <v>30</v>
      </c>
      <c r="F663" t="s">
        <v>2745</v>
      </c>
      <c r="G663" t="s">
        <v>2746</v>
      </c>
      <c r="H663" t="s">
        <v>269</v>
      </c>
      <c r="I663" t="s">
        <v>111</v>
      </c>
      <c r="J663" t="s">
        <v>2012</v>
      </c>
      <c r="K663">
        <v>23</v>
      </c>
      <c r="L663">
        <v>6</v>
      </c>
      <c r="M663">
        <v>40</v>
      </c>
      <c r="N663" t="s">
        <v>128</v>
      </c>
      <c r="O663">
        <v>95</v>
      </c>
      <c r="P663">
        <v>24</v>
      </c>
      <c r="Q663" s="3">
        <v>0.95</v>
      </c>
    </row>
    <row r="664" spans="1:17" x14ac:dyDescent="0.35">
      <c r="A664" t="s">
        <v>148</v>
      </c>
      <c r="B664" t="s">
        <v>18</v>
      </c>
      <c r="C664" t="s">
        <v>2645</v>
      </c>
      <c r="D664" t="s">
        <v>2747</v>
      </c>
      <c r="E664" t="s">
        <v>30</v>
      </c>
      <c r="F664" t="s">
        <v>2748</v>
      </c>
      <c r="G664" t="s">
        <v>2749</v>
      </c>
      <c r="H664" t="s">
        <v>294</v>
      </c>
      <c r="I664" t="s">
        <v>898</v>
      </c>
      <c r="J664" t="s">
        <v>2750</v>
      </c>
      <c r="K664">
        <v>17</v>
      </c>
      <c r="L664">
        <v>3</v>
      </c>
      <c r="M664">
        <v>33</v>
      </c>
      <c r="N664" t="s">
        <v>153</v>
      </c>
      <c r="O664">
        <v>49</v>
      </c>
      <c r="P664">
        <v>17</v>
      </c>
      <c r="Q664" s="3">
        <v>0.75</v>
      </c>
    </row>
    <row r="665" spans="1:17" x14ac:dyDescent="0.35">
      <c r="A665" t="s">
        <v>1415</v>
      </c>
      <c r="B665" t="s">
        <v>114</v>
      </c>
      <c r="C665" t="s">
        <v>178</v>
      </c>
      <c r="D665" t="s">
        <v>2751</v>
      </c>
      <c r="E665" t="s">
        <v>30</v>
      </c>
      <c r="F665" t="s">
        <v>2752</v>
      </c>
      <c r="G665" t="s">
        <v>2753</v>
      </c>
      <c r="H665" t="s">
        <v>294</v>
      </c>
      <c r="I665" t="s">
        <v>791</v>
      </c>
      <c r="J665" t="s">
        <v>982</v>
      </c>
      <c r="K665">
        <v>61</v>
      </c>
      <c r="L665">
        <v>77</v>
      </c>
      <c r="M665">
        <v>45</v>
      </c>
      <c r="N665" t="s">
        <v>128</v>
      </c>
      <c r="O665">
        <v>51</v>
      </c>
      <c r="P665">
        <v>48</v>
      </c>
      <c r="Q665" s="3">
        <v>0.65</v>
      </c>
    </row>
    <row r="666" spans="1:17" x14ac:dyDescent="0.35">
      <c r="A666" t="s">
        <v>113</v>
      </c>
      <c r="B666" t="s">
        <v>114</v>
      </c>
      <c r="C666" t="s">
        <v>76</v>
      </c>
      <c r="D666" t="s">
        <v>2754</v>
      </c>
      <c r="E666" t="s">
        <v>30</v>
      </c>
      <c r="F666" t="s">
        <v>2755</v>
      </c>
      <c r="G666" t="s">
        <v>2756</v>
      </c>
      <c r="H666" t="s">
        <v>294</v>
      </c>
      <c r="I666" t="s">
        <v>252</v>
      </c>
      <c r="J666" t="s">
        <v>542</v>
      </c>
      <c r="K666">
        <v>29</v>
      </c>
      <c r="L666">
        <v>2</v>
      </c>
      <c r="M666">
        <v>84</v>
      </c>
      <c r="N666" t="s">
        <v>121</v>
      </c>
      <c r="O666">
        <v>80</v>
      </c>
      <c r="P666">
        <v>85</v>
      </c>
      <c r="Q666" s="3">
        <v>0.06</v>
      </c>
    </row>
    <row r="667" spans="1:17" x14ac:dyDescent="0.35">
      <c r="A667" t="s">
        <v>690</v>
      </c>
      <c r="B667" t="s">
        <v>36</v>
      </c>
      <c r="C667" t="s">
        <v>1360</v>
      </c>
      <c r="D667" t="s">
        <v>2757</v>
      </c>
      <c r="E667" t="s">
        <v>30</v>
      </c>
      <c r="F667" t="s">
        <v>2758</v>
      </c>
      <c r="G667" t="s">
        <v>2759</v>
      </c>
      <c r="H667" t="s">
        <v>967</v>
      </c>
      <c r="I667" t="s">
        <v>1514</v>
      </c>
      <c r="J667" t="s">
        <v>1427</v>
      </c>
      <c r="K667">
        <v>40</v>
      </c>
      <c r="L667">
        <v>22</v>
      </c>
      <c r="M667">
        <v>74</v>
      </c>
      <c r="N667" t="s">
        <v>512</v>
      </c>
      <c r="O667">
        <v>76</v>
      </c>
      <c r="P667">
        <v>70</v>
      </c>
      <c r="Q667" s="3">
        <v>-0.06</v>
      </c>
    </row>
    <row r="668" spans="1:17" x14ac:dyDescent="0.35">
      <c r="A668" t="s">
        <v>283</v>
      </c>
      <c r="B668" t="s">
        <v>163</v>
      </c>
      <c r="C668" t="s">
        <v>2760</v>
      </c>
      <c r="D668" t="s">
        <v>2761</v>
      </c>
      <c r="E668" t="s">
        <v>21</v>
      </c>
      <c r="F668" t="s">
        <v>2762</v>
      </c>
      <c r="G668" t="s">
        <v>2763</v>
      </c>
      <c r="H668" t="s">
        <v>967</v>
      </c>
      <c r="I668" t="s">
        <v>543</v>
      </c>
      <c r="J668" t="s">
        <v>422</v>
      </c>
      <c r="K668">
        <v>20</v>
      </c>
      <c r="L668">
        <v>42</v>
      </c>
      <c r="M668">
        <v>45</v>
      </c>
      <c r="N668" t="s">
        <v>82</v>
      </c>
      <c r="O668">
        <v>72</v>
      </c>
      <c r="P668">
        <v>28</v>
      </c>
      <c r="Q668" s="3">
        <v>0.08</v>
      </c>
    </row>
    <row r="669" spans="1:17" x14ac:dyDescent="0.35">
      <c r="A669" t="s">
        <v>1440</v>
      </c>
      <c r="B669" t="s">
        <v>18</v>
      </c>
      <c r="C669" t="s">
        <v>2764</v>
      </c>
      <c r="D669" t="s">
        <v>2765</v>
      </c>
      <c r="E669" t="s">
        <v>68</v>
      </c>
      <c r="F669" t="s">
        <v>2766</v>
      </c>
      <c r="G669" t="s">
        <v>2767</v>
      </c>
      <c r="H669" t="s">
        <v>2202</v>
      </c>
      <c r="I669" t="s">
        <v>1080</v>
      </c>
      <c r="J669" t="s">
        <v>712</v>
      </c>
      <c r="K669">
        <v>51</v>
      </c>
      <c r="L669">
        <v>72</v>
      </c>
      <c r="M669">
        <v>85</v>
      </c>
      <c r="N669" t="s">
        <v>153</v>
      </c>
      <c r="O669">
        <v>23</v>
      </c>
      <c r="P669">
        <v>17</v>
      </c>
      <c r="Q669" s="3">
        <v>0.61</v>
      </c>
    </row>
    <row r="670" spans="1:17" x14ac:dyDescent="0.35">
      <c r="A670" t="s">
        <v>43</v>
      </c>
      <c r="B670" t="s">
        <v>18</v>
      </c>
      <c r="C670" t="s">
        <v>2728</v>
      </c>
      <c r="D670" t="s">
        <v>2768</v>
      </c>
      <c r="E670" t="s">
        <v>68</v>
      </c>
      <c r="F670" t="s">
        <v>2769</v>
      </c>
      <c r="G670" t="s">
        <v>2770</v>
      </c>
      <c r="H670" t="s">
        <v>707</v>
      </c>
      <c r="I670" s="1">
        <v>45511</v>
      </c>
      <c r="J670" t="s">
        <v>1079</v>
      </c>
      <c r="K670">
        <v>80</v>
      </c>
      <c r="L670">
        <v>91</v>
      </c>
      <c r="M670">
        <v>36</v>
      </c>
      <c r="N670" t="s">
        <v>49</v>
      </c>
      <c r="O670">
        <v>81</v>
      </c>
      <c r="P670">
        <v>74</v>
      </c>
      <c r="Q670" s="3">
        <v>0.26</v>
      </c>
    </row>
    <row r="671" spans="1:17" x14ac:dyDescent="0.35">
      <c r="A671" t="s">
        <v>567</v>
      </c>
      <c r="B671" t="s">
        <v>65</v>
      </c>
      <c r="C671" t="s">
        <v>2771</v>
      </c>
      <c r="D671" t="s">
        <v>2772</v>
      </c>
      <c r="E671" t="s">
        <v>21</v>
      </c>
      <c r="F671" t="s">
        <v>2773</v>
      </c>
      <c r="G671" t="s">
        <v>2774</v>
      </c>
      <c r="H671" t="s">
        <v>707</v>
      </c>
      <c r="I671" t="s">
        <v>94</v>
      </c>
      <c r="J671" t="s">
        <v>1905</v>
      </c>
      <c r="K671">
        <v>85</v>
      </c>
      <c r="L671">
        <v>12</v>
      </c>
      <c r="M671">
        <v>94</v>
      </c>
      <c r="N671" t="s">
        <v>572</v>
      </c>
      <c r="O671">
        <v>26</v>
      </c>
      <c r="P671">
        <v>32</v>
      </c>
      <c r="Q671" s="3">
        <v>0.09</v>
      </c>
    </row>
    <row r="672" spans="1:17" x14ac:dyDescent="0.35">
      <c r="A672" t="s">
        <v>1003</v>
      </c>
      <c r="B672" t="s">
        <v>18</v>
      </c>
      <c r="C672" t="s">
        <v>921</v>
      </c>
      <c r="D672" t="s">
        <v>2775</v>
      </c>
      <c r="E672" t="s">
        <v>21</v>
      </c>
      <c r="F672" t="s">
        <v>2776</v>
      </c>
      <c r="G672" t="s">
        <v>2777</v>
      </c>
      <c r="H672" t="s">
        <v>707</v>
      </c>
      <c r="I672" s="1">
        <v>45422</v>
      </c>
      <c r="J672" t="s">
        <v>1080</v>
      </c>
      <c r="K672">
        <v>17</v>
      </c>
      <c r="L672">
        <v>14</v>
      </c>
      <c r="M672">
        <v>17</v>
      </c>
      <c r="N672" t="s">
        <v>282</v>
      </c>
      <c r="O672">
        <v>36</v>
      </c>
      <c r="P672">
        <v>64</v>
      </c>
      <c r="Q672" s="3">
        <v>-0.23</v>
      </c>
    </row>
    <row r="673" spans="1:17" x14ac:dyDescent="0.35">
      <c r="A673" t="s">
        <v>418</v>
      </c>
      <c r="B673" t="s">
        <v>65</v>
      </c>
      <c r="C673" t="s">
        <v>2778</v>
      </c>
      <c r="D673" t="s">
        <v>2779</v>
      </c>
      <c r="E673" t="s">
        <v>68</v>
      </c>
      <c r="F673" t="s">
        <v>2780</v>
      </c>
      <c r="G673" t="s">
        <v>2781</v>
      </c>
      <c r="H673" t="s">
        <v>511</v>
      </c>
      <c r="I673" t="s">
        <v>932</v>
      </c>
      <c r="J673" t="s">
        <v>566</v>
      </c>
      <c r="K673">
        <v>86</v>
      </c>
      <c r="L673">
        <v>100</v>
      </c>
      <c r="M673">
        <v>74</v>
      </c>
      <c r="N673" t="s">
        <v>2421</v>
      </c>
      <c r="O673">
        <v>80</v>
      </c>
      <c r="P673">
        <v>94</v>
      </c>
      <c r="Q673" s="3">
        <v>-0.78</v>
      </c>
    </row>
    <row r="674" spans="1:17" x14ac:dyDescent="0.35">
      <c r="A674" t="s">
        <v>154</v>
      </c>
      <c r="B674" t="s">
        <v>65</v>
      </c>
      <c r="C674" t="s">
        <v>1105</v>
      </c>
      <c r="D674" t="s">
        <v>2782</v>
      </c>
      <c r="E674" t="s">
        <v>30</v>
      </c>
      <c r="F674" t="s">
        <v>2783</v>
      </c>
      <c r="G674" t="s">
        <v>2784</v>
      </c>
      <c r="H674" t="s">
        <v>511</v>
      </c>
      <c r="I674" s="1">
        <v>45480</v>
      </c>
      <c r="J674" t="s">
        <v>2046</v>
      </c>
      <c r="K674">
        <v>82</v>
      </c>
      <c r="L674">
        <v>67</v>
      </c>
      <c r="M674">
        <v>67</v>
      </c>
      <c r="N674" t="s">
        <v>349</v>
      </c>
      <c r="O674">
        <v>26</v>
      </c>
      <c r="P674">
        <v>1</v>
      </c>
      <c r="Q674" s="3">
        <v>-0.18</v>
      </c>
    </row>
    <row r="675" spans="1:17" x14ac:dyDescent="0.35">
      <c r="A675" t="s">
        <v>1196</v>
      </c>
      <c r="B675" t="s">
        <v>75</v>
      </c>
      <c r="C675" t="s">
        <v>2471</v>
      </c>
      <c r="D675" t="s">
        <v>2785</v>
      </c>
      <c r="E675" t="s">
        <v>21</v>
      </c>
      <c r="F675" t="s">
        <v>2786</v>
      </c>
      <c r="G675" t="s">
        <v>2787</v>
      </c>
      <c r="H675" t="s">
        <v>511</v>
      </c>
      <c r="I675" t="s">
        <v>269</v>
      </c>
      <c r="J675" t="s">
        <v>812</v>
      </c>
      <c r="K675">
        <v>78</v>
      </c>
      <c r="L675">
        <v>68</v>
      </c>
      <c r="M675">
        <v>86</v>
      </c>
      <c r="N675" t="s">
        <v>713</v>
      </c>
      <c r="O675">
        <v>47</v>
      </c>
      <c r="P675">
        <v>95</v>
      </c>
      <c r="Q675" s="3">
        <v>0.96</v>
      </c>
    </row>
    <row r="676" spans="1:17" x14ac:dyDescent="0.35">
      <c r="A676" t="s">
        <v>296</v>
      </c>
      <c r="B676" t="s">
        <v>27</v>
      </c>
      <c r="C676" t="s">
        <v>714</v>
      </c>
      <c r="D676" t="s">
        <v>2788</v>
      </c>
      <c r="E676" t="s">
        <v>30</v>
      </c>
      <c r="F676" t="s">
        <v>2789</v>
      </c>
      <c r="G676" t="s">
        <v>2790</v>
      </c>
      <c r="H676" t="s">
        <v>1017</v>
      </c>
      <c r="I676" t="s">
        <v>722</v>
      </c>
      <c r="J676" t="s">
        <v>1162</v>
      </c>
      <c r="K676">
        <v>74</v>
      </c>
      <c r="L676">
        <v>4</v>
      </c>
      <c r="M676">
        <v>67</v>
      </c>
      <c r="N676" t="s">
        <v>235</v>
      </c>
      <c r="O676">
        <v>31</v>
      </c>
      <c r="P676">
        <v>34</v>
      </c>
      <c r="Q676" s="3">
        <v>-1.02</v>
      </c>
    </row>
    <row r="677" spans="1:17" x14ac:dyDescent="0.35">
      <c r="A677" t="s">
        <v>527</v>
      </c>
      <c r="B677" t="s">
        <v>65</v>
      </c>
      <c r="C677" t="s">
        <v>723</v>
      </c>
      <c r="D677" t="s">
        <v>2791</v>
      </c>
      <c r="E677" t="s">
        <v>21</v>
      </c>
      <c r="F677" t="s">
        <v>2792</v>
      </c>
      <c r="G677" t="s">
        <v>2793</v>
      </c>
      <c r="H677" t="s">
        <v>1017</v>
      </c>
      <c r="I677" t="s">
        <v>1221</v>
      </c>
      <c r="J677" s="1">
        <v>45452</v>
      </c>
      <c r="K677">
        <v>18</v>
      </c>
      <c r="L677">
        <v>62</v>
      </c>
      <c r="M677">
        <v>2</v>
      </c>
      <c r="N677" t="s">
        <v>153</v>
      </c>
      <c r="O677">
        <v>61</v>
      </c>
      <c r="P677">
        <v>78</v>
      </c>
      <c r="Q677" s="3">
        <v>-0.1</v>
      </c>
    </row>
    <row r="678" spans="1:17" x14ac:dyDescent="0.35">
      <c r="A678" t="s">
        <v>1527</v>
      </c>
      <c r="B678" t="s">
        <v>18</v>
      </c>
      <c r="C678" t="s">
        <v>770</v>
      </c>
      <c r="D678" t="s">
        <v>2794</v>
      </c>
      <c r="E678" t="s">
        <v>68</v>
      </c>
      <c r="F678" t="s">
        <v>2795</v>
      </c>
      <c r="G678" t="s">
        <v>2796</v>
      </c>
      <c r="H678" t="s">
        <v>1017</v>
      </c>
      <c r="I678" t="s">
        <v>160</v>
      </c>
      <c r="J678" s="1">
        <v>45637</v>
      </c>
      <c r="K678">
        <v>59</v>
      </c>
      <c r="L678">
        <v>74</v>
      </c>
      <c r="M678">
        <v>100</v>
      </c>
      <c r="N678" t="s">
        <v>134</v>
      </c>
      <c r="O678">
        <v>63</v>
      </c>
      <c r="P678">
        <v>69</v>
      </c>
      <c r="Q678" s="3">
        <v>-0.28000000000000003</v>
      </c>
    </row>
    <row r="679" spans="1:17" x14ac:dyDescent="0.35">
      <c r="A679" t="s">
        <v>685</v>
      </c>
      <c r="B679" t="s">
        <v>114</v>
      </c>
      <c r="C679" t="s">
        <v>1728</v>
      </c>
      <c r="D679" t="s">
        <v>2797</v>
      </c>
      <c r="E679" t="s">
        <v>21</v>
      </c>
      <c r="F679" t="s">
        <v>2798</v>
      </c>
      <c r="G679" t="s">
        <v>2799</v>
      </c>
      <c r="H679" t="s">
        <v>1017</v>
      </c>
      <c r="I679" t="s">
        <v>1149</v>
      </c>
      <c r="J679" s="1">
        <v>45510</v>
      </c>
      <c r="K679">
        <v>48</v>
      </c>
      <c r="L679">
        <v>2</v>
      </c>
      <c r="M679">
        <v>16</v>
      </c>
      <c r="N679" t="s">
        <v>2800</v>
      </c>
      <c r="O679">
        <v>27</v>
      </c>
      <c r="P679">
        <v>1</v>
      </c>
      <c r="Q679" s="3">
        <v>-0.1</v>
      </c>
    </row>
    <row r="680" spans="1:17" x14ac:dyDescent="0.35">
      <c r="A680" t="s">
        <v>50</v>
      </c>
      <c r="B680" t="s">
        <v>18</v>
      </c>
      <c r="C680" t="s">
        <v>2344</v>
      </c>
      <c r="D680" t="s">
        <v>2801</v>
      </c>
      <c r="E680" t="s">
        <v>21</v>
      </c>
      <c r="F680" t="s">
        <v>2802</v>
      </c>
      <c r="G680" t="s">
        <v>2803</v>
      </c>
      <c r="H680" t="s">
        <v>479</v>
      </c>
      <c r="I680" t="s">
        <v>281</v>
      </c>
      <c r="J680" s="1">
        <v>45601</v>
      </c>
      <c r="K680">
        <v>76</v>
      </c>
      <c r="L680">
        <v>97</v>
      </c>
      <c r="M680">
        <v>20</v>
      </c>
      <c r="N680" t="s">
        <v>57</v>
      </c>
      <c r="O680">
        <v>52</v>
      </c>
      <c r="P680">
        <v>82</v>
      </c>
      <c r="Q680" s="3">
        <v>0.96</v>
      </c>
    </row>
    <row r="681" spans="1:17" x14ac:dyDescent="0.35">
      <c r="A681" t="s">
        <v>685</v>
      </c>
      <c r="B681" t="s">
        <v>114</v>
      </c>
      <c r="C681" t="s">
        <v>1995</v>
      </c>
      <c r="D681" t="s">
        <v>2804</v>
      </c>
      <c r="E681" t="s">
        <v>21</v>
      </c>
      <c r="F681" t="s">
        <v>2805</v>
      </c>
      <c r="G681" t="s">
        <v>2806</v>
      </c>
      <c r="H681" t="s">
        <v>479</v>
      </c>
      <c r="I681" t="s">
        <v>986</v>
      </c>
      <c r="J681" t="s">
        <v>764</v>
      </c>
      <c r="K681">
        <v>50</v>
      </c>
      <c r="L681">
        <v>56</v>
      </c>
      <c r="M681">
        <v>63</v>
      </c>
      <c r="N681" t="s">
        <v>153</v>
      </c>
      <c r="O681">
        <v>70</v>
      </c>
      <c r="P681">
        <v>100</v>
      </c>
      <c r="Q681" s="3">
        <v>-0.57999999999999996</v>
      </c>
    </row>
    <row r="682" spans="1:17" x14ac:dyDescent="0.35">
      <c r="A682" t="s">
        <v>162</v>
      </c>
      <c r="B682" t="s">
        <v>163</v>
      </c>
      <c r="C682" t="s">
        <v>799</v>
      </c>
      <c r="D682" t="s">
        <v>2807</v>
      </c>
      <c r="E682" t="s">
        <v>30</v>
      </c>
      <c r="F682" t="s">
        <v>2808</v>
      </c>
      <c r="G682" t="s">
        <v>2809</v>
      </c>
      <c r="H682" t="s">
        <v>479</v>
      </c>
      <c r="I682" t="s">
        <v>561</v>
      </c>
      <c r="J682" t="s">
        <v>645</v>
      </c>
      <c r="K682">
        <v>23</v>
      </c>
      <c r="L682">
        <v>13</v>
      </c>
      <c r="M682">
        <v>15</v>
      </c>
      <c r="N682" t="s">
        <v>169</v>
      </c>
      <c r="O682">
        <v>31</v>
      </c>
      <c r="P682">
        <v>28</v>
      </c>
      <c r="Q682" s="3">
        <v>-0.43</v>
      </c>
    </row>
    <row r="683" spans="1:17" x14ac:dyDescent="0.35">
      <c r="A683" t="s">
        <v>135</v>
      </c>
      <c r="B683" t="s">
        <v>36</v>
      </c>
      <c r="C683" t="s">
        <v>2535</v>
      </c>
      <c r="D683" t="s">
        <v>2810</v>
      </c>
      <c r="E683" t="s">
        <v>68</v>
      </c>
      <c r="F683" t="s">
        <v>2811</v>
      </c>
      <c r="G683" t="s">
        <v>2812</v>
      </c>
      <c r="H683" t="s">
        <v>479</v>
      </c>
      <c r="I683" s="1">
        <v>45540</v>
      </c>
      <c r="J683" t="s">
        <v>888</v>
      </c>
      <c r="K683">
        <v>86</v>
      </c>
      <c r="L683">
        <v>16</v>
      </c>
      <c r="M683">
        <v>37</v>
      </c>
      <c r="N683" t="s">
        <v>128</v>
      </c>
      <c r="O683">
        <v>34</v>
      </c>
      <c r="P683">
        <v>66</v>
      </c>
      <c r="Q683" s="3">
        <v>0.1</v>
      </c>
    </row>
    <row r="684" spans="1:17" x14ac:dyDescent="0.35">
      <c r="A684" t="s">
        <v>916</v>
      </c>
      <c r="B684" t="s">
        <v>114</v>
      </c>
      <c r="C684" t="s">
        <v>2813</v>
      </c>
      <c r="D684" t="s">
        <v>2814</v>
      </c>
      <c r="E684" t="s">
        <v>21</v>
      </c>
      <c r="F684" t="s">
        <v>2815</v>
      </c>
      <c r="G684" t="s">
        <v>2816</v>
      </c>
      <c r="H684" t="s">
        <v>479</v>
      </c>
      <c r="I684" t="s">
        <v>543</v>
      </c>
      <c r="J684" s="1">
        <v>45483</v>
      </c>
      <c r="K684">
        <v>28</v>
      </c>
      <c r="L684">
        <v>62</v>
      </c>
      <c r="M684">
        <v>81</v>
      </c>
      <c r="N684" t="s">
        <v>73</v>
      </c>
      <c r="O684">
        <v>28</v>
      </c>
      <c r="P684">
        <v>30</v>
      </c>
      <c r="Q684" s="3">
        <v>-0.94</v>
      </c>
    </row>
    <row r="685" spans="1:17" x14ac:dyDescent="0.35">
      <c r="A685" t="s">
        <v>212</v>
      </c>
      <c r="B685" t="s">
        <v>75</v>
      </c>
      <c r="C685" t="s">
        <v>2817</v>
      </c>
      <c r="D685" t="s">
        <v>2818</v>
      </c>
      <c r="E685" t="s">
        <v>30</v>
      </c>
      <c r="F685" t="s">
        <v>2819</v>
      </c>
      <c r="G685" t="s">
        <v>2820</v>
      </c>
      <c r="H685" t="s">
        <v>369</v>
      </c>
      <c r="I685" s="1">
        <v>45658</v>
      </c>
      <c r="J685" s="1">
        <v>45356</v>
      </c>
      <c r="K685">
        <v>85</v>
      </c>
      <c r="L685">
        <v>92</v>
      </c>
      <c r="M685">
        <v>66</v>
      </c>
      <c r="N685" t="s">
        <v>2821</v>
      </c>
      <c r="O685">
        <v>54</v>
      </c>
      <c r="P685">
        <v>85</v>
      </c>
      <c r="Q685" s="3">
        <v>-7.0000000000000007E-2</v>
      </c>
    </row>
    <row r="686" spans="1:17" x14ac:dyDescent="0.35">
      <c r="A686" t="s">
        <v>1415</v>
      </c>
      <c r="B686" t="s">
        <v>114</v>
      </c>
      <c r="C686" t="s">
        <v>2822</v>
      </c>
      <c r="D686" t="s">
        <v>2823</v>
      </c>
      <c r="E686" t="s">
        <v>30</v>
      </c>
      <c r="F686" t="s">
        <v>2824</v>
      </c>
      <c r="G686" t="s">
        <v>2825</v>
      </c>
      <c r="H686" t="s">
        <v>369</v>
      </c>
      <c r="I686" t="s">
        <v>756</v>
      </c>
      <c r="J686" t="s">
        <v>554</v>
      </c>
      <c r="K686">
        <v>42</v>
      </c>
      <c r="L686">
        <v>88</v>
      </c>
      <c r="M686">
        <v>95</v>
      </c>
      <c r="N686" t="s">
        <v>128</v>
      </c>
      <c r="O686">
        <v>67</v>
      </c>
      <c r="P686">
        <v>94</v>
      </c>
      <c r="Q686" s="3">
        <v>-0.56999999999999995</v>
      </c>
    </row>
    <row r="687" spans="1:17" x14ac:dyDescent="0.35">
      <c r="A687" t="s">
        <v>1307</v>
      </c>
      <c r="B687" t="s">
        <v>163</v>
      </c>
      <c r="C687" t="s">
        <v>681</v>
      </c>
      <c r="D687" t="s">
        <v>2826</v>
      </c>
      <c r="E687" t="s">
        <v>68</v>
      </c>
      <c r="F687" t="s">
        <v>2827</v>
      </c>
      <c r="G687" t="s">
        <v>2828</v>
      </c>
      <c r="H687" t="s">
        <v>211</v>
      </c>
      <c r="I687" t="s">
        <v>1836</v>
      </c>
      <c r="J687" t="s">
        <v>803</v>
      </c>
      <c r="K687">
        <v>51</v>
      </c>
      <c r="L687">
        <v>1</v>
      </c>
      <c r="M687">
        <v>61</v>
      </c>
      <c r="N687" t="s">
        <v>2829</v>
      </c>
      <c r="O687">
        <v>96</v>
      </c>
      <c r="P687">
        <v>26</v>
      </c>
      <c r="Q687" s="3">
        <v>-0.4</v>
      </c>
    </row>
    <row r="688" spans="1:17" x14ac:dyDescent="0.35">
      <c r="A688" t="s">
        <v>326</v>
      </c>
      <c r="B688" t="s">
        <v>18</v>
      </c>
      <c r="C688" t="s">
        <v>2830</v>
      </c>
      <c r="D688" t="s">
        <v>2831</v>
      </c>
      <c r="E688" t="s">
        <v>21</v>
      </c>
      <c r="F688" t="s">
        <v>2832</v>
      </c>
      <c r="G688" t="s">
        <v>2833</v>
      </c>
      <c r="H688" t="s">
        <v>211</v>
      </c>
      <c r="I688" s="1">
        <v>45779</v>
      </c>
      <c r="J688" t="s">
        <v>600</v>
      </c>
      <c r="K688">
        <v>73</v>
      </c>
      <c r="L688">
        <v>83</v>
      </c>
      <c r="M688">
        <v>74</v>
      </c>
      <c r="N688" t="s">
        <v>73</v>
      </c>
      <c r="O688">
        <v>87</v>
      </c>
      <c r="P688">
        <v>10</v>
      </c>
      <c r="Q688" s="3">
        <v>0.73</v>
      </c>
    </row>
    <row r="689" spans="1:17" x14ac:dyDescent="0.35">
      <c r="A689" t="s">
        <v>289</v>
      </c>
      <c r="B689" t="s">
        <v>114</v>
      </c>
      <c r="C689" t="s">
        <v>2834</v>
      </c>
      <c r="D689" t="s">
        <v>2835</v>
      </c>
      <c r="E689" t="s">
        <v>21</v>
      </c>
      <c r="F689" t="s">
        <v>2836</v>
      </c>
      <c r="G689" t="s">
        <v>2837</v>
      </c>
      <c r="H689" t="s">
        <v>211</v>
      </c>
      <c r="I689" s="1">
        <v>45637</v>
      </c>
      <c r="J689" t="s">
        <v>555</v>
      </c>
      <c r="K689">
        <v>53</v>
      </c>
      <c r="L689">
        <v>19</v>
      </c>
      <c r="M689">
        <v>94</v>
      </c>
      <c r="N689" t="s">
        <v>73</v>
      </c>
      <c r="O689">
        <v>82</v>
      </c>
      <c r="P689">
        <v>56</v>
      </c>
      <c r="Q689" s="3">
        <v>0.89</v>
      </c>
    </row>
    <row r="690" spans="1:17" x14ac:dyDescent="0.35">
      <c r="A690" t="s">
        <v>1900</v>
      </c>
      <c r="B690" t="s">
        <v>75</v>
      </c>
      <c r="C690" t="s">
        <v>953</v>
      </c>
      <c r="D690" t="s">
        <v>2838</v>
      </c>
      <c r="E690" t="s">
        <v>30</v>
      </c>
      <c r="F690" t="s">
        <v>2839</v>
      </c>
      <c r="G690" t="s">
        <v>2840</v>
      </c>
      <c r="H690" t="s">
        <v>72</v>
      </c>
      <c r="I690" t="s">
        <v>1427</v>
      </c>
      <c r="J690" t="s">
        <v>307</v>
      </c>
      <c r="K690">
        <v>82</v>
      </c>
      <c r="L690">
        <v>25</v>
      </c>
      <c r="M690">
        <v>94</v>
      </c>
      <c r="N690" t="s">
        <v>1906</v>
      </c>
      <c r="O690">
        <v>66</v>
      </c>
      <c r="P690">
        <v>14</v>
      </c>
      <c r="Q690" s="3">
        <v>0.32</v>
      </c>
    </row>
    <row r="691" spans="1:17" x14ac:dyDescent="0.35">
      <c r="A691" t="s">
        <v>496</v>
      </c>
      <c r="B691" t="s">
        <v>18</v>
      </c>
      <c r="C691" t="s">
        <v>2545</v>
      </c>
      <c r="D691" t="s">
        <v>2841</v>
      </c>
      <c r="E691" t="s">
        <v>68</v>
      </c>
      <c r="F691" t="s">
        <v>2842</v>
      </c>
      <c r="G691" t="s">
        <v>2843</v>
      </c>
      <c r="H691" t="s">
        <v>72</v>
      </c>
      <c r="I691" t="s">
        <v>993</v>
      </c>
      <c r="J691" s="1">
        <v>45902</v>
      </c>
      <c r="K691">
        <v>98</v>
      </c>
      <c r="L691">
        <v>62</v>
      </c>
      <c r="M691">
        <v>97</v>
      </c>
      <c r="N691" t="s">
        <v>502</v>
      </c>
      <c r="O691">
        <v>59</v>
      </c>
      <c r="P691">
        <v>19</v>
      </c>
      <c r="Q691" s="3">
        <v>0.79</v>
      </c>
    </row>
    <row r="692" spans="1:17" x14ac:dyDescent="0.35">
      <c r="A692" t="s">
        <v>549</v>
      </c>
      <c r="B692" t="s">
        <v>18</v>
      </c>
      <c r="C692" t="s">
        <v>2844</v>
      </c>
      <c r="D692" t="s">
        <v>2845</v>
      </c>
      <c r="E692" t="s">
        <v>68</v>
      </c>
      <c r="F692" t="s">
        <v>2846</v>
      </c>
      <c r="G692" t="s">
        <v>2847</v>
      </c>
      <c r="H692" t="s">
        <v>72</v>
      </c>
      <c r="I692" t="s">
        <v>393</v>
      </c>
      <c r="J692" t="s">
        <v>1407</v>
      </c>
      <c r="K692">
        <v>39</v>
      </c>
      <c r="L692">
        <v>19</v>
      </c>
      <c r="M692">
        <v>18</v>
      </c>
      <c r="N692" t="s">
        <v>2848</v>
      </c>
      <c r="O692">
        <v>58</v>
      </c>
      <c r="P692">
        <v>90</v>
      </c>
      <c r="Q692" s="3">
        <v>0.68</v>
      </c>
    </row>
    <row r="693" spans="1:17" x14ac:dyDescent="0.35">
      <c r="A693" t="s">
        <v>200</v>
      </c>
      <c r="B693" t="s">
        <v>163</v>
      </c>
      <c r="C693" t="s">
        <v>84</v>
      </c>
      <c r="D693" t="s">
        <v>2849</v>
      </c>
      <c r="E693" t="s">
        <v>30</v>
      </c>
      <c r="F693" t="s">
        <v>2850</v>
      </c>
      <c r="G693" t="s">
        <v>2851</v>
      </c>
      <c r="H693" t="s">
        <v>403</v>
      </c>
      <c r="I693" s="1">
        <v>45690</v>
      </c>
      <c r="J693" s="1">
        <v>45539</v>
      </c>
      <c r="K693">
        <v>43</v>
      </c>
      <c r="L693">
        <v>38</v>
      </c>
      <c r="M693">
        <v>63</v>
      </c>
      <c r="N693" t="s">
        <v>42</v>
      </c>
      <c r="O693">
        <v>88</v>
      </c>
      <c r="P693">
        <v>65</v>
      </c>
      <c r="Q693" s="3">
        <v>-0.55000000000000004</v>
      </c>
    </row>
    <row r="694" spans="1:17" x14ac:dyDescent="0.35">
      <c r="A694" t="s">
        <v>1440</v>
      </c>
      <c r="B694" t="s">
        <v>18</v>
      </c>
      <c r="C694" t="s">
        <v>171</v>
      </c>
      <c r="D694" t="s">
        <v>2852</v>
      </c>
      <c r="E694" t="s">
        <v>30</v>
      </c>
      <c r="F694" t="s">
        <v>2853</v>
      </c>
      <c r="G694" t="s">
        <v>2854</v>
      </c>
      <c r="H694" t="s">
        <v>403</v>
      </c>
      <c r="I694" s="1">
        <v>45360</v>
      </c>
      <c r="J694" s="1">
        <v>45568</v>
      </c>
      <c r="K694">
        <v>90</v>
      </c>
      <c r="L694">
        <v>17</v>
      </c>
      <c r="M694">
        <v>17</v>
      </c>
      <c r="N694" t="s">
        <v>153</v>
      </c>
      <c r="O694">
        <v>82</v>
      </c>
      <c r="P694">
        <v>84</v>
      </c>
      <c r="Q694" s="3">
        <v>0.26</v>
      </c>
    </row>
    <row r="695" spans="1:17" x14ac:dyDescent="0.35">
      <c r="A695" t="s">
        <v>1371</v>
      </c>
      <c r="B695" t="s">
        <v>36</v>
      </c>
      <c r="C695" t="s">
        <v>2855</v>
      </c>
      <c r="D695" t="s">
        <v>2856</v>
      </c>
      <c r="E695" t="s">
        <v>30</v>
      </c>
      <c r="F695" t="s">
        <v>2857</v>
      </c>
      <c r="G695" t="s">
        <v>2858</v>
      </c>
      <c r="H695" t="s">
        <v>403</v>
      </c>
      <c r="I695" t="s">
        <v>1079</v>
      </c>
      <c r="J695" t="s">
        <v>764</v>
      </c>
      <c r="K695">
        <v>70</v>
      </c>
      <c r="L695">
        <v>29</v>
      </c>
      <c r="M695">
        <v>24</v>
      </c>
      <c r="N695" t="s">
        <v>1376</v>
      </c>
      <c r="O695">
        <v>62</v>
      </c>
      <c r="P695">
        <v>55</v>
      </c>
      <c r="Q695" s="3">
        <v>-0.02</v>
      </c>
    </row>
    <row r="696" spans="1:17" x14ac:dyDescent="0.35">
      <c r="A696" t="s">
        <v>64</v>
      </c>
      <c r="B696" t="s">
        <v>65</v>
      </c>
      <c r="C696" t="s">
        <v>846</v>
      </c>
      <c r="D696" t="s">
        <v>2859</v>
      </c>
      <c r="E696" t="s">
        <v>68</v>
      </c>
      <c r="F696" t="s">
        <v>2860</v>
      </c>
      <c r="G696" t="s">
        <v>2861</v>
      </c>
      <c r="H696" t="s">
        <v>403</v>
      </c>
      <c r="I696" t="s">
        <v>41</v>
      </c>
      <c r="J696" t="s">
        <v>1975</v>
      </c>
      <c r="K696">
        <v>91</v>
      </c>
      <c r="L696">
        <v>39</v>
      </c>
      <c r="M696">
        <v>48</v>
      </c>
      <c r="N696" t="s">
        <v>73</v>
      </c>
      <c r="O696">
        <v>48</v>
      </c>
      <c r="P696">
        <v>18</v>
      </c>
      <c r="Q696" s="3">
        <v>0.11</v>
      </c>
    </row>
    <row r="697" spans="1:17" x14ac:dyDescent="0.35">
      <c r="A697" t="s">
        <v>1603</v>
      </c>
      <c r="B697" t="s">
        <v>36</v>
      </c>
      <c r="C697" t="s">
        <v>2862</v>
      </c>
      <c r="D697" t="s">
        <v>2863</v>
      </c>
      <c r="E697" t="s">
        <v>21</v>
      </c>
      <c r="F697" t="s">
        <v>2864</v>
      </c>
      <c r="G697" t="s">
        <v>2865</v>
      </c>
      <c r="H697" t="s">
        <v>722</v>
      </c>
      <c r="I697" t="s">
        <v>1869</v>
      </c>
      <c r="J697" t="s">
        <v>227</v>
      </c>
      <c r="K697">
        <v>36</v>
      </c>
      <c r="L697">
        <v>75</v>
      </c>
      <c r="M697">
        <v>35</v>
      </c>
      <c r="N697" t="s">
        <v>112</v>
      </c>
      <c r="O697">
        <v>26</v>
      </c>
      <c r="P697">
        <v>41</v>
      </c>
      <c r="Q697" s="3">
        <v>0.63</v>
      </c>
    </row>
    <row r="698" spans="1:17" x14ac:dyDescent="0.35">
      <c r="A698" t="s">
        <v>408</v>
      </c>
      <c r="B698" t="s">
        <v>18</v>
      </c>
      <c r="C698" t="s">
        <v>2813</v>
      </c>
      <c r="D698" t="s">
        <v>2866</v>
      </c>
      <c r="E698" t="s">
        <v>30</v>
      </c>
      <c r="F698" t="s">
        <v>2867</v>
      </c>
      <c r="G698" t="s">
        <v>2868</v>
      </c>
      <c r="H698" t="s">
        <v>1080</v>
      </c>
      <c r="I698" s="1">
        <v>45931</v>
      </c>
      <c r="J698" s="1">
        <v>45575</v>
      </c>
      <c r="K698">
        <v>11</v>
      </c>
      <c r="L698">
        <v>56</v>
      </c>
      <c r="M698">
        <v>62</v>
      </c>
      <c r="N698" t="s">
        <v>1332</v>
      </c>
      <c r="O698">
        <v>40</v>
      </c>
      <c r="P698">
        <v>5</v>
      </c>
      <c r="Q698" s="3">
        <v>-0.57999999999999996</v>
      </c>
    </row>
    <row r="699" spans="1:17" x14ac:dyDescent="0.35">
      <c r="A699" t="s">
        <v>496</v>
      </c>
      <c r="B699" t="s">
        <v>18</v>
      </c>
      <c r="C699" t="s">
        <v>2565</v>
      </c>
      <c r="D699" t="s">
        <v>2869</v>
      </c>
      <c r="E699" t="s">
        <v>30</v>
      </c>
      <c r="F699" t="s">
        <v>2870</v>
      </c>
      <c r="G699" t="s">
        <v>2871</v>
      </c>
      <c r="H699" t="s">
        <v>1080</v>
      </c>
      <c r="I699" t="s">
        <v>263</v>
      </c>
      <c r="J699" s="1">
        <v>45511</v>
      </c>
      <c r="K699">
        <v>82</v>
      </c>
      <c r="L699">
        <v>21</v>
      </c>
      <c r="M699">
        <v>85</v>
      </c>
      <c r="N699" t="s">
        <v>502</v>
      </c>
      <c r="O699">
        <v>39</v>
      </c>
      <c r="P699">
        <v>18</v>
      </c>
      <c r="Q699" s="3">
        <v>0.88</v>
      </c>
    </row>
    <row r="700" spans="1:17" x14ac:dyDescent="0.35">
      <c r="A700" t="s">
        <v>26</v>
      </c>
      <c r="B700" t="s">
        <v>27</v>
      </c>
      <c r="C700" t="s">
        <v>2311</v>
      </c>
      <c r="D700" t="s">
        <v>2872</v>
      </c>
      <c r="E700" t="s">
        <v>21</v>
      </c>
      <c r="F700" t="s">
        <v>2873</v>
      </c>
      <c r="G700" t="s">
        <v>2874</v>
      </c>
      <c r="H700" t="s">
        <v>1080</v>
      </c>
      <c r="I700" t="s">
        <v>398</v>
      </c>
      <c r="J700" t="s">
        <v>2458</v>
      </c>
      <c r="K700">
        <v>23</v>
      </c>
      <c r="L700">
        <v>71</v>
      </c>
      <c r="M700">
        <v>32</v>
      </c>
      <c r="N700" t="s">
        <v>34</v>
      </c>
      <c r="O700">
        <v>63</v>
      </c>
      <c r="P700">
        <v>23</v>
      </c>
      <c r="Q700" s="3">
        <v>0.54</v>
      </c>
    </row>
    <row r="701" spans="1:17" x14ac:dyDescent="0.35">
      <c r="A701" t="s">
        <v>1030</v>
      </c>
      <c r="B701" t="s">
        <v>114</v>
      </c>
      <c r="C701" t="s">
        <v>751</v>
      </c>
      <c r="D701" t="s">
        <v>2875</v>
      </c>
      <c r="E701" t="s">
        <v>30</v>
      </c>
      <c r="F701" t="s">
        <v>2876</v>
      </c>
      <c r="G701" t="s">
        <v>2877</v>
      </c>
      <c r="H701" t="s">
        <v>1754</v>
      </c>
      <c r="I701" t="s">
        <v>957</v>
      </c>
      <c r="J701" s="1">
        <v>45539</v>
      </c>
      <c r="K701">
        <v>56</v>
      </c>
      <c r="L701">
        <v>86</v>
      </c>
      <c r="M701">
        <v>23</v>
      </c>
      <c r="N701" t="s">
        <v>1034</v>
      </c>
      <c r="O701">
        <v>67</v>
      </c>
      <c r="P701">
        <v>56</v>
      </c>
      <c r="Q701" s="3">
        <v>0.63</v>
      </c>
    </row>
    <row r="702" spans="1:17" x14ac:dyDescent="0.35">
      <c r="A702" t="s">
        <v>148</v>
      </c>
      <c r="B702" t="s">
        <v>18</v>
      </c>
      <c r="C702" t="s">
        <v>1493</v>
      </c>
      <c r="D702" t="s">
        <v>2878</v>
      </c>
      <c r="E702" t="s">
        <v>68</v>
      </c>
      <c r="F702" t="s">
        <v>2879</v>
      </c>
      <c r="G702" t="s">
        <v>2880</v>
      </c>
      <c r="H702" t="s">
        <v>1754</v>
      </c>
      <c r="I702" s="1">
        <v>45297</v>
      </c>
      <c r="J702" s="1">
        <v>45901</v>
      </c>
      <c r="K702">
        <v>47</v>
      </c>
      <c r="L702">
        <v>41</v>
      </c>
      <c r="M702">
        <v>63</v>
      </c>
      <c r="N702" t="s">
        <v>153</v>
      </c>
      <c r="O702">
        <v>39</v>
      </c>
      <c r="P702">
        <v>54</v>
      </c>
      <c r="Q702" s="3">
        <v>0.16</v>
      </c>
    </row>
    <row r="703" spans="1:17" x14ac:dyDescent="0.35">
      <c r="A703" t="s">
        <v>17</v>
      </c>
      <c r="B703" t="s">
        <v>18</v>
      </c>
      <c r="C703" t="s">
        <v>677</v>
      </c>
      <c r="D703" t="s">
        <v>2881</v>
      </c>
      <c r="E703" t="s">
        <v>30</v>
      </c>
      <c r="F703" t="s">
        <v>2882</v>
      </c>
      <c r="G703" t="s">
        <v>2883</v>
      </c>
      <c r="H703" t="s">
        <v>1754</v>
      </c>
      <c r="I703" t="s">
        <v>774</v>
      </c>
      <c r="J703" t="s">
        <v>361</v>
      </c>
      <c r="K703">
        <v>84</v>
      </c>
      <c r="L703">
        <v>26</v>
      </c>
      <c r="M703">
        <v>37</v>
      </c>
      <c r="N703" t="s">
        <v>134</v>
      </c>
      <c r="O703">
        <v>46</v>
      </c>
      <c r="P703">
        <v>67</v>
      </c>
      <c r="Q703" s="3">
        <v>-0.38</v>
      </c>
    </row>
    <row r="704" spans="1:17" x14ac:dyDescent="0.35">
      <c r="A704" t="s">
        <v>1623</v>
      </c>
      <c r="B704" t="s">
        <v>36</v>
      </c>
      <c r="C704" t="s">
        <v>2884</v>
      </c>
      <c r="D704" t="s">
        <v>2885</v>
      </c>
      <c r="E704" t="s">
        <v>68</v>
      </c>
      <c r="F704" t="s">
        <v>2886</v>
      </c>
      <c r="G704" t="s">
        <v>2887</v>
      </c>
      <c r="H704" t="s">
        <v>1558</v>
      </c>
      <c r="I704" t="s">
        <v>94</v>
      </c>
      <c r="J704" s="1">
        <v>45455</v>
      </c>
      <c r="K704">
        <v>85</v>
      </c>
      <c r="L704">
        <v>15</v>
      </c>
      <c r="M704">
        <v>30</v>
      </c>
      <c r="N704" t="s">
        <v>121</v>
      </c>
      <c r="O704">
        <v>95</v>
      </c>
      <c r="P704">
        <v>63</v>
      </c>
      <c r="Q704" s="3">
        <v>-0.46</v>
      </c>
    </row>
    <row r="705" spans="1:17" x14ac:dyDescent="0.35">
      <c r="A705" t="s">
        <v>734</v>
      </c>
      <c r="B705" t="s">
        <v>163</v>
      </c>
      <c r="C705" t="s">
        <v>2888</v>
      </c>
      <c r="D705" t="s">
        <v>2889</v>
      </c>
      <c r="E705" t="s">
        <v>30</v>
      </c>
      <c r="F705" t="s">
        <v>2890</v>
      </c>
      <c r="G705" t="s">
        <v>2891</v>
      </c>
      <c r="H705" t="s">
        <v>1558</v>
      </c>
      <c r="I705" s="1">
        <v>45543</v>
      </c>
      <c r="J705" t="s">
        <v>1482</v>
      </c>
      <c r="K705">
        <v>27</v>
      </c>
      <c r="L705">
        <v>1</v>
      </c>
      <c r="M705">
        <v>3</v>
      </c>
      <c r="N705" t="s">
        <v>740</v>
      </c>
      <c r="O705">
        <v>34</v>
      </c>
      <c r="P705">
        <v>63</v>
      </c>
      <c r="Q705" s="3">
        <v>0.34</v>
      </c>
    </row>
    <row r="706" spans="1:17" x14ac:dyDescent="0.35">
      <c r="A706" t="s">
        <v>308</v>
      </c>
      <c r="B706" t="s">
        <v>27</v>
      </c>
      <c r="C706" t="s">
        <v>1153</v>
      </c>
      <c r="D706" t="s">
        <v>2892</v>
      </c>
      <c r="E706" t="s">
        <v>30</v>
      </c>
      <c r="F706" t="s">
        <v>2893</v>
      </c>
      <c r="G706" t="s">
        <v>2894</v>
      </c>
      <c r="H706" t="s">
        <v>1125</v>
      </c>
      <c r="I706" t="s">
        <v>2046</v>
      </c>
      <c r="J706" t="s">
        <v>393</v>
      </c>
      <c r="K706">
        <v>77</v>
      </c>
      <c r="L706">
        <v>95</v>
      </c>
      <c r="M706">
        <v>82</v>
      </c>
      <c r="N706" t="s">
        <v>313</v>
      </c>
      <c r="O706">
        <v>29</v>
      </c>
      <c r="P706">
        <v>46</v>
      </c>
      <c r="Q706" s="3">
        <v>-0.85</v>
      </c>
    </row>
    <row r="707" spans="1:17" x14ac:dyDescent="0.35">
      <c r="A707" t="s">
        <v>1350</v>
      </c>
      <c r="B707" t="s">
        <v>114</v>
      </c>
      <c r="C707" t="s">
        <v>851</v>
      </c>
      <c r="D707" t="s">
        <v>2895</v>
      </c>
      <c r="E707" t="s">
        <v>68</v>
      </c>
      <c r="F707" t="s">
        <v>2896</v>
      </c>
      <c r="G707" t="s">
        <v>2897</v>
      </c>
      <c r="H707" t="s">
        <v>1125</v>
      </c>
      <c r="I707" s="1">
        <v>45749</v>
      </c>
      <c r="J707" t="s">
        <v>1661</v>
      </c>
      <c r="K707">
        <v>84</v>
      </c>
      <c r="L707">
        <v>58</v>
      </c>
      <c r="M707">
        <v>28</v>
      </c>
      <c r="N707" t="s">
        <v>344</v>
      </c>
      <c r="O707">
        <v>51</v>
      </c>
      <c r="P707">
        <v>12</v>
      </c>
      <c r="Q707" s="3">
        <v>-0.59</v>
      </c>
    </row>
    <row r="708" spans="1:17" x14ac:dyDescent="0.35">
      <c r="A708" t="s">
        <v>1191</v>
      </c>
      <c r="B708" t="s">
        <v>75</v>
      </c>
      <c r="C708" t="s">
        <v>2336</v>
      </c>
      <c r="D708" t="s">
        <v>2898</v>
      </c>
      <c r="E708" t="s">
        <v>30</v>
      </c>
      <c r="F708" t="s">
        <v>2899</v>
      </c>
      <c r="G708" t="s">
        <v>2900</v>
      </c>
      <c r="H708" t="s">
        <v>1125</v>
      </c>
      <c r="I708" s="1">
        <v>45386</v>
      </c>
      <c r="J708" s="1">
        <v>45932</v>
      </c>
      <c r="K708">
        <v>35</v>
      </c>
      <c r="L708">
        <v>72</v>
      </c>
      <c r="M708">
        <v>70</v>
      </c>
      <c r="N708" t="s">
        <v>169</v>
      </c>
      <c r="O708">
        <v>74</v>
      </c>
      <c r="P708">
        <v>15</v>
      </c>
      <c r="Q708" s="3">
        <v>0.76</v>
      </c>
    </row>
    <row r="709" spans="1:17" x14ac:dyDescent="0.35">
      <c r="A709" t="s">
        <v>1341</v>
      </c>
      <c r="B709" t="s">
        <v>18</v>
      </c>
      <c r="C709" t="s">
        <v>1174</v>
      </c>
      <c r="D709" t="s">
        <v>2901</v>
      </c>
      <c r="E709" t="s">
        <v>21</v>
      </c>
      <c r="F709" t="s">
        <v>2902</v>
      </c>
      <c r="G709" t="s">
        <v>2903</v>
      </c>
      <c r="H709" t="s">
        <v>1125</v>
      </c>
      <c r="I709" s="1">
        <v>45303</v>
      </c>
      <c r="J709" t="s">
        <v>269</v>
      </c>
      <c r="K709">
        <v>98</v>
      </c>
      <c r="L709">
        <v>14</v>
      </c>
      <c r="M709">
        <v>11</v>
      </c>
      <c r="N709" t="s">
        <v>128</v>
      </c>
      <c r="O709">
        <v>48</v>
      </c>
      <c r="P709">
        <v>38</v>
      </c>
      <c r="Q709" s="3">
        <v>0.8</v>
      </c>
    </row>
    <row r="710" spans="1:17" x14ac:dyDescent="0.35">
      <c r="A710" t="s">
        <v>1371</v>
      </c>
      <c r="B710" t="s">
        <v>36</v>
      </c>
      <c r="C710" t="s">
        <v>1360</v>
      </c>
      <c r="D710" t="s">
        <v>2904</v>
      </c>
      <c r="E710" t="s">
        <v>68</v>
      </c>
      <c r="F710" t="s">
        <v>2905</v>
      </c>
      <c r="G710" t="s">
        <v>2906</v>
      </c>
      <c r="H710" t="s">
        <v>1125</v>
      </c>
      <c r="I710" s="1">
        <v>45326</v>
      </c>
      <c r="J710" s="1">
        <v>45423</v>
      </c>
      <c r="K710">
        <v>63</v>
      </c>
      <c r="L710">
        <v>62</v>
      </c>
      <c r="M710">
        <v>18</v>
      </c>
      <c r="N710" t="s">
        <v>1376</v>
      </c>
      <c r="O710">
        <v>67</v>
      </c>
      <c r="P710">
        <v>17</v>
      </c>
      <c r="Q710" s="3">
        <v>0.21</v>
      </c>
    </row>
    <row r="711" spans="1:17" x14ac:dyDescent="0.35">
      <c r="A711" t="s">
        <v>308</v>
      </c>
      <c r="B711" t="s">
        <v>27</v>
      </c>
      <c r="C711" t="s">
        <v>1109</v>
      </c>
      <c r="D711" t="s">
        <v>2907</v>
      </c>
      <c r="E711" t="s">
        <v>21</v>
      </c>
      <c r="F711" t="s">
        <v>2908</v>
      </c>
      <c r="G711" t="s">
        <v>2909</v>
      </c>
      <c r="H711" t="s">
        <v>1515</v>
      </c>
      <c r="I711" t="s">
        <v>2046</v>
      </c>
      <c r="J711" t="s">
        <v>768</v>
      </c>
      <c r="K711">
        <v>27</v>
      </c>
      <c r="L711">
        <v>92</v>
      </c>
      <c r="M711">
        <v>56</v>
      </c>
      <c r="N711" t="s">
        <v>313</v>
      </c>
      <c r="O711">
        <v>29</v>
      </c>
      <c r="P711">
        <v>32</v>
      </c>
      <c r="Q711" s="3">
        <v>0.75</v>
      </c>
    </row>
    <row r="712" spans="1:17" x14ac:dyDescent="0.35">
      <c r="A712" t="s">
        <v>222</v>
      </c>
      <c r="B712" t="s">
        <v>65</v>
      </c>
      <c r="C712" t="s">
        <v>1884</v>
      </c>
      <c r="D712" t="s">
        <v>2910</v>
      </c>
      <c r="E712" t="s">
        <v>30</v>
      </c>
      <c r="F712" t="s">
        <v>2911</v>
      </c>
      <c r="G712" t="s">
        <v>2912</v>
      </c>
      <c r="H712" t="s">
        <v>1515</v>
      </c>
      <c r="I712" t="s">
        <v>94</v>
      </c>
      <c r="J712" t="s">
        <v>526</v>
      </c>
      <c r="K712">
        <v>70</v>
      </c>
      <c r="L712">
        <v>96</v>
      </c>
      <c r="M712">
        <v>92</v>
      </c>
      <c r="N712" t="s">
        <v>49</v>
      </c>
      <c r="O712">
        <v>27</v>
      </c>
      <c r="P712">
        <v>58</v>
      </c>
      <c r="Q712" s="3">
        <v>-0.1</v>
      </c>
    </row>
    <row r="713" spans="1:17" x14ac:dyDescent="0.35">
      <c r="A713" t="s">
        <v>64</v>
      </c>
      <c r="B713" t="s">
        <v>65</v>
      </c>
      <c r="C713" t="s">
        <v>1714</v>
      </c>
      <c r="D713" t="s">
        <v>2913</v>
      </c>
      <c r="E713" t="s">
        <v>21</v>
      </c>
      <c r="F713" t="s">
        <v>2914</v>
      </c>
      <c r="G713" t="s">
        <v>2915</v>
      </c>
      <c r="H713" t="s">
        <v>1515</v>
      </c>
      <c r="I713" s="1">
        <v>45447</v>
      </c>
      <c r="J713" t="s">
        <v>141</v>
      </c>
      <c r="K713">
        <v>49</v>
      </c>
      <c r="L713">
        <v>59</v>
      </c>
      <c r="M713">
        <v>73</v>
      </c>
      <c r="N713" t="s">
        <v>73</v>
      </c>
      <c r="O713">
        <v>93</v>
      </c>
      <c r="P713">
        <v>45</v>
      </c>
      <c r="Q713" s="3">
        <v>-1.1499999999999999</v>
      </c>
    </row>
    <row r="714" spans="1:17" x14ac:dyDescent="0.35">
      <c r="A714" t="s">
        <v>1371</v>
      </c>
      <c r="B714" t="s">
        <v>36</v>
      </c>
      <c r="C714" t="s">
        <v>1604</v>
      </c>
      <c r="D714" t="s">
        <v>2916</v>
      </c>
      <c r="E714" t="s">
        <v>21</v>
      </c>
      <c r="F714" t="s">
        <v>2917</v>
      </c>
      <c r="G714" t="s">
        <v>2918</v>
      </c>
      <c r="H714" t="s">
        <v>1515</v>
      </c>
      <c r="I714" t="s">
        <v>119</v>
      </c>
      <c r="J714" t="s">
        <v>764</v>
      </c>
      <c r="K714">
        <v>22</v>
      </c>
      <c r="L714">
        <v>19</v>
      </c>
      <c r="M714">
        <v>4</v>
      </c>
      <c r="N714" t="s">
        <v>1376</v>
      </c>
      <c r="O714">
        <v>88</v>
      </c>
      <c r="P714">
        <v>24</v>
      </c>
      <c r="Q714" s="3">
        <v>0.52</v>
      </c>
    </row>
    <row r="715" spans="1:17" x14ac:dyDescent="0.35">
      <c r="A715" t="s">
        <v>1782</v>
      </c>
      <c r="B715" t="s">
        <v>36</v>
      </c>
      <c r="C715" t="s">
        <v>846</v>
      </c>
      <c r="D715" t="s">
        <v>2919</v>
      </c>
      <c r="E715" t="s">
        <v>68</v>
      </c>
      <c r="F715" t="s">
        <v>2920</v>
      </c>
      <c r="G715" t="s">
        <v>2921</v>
      </c>
      <c r="H715" t="s">
        <v>252</v>
      </c>
      <c r="I715" s="1">
        <v>45301</v>
      </c>
      <c r="J715" s="1">
        <v>45607</v>
      </c>
      <c r="K715">
        <v>96</v>
      </c>
      <c r="L715">
        <v>38</v>
      </c>
      <c r="M715">
        <v>17</v>
      </c>
      <c r="N715" t="s">
        <v>57</v>
      </c>
      <c r="O715">
        <v>72</v>
      </c>
      <c r="P715">
        <v>84</v>
      </c>
      <c r="Q715" s="3">
        <v>0.73</v>
      </c>
    </row>
    <row r="716" spans="1:17" x14ac:dyDescent="0.35">
      <c r="A716" t="s">
        <v>685</v>
      </c>
      <c r="B716" t="s">
        <v>114</v>
      </c>
      <c r="C716" t="s">
        <v>2417</v>
      </c>
      <c r="D716" t="s">
        <v>2922</v>
      </c>
      <c r="E716" t="s">
        <v>30</v>
      </c>
      <c r="F716" t="s">
        <v>2923</v>
      </c>
      <c r="G716" t="s">
        <v>2924</v>
      </c>
      <c r="H716" t="s">
        <v>252</v>
      </c>
      <c r="I716" t="s">
        <v>1648</v>
      </c>
      <c r="J716" s="1">
        <v>45635</v>
      </c>
      <c r="K716">
        <v>61</v>
      </c>
      <c r="L716">
        <v>20</v>
      </c>
      <c r="M716">
        <v>29</v>
      </c>
      <c r="N716" t="s">
        <v>153</v>
      </c>
      <c r="O716">
        <v>71</v>
      </c>
      <c r="P716">
        <v>97</v>
      </c>
      <c r="Q716" s="3">
        <v>-0.17</v>
      </c>
    </row>
    <row r="717" spans="1:17" x14ac:dyDescent="0.35">
      <c r="A717" t="s">
        <v>1341</v>
      </c>
      <c r="B717" t="s">
        <v>18</v>
      </c>
      <c r="C717" t="s">
        <v>1649</v>
      </c>
      <c r="D717" t="s">
        <v>2925</v>
      </c>
      <c r="E717" t="s">
        <v>21</v>
      </c>
      <c r="F717" t="s">
        <v>2926</v>
      </c>
      <c r="G717" t="s">
        <v>2927</v>
      </c>
      <c r="H717" t="s">
        <v>517</v>
      </c>
      <c r="I717" t="s">
        <v>898</v>
      </c>
      <c r="J717" t="s">
        <v>252</v>
      </c>
      <c r="K717">
        <v>43</v>
      </c>
      <c r="L717">
        <v>66</v>
      </c>
      <c r="M717">
        <v>85</v>
      </c>
      <c r="N717" t="s">
        <v>128</v>
      </c>
      <c r="O717">
        <v>66</v>
      </c>
      <c r="P717">
        <v>65</v>
      </c>
      <c r="Q717" s="3">
        <v>-0.37</v>
      </c>
    </row>
    <row r="718" spans="1:17" x14ac:dyDescent="0.35">
      <c r="A718" t="s">
        <v>113</v>
      </c>
      <c r="B718" t="s">
        <v>114</v>
      </c>
      <c r="C718" t="s">
        <v>229</v>
      </c>
      <c r="D718" t="s">
        <v>2928</v>
      </c>
      <c r="E718" t="s">
        <v>68</v>
      </c>
      <c r="F718" t="s">
        <v>2929</v>
      </c>
      <c r="G718" t="s">
        <v>2930</v>
      </c>
      <c r="H718" t="s">
        <v>517</v>
      </c>
      <c r="I718" t="s">
        <v>2458</v>
      </c>
      <c r="J718" t="s">
        <v>1318</v>
      </c>
      <c r="K718">
        <v>38</v>
      </c>
      <c r="L718">
        <v>43</v>
      </c>
      <c r="M718">
        <v>91</v>
      </c>
      <c r="N718" t="s">
        <v>121</v>
      </c>
      <c r="O718">
        <v>72</v>
      </c>
      <c r="P718">
        <v>64</v>
      </c>
      <c r="Q718" s="3">
        <v>0.02</v>
      </c>
    </row>
    <row r="719" spans="1:17" x14ac:dyDescent="0.35">
      <c r="A719" t="s">
        <v>1030</v>
      </c>
      <c r="B719" t="s">
        <v>114</v>
      </c>
      <c r="C719" t="s">
        <v>1493</v>
      </c>
      <c r="D719" t="s">
        <v>2931</v>
      </c>
      <c r="E719" t="s">
        <v>30</v>
      </c>
      <c r="F719" t="s">
        <v>2932</v>
      </c>
      <c r="G719" t="s">
        <v>2933</v>
      </c>
      <c r="H719" t="s">
        <v>745</v>
      </c>
      <c r="I719" s="1">
        <v>45632</v>
      </c>
      <c r="J719" t="s">
        <v>361</v>
      </c>
      <c r="K719">
        <v>65</v>
      </c>
      <c r="L719">
        <v>36</v>
      </c>
      <c r="M719">
        <v>37</v>
      </c>
      <c r="N719" t="s">
        <v>282</v>
      </c>
      <c r="O719">
        <v>32</v>
      </c>
      <c r="P719">
        <v>70</v>
      </c>
      <c r="Q719" s="3">
        <v>0.11</v>
      </c>
    </row>
    <row r="720" spans="1:17" x14ac:dyDescent="0.35">
      <c r="A720" t="s">
        <v>1623</v>
      </c>
      <c r="B720" t="s">
        <v>36</v>
      </c>
      <c r="C720" t="s">
        <v>2172</v>
      </c>
      <c r="D720" t="s">
        <v>2934</v>
      </c>
      <c r="E720" t="s">
        <v>21</v>
      </c>
      <c r="F720" t="s">
        <v>2935</v>
      </c>
      <c r="G720" t="s">
        <v>2936</v>
      </c>
      <c r="H720" t="s">
        <v>745</v>
      </c>
      <c r="I720" s="1">
        <v>45809</v>
      </c>
      <c r="J720" t="s">
        <v>732</v>
      </c>
      <c r="K720">
        <v>14</v>
      </c>
      <c r="L720">
        <v>99</v>
      </c>
      <c r="M720">
        <v>97</v>
      </c>
      <c r="N720" t="s">
        <v>1182</v>
      </c>
      <c r="O720">
        <v>28</v>
      </c>
      <c r="P720">
        <v>45</v>
      </c>
      <c r="Q720" s="3">
        <v>-1.19</v>
      </c>
    </row>
    <row r="721" spans="1:17" x14ac:dyDescent="0.35">
      <c r="A721" t="s">
        <v>1021</v>
      </c>
      <c r="B721" t="s">
        <v>36</v>
      </c>
      <c r="C721" t="s">
        <v>846</v>
      </c>
      <c r="D721" t="s">
        <v>2937</v>
      </c>
      <c r="E721" t="s">
        <v>30</v>
      </c>
      <c r="F721" t="s">
        <v>2938</v>
      </c>
      <c r="G721" t="s">
        <v>2939</v>
      </c>
      <c r="H721" t="s">
        <v>589</v>
      </c>
      <c r="I721" t="s">
        <v>855</v>
      </c>
      <c r="J721" s="1">
        <v>45485</v>
      </c>
      <c r="K721">
        <v>67</v>
      </c>
      <c r="L721">
        <v>98</v>
      </c>
      <c r="M721">
        <v>92</v>
      </c>
      <c r="N721" t="s">
        <v>73</v>
      </c>
      <c r="O721">
        <v>35</v>
      </c>
      <c r="P721">
        <v>98</v>
      </c>
      <c r="Q721" s="3">
        <v>-0.61</v>
      </c>
    </row>
    <row r="722" spans="1:17" x14ac:dyDescent="0.35">
      <c r="A722" t="s">
        <v>1311</v>
      </c>
      <c r="B722" t="s">
        <v>36</v>
      </c>
      <c r="C722" t="s">
        <v>2760</v>
      </c>
      <c r="D722" t="s">
        <v>2940</v>
      </c>
      <c r="E722" t="s">
        <v>21</v>
      </c>
      <c r="F722" t="s">
        <v>2941</v>
      </c>
      <c r="G722" t="s">
        <v>2942</v>
      </c>
      <c r="H722" t="s">
        <v>589</v>
      </c>
      <c r="I722" s="1">
        <v>45477</v>
      </c>
      <c r="J722" t="s">
        <v>307</v>
      </c>
      <c r="K722">
        <v>85</v>
      </c>
      <c r="L722">
        <v>89</v>
      </c>
      <c r="M722">
        <v>41</v>
      </c>
      <c r="N722" t="s">
        <v>798</v>
      </c>
      <c r="O722">
        <v>68</v>
      </c>
      <c r="P722">
        <v>93</v>
      </c>
      <c r="Q722" s="3">
        <v>-1.8</v>
      </c>
    </row>
    <row r="723" spans="1:17" x14ac:dyDescent="0.35">
      <c r="A723" t="s">
        <v>74</v>
      </c>
      <c r="B723" t="s">
        <v>75</v>
      </c>
      <c r="C723" t="s">
        <v>2304</v>
      </c>
      <c r="D723" t="s">
        <v>2943</v>
      </c>
      <c r="E723" t="s">
        <v>68</v>
      </c>
      <c r="F723" t="s">
        <v>2944</v>
      </c>
      <c r="G723" t="s">
        <v>2945</v>
      </c>
      <c r="H723" t="s">
        <v>589</v>
      </c>
      <c r="I723" s="1">
        <v>45632</v>
      </c>
      <c r="J723" s="1">
        <v>45391</v>
      </c>
      <c r="K723">
        <v>93</v>
      </c>
      <c r="L723">
        <v>51</v>
      </c>
      <c r="M723">
        <v>70</v>
      </c>
      <c r="N723" t="s">
        <v>82</v>
      </c>
      <c r="O723">
        <v>81</v>
      </c>
      <c r="P723">
        <v>18</v>
      </c>
      <c r="Q723" s="3">
        <v>-0.37</v>
      </c>
    </row>
    <row r="724" spans="1:17" x14ac:dyDescent="0.35">
      <c r="A724" t="s">
        <v>2946</v>
      </c>
      <c r="B724" t="s">
        <v>65</v>
      </c>
      <c r="C724" t="s">
        <v>123</v>
      </c>
      <c r="D724" t="s">
        <v>2947</v>
      </c>
      <c r="E724" t="s">
        <v>30</v>
      </c>
      <c r="F724" t="s">
        <v>2948</v>
      </c>
      <c r="G724" t="s">
        <v>2949</v>
      </c>
      <c r="H724" t="s">
        <v>639</v>
      </c>
      <c r="I724" s="1">
        <v>45658</v>
      </c>
      <c r="J724" t="s">
        <v>2612</v>
      </c>
      <c r="K724">
        <v>100</v>
      </c>
      <c r="L724">
        <v>10</v>
      </c>
      <c r="M724">
        <v>89</v>
      </c>
      <c r="N724" t="s">
        <v>49</v>
      </c>
      <c r="O724">
        <v>76</v>
      </c>
      <c r="P724">
        <v>38</v>
      </c>
      <c r="Q724" s="3">
        <v>0.78</v>
      </c>
    </row>
    <row r="725" spans="1:17" x14ac:dyDescent="0.35">
      <c r="A725" t="s">
        <v>142</v>
      </c>
      <c r="B725" t="s">
        <v>36</v>
      </c>
      <c r="C725" t="s">
        <v>2019</v>
      </c>
      <c r="D725" t="s">
        <v>2950</v>
      </c>
      <c r="E725" t="s">
        <v>21</v>
      </c>
      <c r="F725" t="s">
        <v>2951</v>
      </c>
      <c r="G725" t="s">
        <v>2952</v>
      </c>
      <c r="H725" t="s">
        <v>554</v>
      </c>
      <c r="I725" s="1">
        <v>45328</v>
      </c>
      <c r="J725" t="s">
        <v>1506</v>
      </c>
      <c r="K725">
        <v>88</v>
      </c>
      <c r="L725">
        <v>4</v>
      </c>
      <c r="M725">
        <v>79</v>
      </c>
      <c r="N725" t="s">
        <v>344</v>
      </c>
      <c r="O725">
        <v>23</v>
      </c>
      <c r="P725">
        <v>39</v>
      </c>
      <c r="Q725" s="3">
        <v>0.5</v>
      </c>
    </row>
    <row r="726" spans="1:17" x14ac:dyDescent="0.35">
      <c r="A726" t="s">
        <v>113</v>
      </c>
      <c r="B726" t="s">
        <v>114</v>
      </c>
      <c r="C726" t="s">
        <v>37</v>
      </c>
      <c r="D726" t="s">
        <v>2953</v>
      </c>
      <c r="E726" t="s">
        <v>30</v>
      </c>
      <c r="F726" t="s">
        <v>2954</v>
      </c>
      <c r="G726" t="s">
        <v>2955</v>
      </c>
      <c r="H726" t="s">
        <v>1747</v>
      </c>
      <c r="I726" t="s">
        <v>1790</v>
      </c>
      <c r="J726" t="s">
        <v>2299</v>
      </c>
      <c r="K726">
        <v>97</v>
      </c>
      <c r="L726">
        <v>99</v>
      </c>
      <c r="M726">
        <v>96</v>
      </c>
      <c r="N726" t="s">
        <v>121</v>
      </c>
      <c r="O726">
        <v>57</v>
      </c>
      <c r="P726">
        <v>42</v>
      </c>
      <c r="Q726" s="3">
        <v>-0.7</v>
      </c>
    </row>
    <row r="727" spans="1:17" x14ac:dyDescent="0.35">
      <c r="A727" t="s">
        <v>135</v>
      </c>
      <c r="B727" t="s">
        <v>36</v>
      </c>
      <c r="C727" t="s">
        <v>1775</v>
      </c>
      <c r="D727" t="s">
        <v>2956</v>
      </c>
      <c r="E727" t="s">
        <v>21</v>
      </c>
      <c r="F727" t="s">
        <v>2957</v>
      </c>
      <c r="G727" t="s">
        <v>2958</v>
      </c>
      <c r="H727" t="s">
        <v>1747</v>
      </c>
      <c r="I727" t="s">
        <v>2959</v>
      </c>
      <c r="J727" t="s">
        <v>967</v>
      </c>
      <c r="K727">
        <v>19</v>
      </c>
      <c r="L727">
        <v>100</v>
      </c>
      <c r="M727">
        <v>83</v>
      </c>
      <c r="N727" t="s">
        <v>128</v>
      </c>
      <c r="O727">
        <v>66</v>
      </c>
      <c r="P727">
        <v>28</v>
      </c>
      <c r="Q727" s="3">
        <v>0.26</v>
      </c>
    </row>
    <row r="728" spans="1:17" x14ac:dyDescent="0.35">
      <c r="A728" t="s">
        <v>177</v>
      </c>
      <c r="B728" t="s">
        <v>18</v>
      </c>
      <c r="C728" t="s">
        <v>2960</v>
      </c>
      <c r="D728" t="s">
        <v>2961</v>
      </c>
      <c r="E728" t="s">
        <v>21</v>
      </c>
      <c r="F728" t="s">
        <v>2962</v>
      </c>
      <c r="G728" t="s">
        <v>2963</v>
      </c>
      <c r="H728" t="s">
        <v>920</v>
      </c>
      <c r="I728" t="s">
        <v>670</v>
      </c>
      <c r="J728" t="s">
        <v>827</v>
      </c>
      <c r="K728">
        <v>24</v>
      </c>
      <c r="L728">
        <v>55</v>
      </c>
      <c r="M728">
        <v>51</v>
      </c>
      <c r="N728" t="s">
        <v>73</v>
      </c>
      <c r="O728">
        <v>39</v>
      </c>
      <c r="P728">
        <v>15</v>
      </c>
      <c r="Q728" s="3">
        <v>0.57999999999999996</v>
      </c>
    </row>
    <row r="729" spans="1:17" x14ac:dyDescent="0.35">
      <c r="A729" t="s">
        <v>893</v>
      </c>
      <c r="B729" t="s">
        <v>65</v>
      </c>
      <c r="C729" t="s">
        <v>143</v>
      </c>
      <c r="D729" t="s">
        <v>2964</v>
      </c>
      <c r="E729" t="s">
        <v>30</v>
      </c>
      <c r="F729" t="s">
        <v>2965</v>
      </c>
      <c r="G729" t="s">
        <v>2966</v>
      </c>
      <c r="H729" t="s">
        <v>920</v>
      </c>
      <c r="I729" t="s">
        <v>387</v>
      </c>
      <c r="J729" t="s">
        <v>1080</v>
      </c>
      <c r="K729">
        <v>55</v>
      </c>
      <c r="L729">
        <v>13</v>
      </c>
      <c r="M729">
        <v>71</v>
      </c>
      <c r="N729" t="s">
        <v>1242</v>
      </c>
      <c r="O729">
        <v>37</v>
      </c>
      <c r="P729">
        <v>4</v>
      </c>
      <c r="Q729" s="3">
        <v>0.62</v>
      </c>
    </row>
    <row r="730" spans="1:17" x14ac:dyDescent="0.35">
      <c r="A730" t="s">
        <v>880</v>
      </c>
      <c r="B730" t="s">
        <v>27</v>
      </c>
      <c r="C730" t="s">
        <v>1088</v>
      </c>
      <c r="D730" t="s">
        <v>2967</v>
      </c>
      <c r="E730" t="s">
        <v>21</v>
      </c>
      <c r="F730" t="s">
        <v>2968</v>
      </c>
      <c r="G730" t="s">
        <v>2969</v>
      </c>
      <c r="H730" t="s">
        <v>2970</v>
      </c>
      <c r="I730" t="s">
        <v>2075</v>
      </c>
      <c r="J730" t="s">
        <v>1092</v>
      </c>
      <c r="K730">
        <v>91</v>
      </c>
      <c r="L730">
        <v>82</v>
      </c>
      <c r="M730">
        <v>58</v>
      </c>
      <c r="N730" t="s">
        <v>884</v>
      </c>
      <c r="O730">
        <v>43</v>
      </c>
      <c r="P730">
        <v>45</v>
      </c>
      <c r="Q730" s="3">
        <v>0.89</v>
      </c>
    </row>
    <row r="731" spans="1:17" x14ac:dyDescent="0.35">
      <c r="A731" t="s">
        <v>17</v>
      </c>
      <c r="B731" t="s">
        <v>18</v>
      </c>
      <c r="C731" t="s">
        <v>1884</v>
      </c>
      <c r="D731" t="s">
        <v>2971</v>
      </c>
      <c r="E731" t="s">
        <v>30</v>
      </c>
      <c r="F731" t="s">
        <v>2972</v>
      </c>
      <c r="G731" t="s">
        <v>2973</v>
      </c>
      <c r="H731" t="s">
        <v>2970</v>
      </c>
      <c r="I731" s="1">
        <v>45296</v>
      </c>
      <c r="J731" t="s">
        <v>2970</v>
      </c>
      <c r="K731">
        <v>49</v>
      </c>
      <c r="L731">
        <v>93</v>
      </c>
      <c r="M731">
        <v>15</v>
      </c>
      <c r="N731" t="s">
        <v>134</v>
      </c>
      <c r="O731">
        <v>52</v>
      </c>
      <c r="P731">
        <v>31</v>
      </c>
      <c r="Q731" s="3">
        <v>-0.05</v>
      </c>
    </row>
    <row r="732" spans="1:17" x14ac:dyDescent="0.35">
      <c r="A732" t="s">
        <v>435</v>
      </c>
      <c r="B732" t="s">
        <v>18</v>
      </c>
      <c r="C732" t="s">
        <v>2974</v>
      </c>
      <c r="D732" t="s">
        <v>2975</v>
      </c>
      <c r="E732" t="s">
        <v>30</v>
      </c>
      <c r="F732" t="s">
        <v>2976</v>
      </c>
      <c r="G732" t="s">
        <v>2977</v>
      </c>
      <c r="H732" t="s">
        <v>2970</v>
      </c>
      <c r="I732" t="s">
        <v>1079</v>
      </c>
      <c r="J732" t="s">
        <v>1506</v>
      </c>
      <c r="K732">
        <v>66</v>
      </c>
      <c r="L732">
        <v>28</v>
      </c>
      <c r="M732">
        <v>7</v>
      </c>
      <c r="N732" t="s">
        <v>344</v>
      </c>
      <c r="O732">
        <v>85</v>
      </c>
      <c r="P732">
        <v>6</v>
      </c>
      <c r="Q732" s="3">
        <v>0.4</v>
      </c>
    </row>
    <row r="733" spans="1:17" x14ac:dyDescent="0.35">
      <c r="A733" t="s">
        <v>690</v>
      </c>
      <c r="B733" t="s">
        <v>36</v>
      </c>
      <c r="C733" t="s">
        <v>254</v>
      </c>
      <c r="D733" t="s">
        <v>2978</v>
      </c>
      <c r="E733" t="s">
        <v>30</v>
      </c>
      <c r="F733" t="s">
        <v>2979</v>
      </c>
      <c r="G733" t="s">
        <v>2980</v>
      </c>
      <c r="H733" t="s">
        <v>1221</v>
      </c>
      <c r="I733" t="s">
        <v>465</v>
      </c>
      <c r="J733" t="s">
        <v>1482</v>
      </c>
      <c r="K733">
        <v>14</v>
      </c>
      <c r="L733">
        <v>63</v>
      </c>
      <c r="M733">
        <v>74</v>
      </c>
      <c r="N733" t="s">
        <v>128</v>
      </c>
      <c r="O733">
        <v>59</v>
      </c>
      <c r="P733">
        <v>63</v>
      </c>
      <c r="Q733" s="3">
        <v>0.93</v>
      </c>
    </row>
    <row r="734" spans="1:17" x14ac:dyDescent="0.35">
      <c r="A734" t="s">
        <v>1782</v>
      </c>
      <c r="B734" t="s">
        <v>36</v>
      </c>
      <c r="C734" t="s">
        <v>2555</v>
      </c>
      <c r="D734" t="s">
        <v>2981</v>
      </c>
      <c r="E734" t="s">
        <v>21</v>
      </c>
      <c r="F734" t="s">
        <v>2982</v>
      </c>
      <c r="G734" t="s">
        <v>2983</v>
      </c>
      <c r="H734" t="s">
        <v>1221</v>
      </c>
      <c r="I734" t="s">
        <v>211</v>
      </c>
      <c r="J734" s="1">
        <v>45420</v>
      </c>
      <c r="K734">
        <v>36</v>
      </c>
      <c r="L734">
        <v>82</v>
      </c>
      <c r="M734">
        <v>85</v>
      </c>
      <c r="N734" t="s">
        <v>2984</v>
      </c>
      <c r="O734">
        <v>27</v>
      </c>
      <c r="P734">
        <v>67</v>
      </c>
      <c r="Q734" s="3">
        <v>-7.0000000000000007E-2</v>
      </c>
    </row>
    <row r="735" spans="1:17" x14ac:dyDescent="0.35">
      <c r="A735" t="s">
        <v>350</v>
      </c>
      <c r="B735" t="s">
        <v>36</v>
      </c>
      <c r="C735" t="s">
        <v>714</v>
      </c>
      <c r="D735" t="s">
        <v>2985</v>
      </c>
      <c r="E735" t="s">
        <v>30</v>
      </c>
      <c r="F735" t="s">
        <v>2986</v>
      </c>
      <c r="G735" t="s">
        <v>2987</v>
      </c>
      <c r="H735" t="s">
        <v>1221</v>
      </c>
      <c r="I735" t="s">
        <v>645</v>
      </c>
      <c r="J735" s="1">
        <v>45690</v>
      </c>
      <c r="K735">
        <v>52</v>
      </c>
      <c r="L735">
        <v>31</v>
      </c>
      <c r="M735">
        <v>18</v>
      </c>
      <c r="N735" t="s">
        <v>355</v>
      </c>
      <c r="O735">
        <v>77</v>
      </c>
      <c r="P735">
        <v>16</v>
      </c>
      <c r="Q735" s="3">
        <v>-1.48</v>
      </c>
    </row>
    <row r="736" spans="1:17" x14ac:dyDescent="0.35">
      <c r="A736" t="s">
        <v>1603</v>
      </c>
      <c r="B736" t="s">
        <v>36</v>
      </c>
      <c r="C736" t="s">
        <v>1217</v>
      </c>
      <c r="D736" t="s">
        <v>2988</v>
      </c>
      <c r="E736" t="s">
        <v>21</v>
      </c>
      <c r="F736" t="s">
        <v>2989</v>
      </c>
      <c r="G736" t="s">
        <v>2990</v>
      </c>
      <c r="H736" t="s">
        <v>957</v>
      </c>
      <c r="I736" s="1">
        <v>45329</v>
      </c>
      <c r="J736" t="s">
        <v>1016</v>
      </c>
      <c r="K736">
        <v>48</v>
      </c>
      <c r="L736">
        <v>71</v>
      </c>
      <c r="M736">
        <v>86</v>
      </c>
      <c r="N736" t="s">
        <v>153</v>
      </c>
      <c r="O736">
        <v>95</v>
      </c>
      <c r="P736">
        <v>3</v>
      </c>
      <c r="Q736" s="3">
        <v>0.79</v>
      </c>
    </row>
    <row r="737" spans="1:17" x14ac:dyDescent="0.35">
      <c r="A737" t="s">
        <v>296</v>
      </c>
      <c r="B737" t="s">
        <v>27</v>
      </c>
      <c r="C737" t="s">
        <v>703</v>
      </c>
      <c r="D737" t="s">
        <v>2991</v>
      </c>
      <c r="E737" t="s">
        <v>30</v>
      </c>
      <c r="F737" t="s">
        <v>2992</v>
      </c>
      <c r="G737" t="s">
        <v>2993</v>
      </c>
      <c r="H737" t="s">
        <v>957</v>
      </c>
      <c r="I737" s="1">
        <v>45631</v>
      </c>
      <c r="J737" t="s">
        <v>670</v>
      </c>
      <c r="K737">
        <v>58</v>
      </c>
      <c r="L737">
        <v>23</v>
      </c>
      <c r="M737">
        <v>66</v>
      </c>
      <c r="N737" t="s">
        <v>235</v>
      </c>
      <c r="O737">
        <v>82</v>
      </c>
      <c r="P737">
        <v>61</v>
      </c>
      <c r="Q737" s="3">
        <v>0.97</v>
      </c>
    </row>
    <row r="738" spans="1:17" x14ac:dyDescent="0.35">
      <c r="A738" t="s">
        <v>671</v>
      </c>
      <c r="B738" t="s">
        <v>65</v>
      </c>
      <c r="C738" t="s">
        <v>2645</v>
      </c>
      <c r="D738" t="s">
        <v>2994</v>
      </c>
      <c r="E738" t="s">
        <v>30</v>
      </c>
      <c r="F738" t="s">
        <v>2995</v>
      </c>
      <c r="G738" t="s">
        <v>2996</v>
      </c>
      <c r="H738" t="s">
        <v>957</v>
      </c>
      <c r="I738" t="s">
        <v>1073</v>
      </c>
      <c r="J738" t="s">
        <v>745</v>
      </c>
      <c r="K738">
        <v>39</v>
      </c>
      <c r="L738">
        <v>2</v>
      </c>
      <c r="M738">
        <v>71</v>
      </c>
      <c r="N738" t="s">
        <v>466</v>
      </c>
      <c r="O738">
        <v>20</v>
      </c>
      <c r="P738">
        <v>70</v>
      </c>
      <c r="Q738" s="3">
        <v>0.26</v>
      </c>
    </row>
    <row r="739" spans="1:17" x14ac:dyDescent="0.35">
      <c r="A739" t="s">
        <v>1603</v>
      </c>
      <c r="B739" t="s">
        <v>36</v>
      </c>
      <c r="C739" t="s">
        <v>429</v>
      </c>
      <c r="D739" t="s">
        <v>2997</v>
      </c>
      <c r="E739" t="s">
        <v>21</v>
      </c>
      <c r="F739" t="s">
        <v>2998</v>
      </c>
      <c r="G739" t="s">
        <v>2999</v>
      </c>
      <c r="H739" t="s">
        <v>958</v>
      </c>
      <c r="I739" t="s">
        <v>2075</v>
      </c>
      <c r="J739" t="s">
        <v>422</v>
      </c>
      <c r="K739">
        <v>51</v>
      </c>
      <c r="L739">
        <v>100</v>
      </c>
      <c r="M739">
        <v>70</v>
      </c>
      <c r="N739" t="s">
        <v>153</v>
      </c>
      <c r="O739">
        <v>40</v>
      </c>
      <c r="P739">
        <v>21</v>
      </c>
      <c r="Q739" s="3">
        <v>-2.5</v>
      </c>
    </row>
    <row r="740" spans="1:17" x14ac:dyDescent="0.35">
      <c r="A740" t="s">
        <v>793</v>
      </c>
      <c r="B740" t="s">
        <v>75</v>
      </c>
      <c r="C740" t="s">
        <v>3000</v>
      </c>
      <c r="D740" t="s">
        <v>3001</v>
      </c>
      <c r="E740" t="s">
        <v>68</v>
      </c>
      <c r="F740" t="s">
        <v>3002</v>
      </c>
      <c r="G740" t="s">
        <v>3003</v>
      </c>
      <c r="H740" t="s">
        <v>958</v>
      </c>
      <c r="I740" t="s">
        <v>555</v>
      </c>
      <c r="J740" s="1">
        <v>45479</v>
      </c>
      <c r="K740">
        <v>16</v>
      </c>
      <c r="L740">
        <v>20</v>
      </c>
      <c r="M740">
        <v>45</v>
      </c>
      <c r="N740" t="s">
        <v>798</v>
      </c>
      <c r="O740">
        <v>81</v>
      </c>
      <c r="P740">
        <v>62</v>
      </c>
      <c r="Q740" s="3">
        <v>0.48</v>
      </c>
    </row>
    <row r="741" spans="1:17" x14ac:dyDescent="0.35">
      <c r="A741" t="s">
        <v>653</v>
      </c>
      <c r="B741" t="s">
        <v>163</v>
      </c>
      <c r="C741" t="s">
        <v>2002</v>
      </c>
      <c r="D741" t="s">
        <v>3004</v>
      </c>
      <c r="E741" t="s">
        <v>30</v>
      </c>
      <c r="F741" t="s">
        <v>3005</v>
      </c>
      <c r="G741" t="s">
        <v>3006</v>
      </c>
      <c r="H741" t="s">
        <v>958</v>
      </c>
      <c r="I741" s="1">
        <v>45571</v>
      </c>
      <c r="J741" s="1">
        <v>45810</v>
      </c>
      <c r="K741">
        <v>62</v>
      </c>
      <c r="L741">
        <v>31</v>
      </c>
      <c r="M741">
        <v>24</v>
      </c>
      <c r="N741" t="s">
        <v>659</v>
      </c>
      <c r="O741">
        <v>89</v>
      </c>
      <c r="P741">
        <v>100</v>
      </c>
      <c r="Q741" s="3">
        <v>0.23</v>
      </c>
    </row>
    <row r="742" spans="1:17" x14ac:dyDescent="0.35">
      <c r="A742" t="s">
        <v>435</v>
      </c>
      <c r="B742" t="s">
        <v>18</v>
      </c>
      <c r="C742" t="s">
        <v>538</v>
      </c>
      <c r="D742" t="s">
        <v>3007</v>
      </c>
      <c r="E742" t="s">
        <v>68</v>
      </c>
      <c r="F742" t="s">
        <v>3008</v>
      </c>
      <c r="G742" t="s">
        <v>3009</v>
      </c>
      <c r="H742" t="s">
        <v>1039</v>
      </c>
      <c r="I742" s="1">
        <v>45634</v>
      </c>
      <c r="J742" t="s">
        <v>1738</v>
      </c>
      <c r="K742">
        <v>60</v>
      </c>
      <c r="L742">
        <v>61</v>
      </c>
      <c r="M742">
        <v>2</v>
      </c>
      <c r="N742" t="s">
        <v>344</v>
      </c>
      <c r="O742">
        <v>96</v>
      </c>
      <c r="P742">
        <v>50</v>
      </c>
      <c r="Q742" s="3">
        <v>-0.12</v>
      </c>
    </row>
    <row r="743" spans="1:17" x14ac:dyDescent="0.35">
      <c r="A743" t="s">
        <v>750</v>
      </c>
      <c r="B743" t="s">
        <v>36</v>
      </c>
      <c r="C743" t="s">
        <v>213</v>
      </c>
      <c r="D743" t="s">
        <v>3010</v>
      </c>
      <c r="E743" t="s">
        <v>21</v>
      </c>
      <c r="F743" t="s">
        <v>3011</v>
      </c>
      <c r="G743" t="s">
        <v>3012</v>
      </c>
      <c r="H743" t="s">
        <v>1039</v>
      </c>
      <c r="I743" t="s">
        <v>1328</v>
      </c>
      <c r="J743" s="1">
        <v>45446</v>
      </c>
      <c r="K743">
        <v>47</v>
      </c>
      <c r="L743">
        <v>2</v>
      </c>
      <c r="M743">
        <v>76</v>
      </c>
      <c r="N743" t="s">
        <v>128</v>
      </c>
      <c r="O743">
        <v>48</v>
      </c>
      <c r="P743">
        <v>36</v>
      </c>
      <c r="Q743" s="3">
        <v>0.48</v>
      </c>
    </row>
    <row r="744" spans="1:17" x14ac:dyDescent="0.35">
      <c r="A744" t="s">
        <v>350</v>
      </c>
      <c r="B744" t="s">
        <v>36</v>
      </c>
      <c r="C744" t="s">
        <v>3013</v>
      </c>
      <c r="D744" t="s">
        <v>3014</v>
      </c>
      <c r="E744" t="s">
        <v>21</v>
      </c>
      <c r="F744" t="s">
        <v>3015</v>
      </c>
      <c r="G744" t="s">
        <v>3016</v>
      </c>
      <c r="H744" t="s">
        <v>1039</v>
      </c>
      <c r="I744" t="s">
        <v>779</v>
      </c>
      <c r="J744" t="s">
        <v>444</v>
      </c>
      <c r="K744">
        <v>23</v>
      </c>
      <c r="L744">
        <v>38</v>
      </c>
      <c r="M744">
        <v>25</v>
      </c>
      <c r="N744" t="s">
        <v>355</v>
      </c>
      <c r="O744">
        <v>84</v>
      </c>
      <c r="P744">
        <v>78</v>
      </c>
      <c r="Q744" s="3">
        <v>0.25</v>
      </c>
    </row>
    <row r="745" spans="1:17" x14ac:dyDescent="0.35">
      <c r="A745" t="s">
        <v>308</v>
      </c>
      <c r="B745" t="s">
        <v>27</v>
      </c>
      <c r="C745" t="s">
        <v>2475</v>
      </c>
      <c r="D745" t="s">
        <v>3017</v>
      </c>
      <c r="E745" t="s">
        <v>21</v>
      </c>
      <c r="F745" t="s">
        <v>3018</v>
      </c>
      <c r="G745" t="s">
        <v>3019</v>
      </c>
      <c r="H745" t="s">
        <v>1039</v>
      </c>
      <c r="I745" t="s">
        <v>465</v>
      </c>
      <c r="J745" t="s">
        <v>784</v>
      </c>
      <c r="K745">
        <v>85</v>
      </c>
      <c r="L745">
        <v>15</v>
      </c>
      <c r="M745">
        <v>16</v>
      </c>
      <c r="N745" t="s">
        <v>313</v>
      </c>
      <c r="O745">
        <v>46</v>
      </c>
      <c r="P745">
        <v>24</v>
      </c>
      <c r="Q745" s="3">
        <v>7.0000000000000007E-2</v>
      </c>
    </row>
    <row r="746" spans="1:17" x14ac:dyDescent="0.35">
      <c r="A746" t="s">
        <v>480</v>
      </c>
      <c r="B746" t="s">
        <v>36</v>
      </c>
      <c r="C746" t="s">
        <v>2059</v>
      </c>
      <c r="D746" t="s">
        <v>3020</v>
      </c>
      <c r="E746" t="s">
        <v>30</v>
      </c>
      <c r="F746" t="s">
        <v>3021</v>
      </c>
      <c r="G746" t="s">
        <v>3022</v>
      </c>
      <c r="H746" t="s">
        <v>1039</v>
      </c>
      <c r="I746" s="1">
        <v>45325</v>
      </c>
      <c r="J746" t="s">
        <v>71</v>
      </c>
      <c r="K746">
        <v>55</v>
      </c>
      <c r="L746">
        <v>25</v>
      </c>
      <c r="M746">
        <v>87</v>
      </c>
      <c r="N746" t="s">
        <v>121</v>
      </c>
      <c r="O746">
        <v>69</v>
      </c>
      <c r="P746">
        <v>48</v>
      </c>
      <c r="Q746" s="3">
        <v>0.48</v>
      </c>
    </row>
    <row r="747" spans="1:17" x14ac:dyDescent="0.35">
      <c r="A747" t="s">
        <v>270</v>
      </c>
      <c r="B747" t="s">
        <v>36</v>
      </c>
      <c r="C747" t="s">
        <v>1728</v>
      </c>
      <c r="D747" t="s">
        <v>3023</v>
      </c>
      <c r="E747" t="s">
        <v>30</v>
      </c>
      <c r="F747" t="s">
        <v>3024</v>
      </c>
      <c r="G747" t="s">
        <v>3025</v>
      </c>
      <c r="H747" t="s">
        <v>1039</v>
      </c>
      <c r="I747" t="s">
        <v>301</v>
      </c>
      <c r="J747" t="s">
        <v>768</v>
      </c>
      <c r="K747">
        <v>81</v>
      </c>
      <c r="L747">
        <v>76</v>
      </c>
      <c r="M747">
        <v>10</v>
      </c>
      <c r="N747" t="s">
        <v>121</v>
      </c>
      <c r="O747">
        <v>68</v>
      </c>
      <c r="P747">
        <v>100</v>
      </c>
      <c r="Q747" s="3">
        <v>0.3</v>
      </c>
    </row>
    <row r="748" spans="1:17" x14ac:dyDescent="0.35">
      <c r="A748" t="s">
        <v>832</v>
      </c>
      <c r="B748" t="s">
        <v>18</v>
      </c>
      <c r="C748" t="s">
        <v>1822</v>
      </c>
      <c r="D748" t="s">
        <v>3026</v>
      </c>
      <c r="E748" t="s">
        <v>21</v>
      </c>
      <c r="F748" t="s">
        <v>3027</v>
      </c>
      <c r="G748" t="s">
        <v>3028</v>
      </c>
      <c r="H748" t="s">
        <v>531</v>
      </c>
      <c r="I748" t="s">
        <v>2092</v>
      </c>
      <c r="J748" s="1">
        <v>45601</v>
      </c>
      <c r="K748">
        <v>28</v>
      </c>
      <c r="L748">
        <v>27</v>
      </c>
      <c r="M748">
        <v>22</v>
      </c>
      <c r="N748" t="s">
        <v>344</v>
      </c>
      <c r="O748">
        <v>70</v>
      </c>
      <c r="P748">
        <v>30</v>
      </c>
      <c r="Q748" s="3">
        <v>-0.47</v>
      </c>
    </row>
    <row r="749" spans="1:17" x14ac:dyDescent="0.35">
      <c r="A749" t="s">
        <v>685</v>
      </c>
      <c r="B749" t="s">
        <v>114</v>
      </c>
      <c r="C749" t="s">
        <v>775</v>
      </c>
      <c r="D749" t="s">
        <v>3029</v>
      </c>
      <c r="E749" t="s">
        <v>68</v>
      </c>
      <c r="F749" t="s">
        <v>3030</v>
      </c>
      <c r="G749" t="s">
        <v>3031</v>
      </c>
      <c r="H749" t="s">
        <v>531</v>
      </c>
      <c r="I749" t="s">
        <v>1452</v>
      </c>
      <c r="J749" t="s">
        <v>276</v>
      </c>
      <c r="K749">
        <v>99</v>
      </c>
      <c r="L749">
        <v>6</v>
      </c>
      <c r="M749">
        <v>88</v>
      </c>
      <c r="N749" t="s">
        <v>153</v>
      </c>
      <c r="O749">
        <v>49</v>
      </c>
      <c r="P749">
        <v>9</v>
      </c>
      <c r="Q749" s="3">
        <v>0.56999999999999995</v>
      </c>
    </row>
    <row r="750" spans="1:17" x14ac:dyDescent="0.35">
      <c r="A750" t="s">
        <v>194</v>
      </c>
      <c r="B750" t="s">
        <v>114</v>
      </c>
      <c r="C750" t="s">
        <v>3032</v>
      </c>
      <c r="D750" t="s">
        <v>3033</v>
      </c>
      <c r="E750" t="s">
        <v>21</v>
      </c>
      <c r="F750" t="s">
        <v>3034</v>
      </c>
      <c r="G750" t="s">
        <v>3035</v>
      </c>
      <c r="H750" t="s">
        <v>986</v>
      </c>
      <c r="I750" s="1">
        <v>45483</v>
      </c>
      <c r="J750" s="1">
        <v>45295</v>
      </c>
      <c r="K750">
        <v>34</v>
      </c>
      <c r="L750">
        <v>42</v>
      </c>
      <c r="M750">
        <v>86</v>
      </c>
      <c r="N750" t="s">
        <v>121</v>
      </c>
      <c r="O750">
        <v>28</v>
      </c>
      <c r="P750">
        <v>23</v>
      </c>
      <c r="Q750" s="3">
        <v>0.82</v>
      </c>
    </row>
    <row r="751" spans="1:17" x14ac:dyDescent="0.35">
      <c r="A751" t="s">
        <v>450</v>
      </c>
      <c r="B751" t="s">
        <v>18</v>
      </c>
      <c r="C751" t="s">
        <v>3036</v>
      </c>
      <c r="D751" t="s">
        <v>3037</v>
      </c>
      <c r="E751" t="s">
        <v>68</v>
      </c>
      <c r="F751" t="s">
        <v>3038</v>
      </c>
      <c r="G751" t="s">
        <v>3039</v>
      </c>
      <c r="H751" t="s">
        <v>986</v>
      </c>
      <c r="I751" s="1">
        <v>45450</v>
      </c>
      <c r="J751" t="s">
        <v>1461</v>
      </c>
      <c r="K751">
        <v>62</v>
      </c>
      <c r="L751">
        <v>79</v>
      </c>
      <c r="M751">
        <v>95</v>
      </c>
      <c r="N751" t="s">
        <v>355</v>
      </c>
      <c r="O751">
        <v>34</v>
      </c>
      <c r="P751">
        <v>12</v>
      </c>
      <c r="Q751" s="3">
        <v>0.18</v>
      </c>
    </row>
    <row r="752" spans="1:17" x14ac:dyDescent="0.35">
      <c r="A752" t="s">
        <v>326</v>
      </c>
      <c r="B752" t="s">
        <v>18</v>
      </c>
      <c r="C752" t="s">
        <v>714</v>
      </c>
      <c r="D752" t="s">
        <v>3040</v>
      </c>
      <c r="E752" t="s">
        <v>21</v>
      </c>
      <c r="F752" t="s">
        <v>3041</v>
      </c>
      <c r="G752" t="s">
        <v>3042</v>
      </c>
      <c r="H752" t="s">
        <v>986</v>
      </c>
      <c r="I752" s="1">
        <v>45601</v>
      </c>
      <c r="J752" s="1">
        <v>45449</v>
      </c>
      <c r="K752">
        <v>55</v>
      </c>
      <c r="L752">
        <v>96</v>
      </c>
      <c r="M752">
        <v>40</v>
      </c>
      <c r="N752" t="s">
        <v>73</v>
      </c>
      <c r="O752">
        <v>23</v>
      </c>
      <c r="P752">
        <v>47</v>
      </c>
      <c r="Q752" s="3">
        <v>0.65</v>
      </c>
    </row>
    <row r="753" spans="1:17" x14ac:dyDescent="0.35">
      <c r="A753" t="s">
        <v>718</v>
      </c>
      <c r="B753" t="s">
        <v>65</v>
      </c>
      <c r="C753" t="s">
        <v>723</v>
      </c>
      <c r="D753" t="s">
        <v>3043</v>
      </c>
      <c r="E753" t="s">
        <v>30</v>
      </c>
      <c r="F753" t="s">
        <v>3044</v>
      </c>
      <c r="G753" t="s">
        <v>3045</v>
      </c>
      <c r="H753" t="s">
        <v>1471</v>
      </c>
      <c r="I753" t="s">
        <v>1141</v>
      </c>
      <c r="J753" t="s">
        <v>958</v>
      </c>
      <c r="K753">
        <v>47</v>
      </c>
      <c r="L753">
        <v>7</v>
      </c>
      <c r="M753">
        <v>63</v>
      </c>
      <c r="N753" t="s">
        <v>34</v>
      </c>
      <c r="O753">
        <v>29</v>
      </c>
      <c r="P753">
        <v>20</v>
      </c>
      <c r="Q753" s="3">
        <v>-1.04</v>
      </c>
    </row>
    <row r="754" spans="1:17" x14ac:dyDescent="0.35">
      <c r="A754" t="s">
        <v>1008</v>
      </c>
      <c r="B754" t="s">
        <v>18</v>
      </c>
      <c r="C754" t="s">
        <v>3046</v>
      </c>
      <c r="D754" t="s">
        <v>3047</v>
      </c>
      <c r="E754" t="s">
        <v>30</v>
      </c>
      <c r="F754" t="s">
        <v>3048</v>
      </c>
      <c r="G754" t="s">
        <v>3049</v>
      </c>
      <c r="H754" t="s">
        <v>1471</v>
      </c>
      <c r="I754" s="1">
        <v>45778</v>
      </c>
      <c r="J754" t="s">
        <v>1125</v>
      </c>
      <c r="K754">
        <v>12</v>
      </c>
      <c r="L754">
        <v>28</v>
      </c>
      <c r="M754">
        <v>11</v>
      </c>
      <c r="N754" t="s">
        <v>153</v>
      </c>
      <c r="O754">
        <v>46</v>
      </c>
      <c r="P754">
        <v>88</v>
      </c>
      <c r="Q754" s="3">
        <v>0.31</v>
      </c>
    </row>
    <row r="755" spans="1:17" x14ac:dyDescent="0.35">
      <c r="A755" t="s">
        <v>1003</v>
      </c>
      <c r="B755" t="s">
        <v>18</v>
      </c>
      <c r="C755" t="s">
        <v>2771</v>
      </c>
      <c r="D755" t="s">
        <v>3050</v>
      </c>
      <c r="E755" t="s">
        <v>21</v>
      </c>
      <c r="F755" t="s">
        <v>3051</v>
      </c>
      <c r="G755" t="s">
        <v>3052</v>
      </c>
      <c r="H755" t="s">
        <v>1471</v>
      </c>
      <c r="I755" s="1">
        <v>45332</v>
      </c>
      <c r="J755" t="s">
        <v>941</v>
      </c>
      <c r="K755">
        <v>84</v>
      </c>
      <c r="L755">
        <v>46</v>
      </c>
      <c r="M755">
        <v>80</v>
      </c>
      <c r="N755" t="s">
        <v>282</v>
      </c>
      <c r="O755">
        <v>66</v>
      </c>
      <c r="P755">
        <v>84</v>
      </c>
      <c r="Q755" s="3">
        <v>-0.91</v>
      </c>
    </row>
    <row r="756" spans="1:17" x14ac:dyDescent="0.35">
      <c r="A756" t="s">
        <v>1201</v>
      </c>
      <c r="B756" t="s">
        <v>18</v>
      </c>
      <c r="C756" t="s">
        <v>1874</v>
      </c>
      <c r="D756" t="s">
        <v>3053</v>
      </c>
      <c r="E756" t="s">
        <v>68</v>
      </c>
      <c r="F756" t="s">
        <v>3054</v>
      </c>
      <c r="G756" t="s">
        <v>3055</v>
      </c>
      <c r="H756" t="s">
        <v>33</v>
      </c>
      <c r="I756" t="s">
        <v>822</v>
      </c>
      <c r="J756" s="1">
        <v>45478</v>
      </c>
      <c r="K756">
        <v>47</v>
      </c>
      <c r="L756">
        <v>63</v>
      </c>
      <c r="M756">
        <v>86</v>
      </c>
      <c r="N756" t="s">
        <v>121</v>
      </c>
      <c r="O756">
        <v>76</v>
      </c>
      <c r="P756">
        <v>29</v>
      </c>
      <c r="Q756" s="3">
        <v>-0.27</v>
      </c>
    </row>
    <row r="757" spans="1:17" x14ac:dyDescent="0.35">
      <c r="A757" t="s">
        <v>532</v>
      </c>
      <c r="B757" t="s">
        <v>75</v>
      </c>
      <c r="C757" t="s">
        <v>1153</v>
      </c>
      <c r="D757" t="s">
        <v>3056</v>
      </c>
      <c r="E757" t="s">
        <v>68</v>
      </c>
      <c r="F757" t="s">
        <v>3057</v>
      </c>
      <c r="G757" t="s">
        <v>3058</v>
      </c>
      <c r="H757" t="s">
        <v>56</v>
      </c>
      <c r="I757" t="s">
        <v>1149</v>
      </c>
      <c r="J757" s="1">
        <v>45387</v>
      </c>
      <c r="K757">
        <v>87</v>
      </c>
      <c r="L757">
        <v>24</v>
      </c>
      <c r="M757">
        <v>66</v>
      </c>
      <c r="N757" t="s">
        <v>537</v>
      </c>
      <c r="O757">
        <v>22</v>
      </c>
      <c r="P757">
        <v>34</v>
      </c>
      <c r="Q757" s="3">
        <v>0.62</v>
      </c>
    </row>
    <row r="758" spans="1:17" x14ac:dyDescent="0.35">
      <c r="A758" t="s">
        <v>596</v>
      </c>
      <c r="B758" t="s">
        <v>18</v>
      </c>
      <c r="C758" t="s">
        <v>866</v>
      </c>
      <c r="D758" t="s">
        <v>3059</v>
      </c>
      <c r="E758" t="s">
        <v>30</v>
      </c>
      <c r="F758" t="s">
        <v>3060</v>
      </c>
      <c r="G758" t="s">
        <v>3061</v>
      </c>
      <c r="H758" t="s">
        <v>561</v>
      </c>
      <c r="I758" t="s">
        <v>72</v>
      </c>
      <c r="J758" t="s">
        <v>958</v>
      </c>
      <c r="K758">
        <v>47</v>
      </c>
      <c r="L758">
        <v>72</v>
      </c>
      <c r="M758">
        <v>73</v>
      </c>
      <c r="N758" t="s">
        <v>121</v>
      </c>
      <c r="O758">
        <v>93</v>
      </c>
      <c r="P758">
        <v>27</v>
      </c>
      <c r="Q758" s="3">
        <v>-0.55000000000000004</v>
      </c>
    </row>
    <row r="759" spans="1:17" x14ac:dyDescent="0.35">
      <c r="A759" t="s">
        <v>872</v>
      </c>
      <c r="B759" t="s">
        <v>18</v>
      </c>
      <c r="C759" t="s">
        <v>1009</v>
      </c>
      <c r="D759" t="s">
        <v>3062</v>
      </c>
      <c r="E759" t="s">
        <v>68</v>
      </c>
      <c r="F759" t="s">
        <v>3063</v>
      </c>
      <c r="G759" t="s">
        <v>3064</v>
      </c>
      <c r="H759" t="s">
        <v>870</v>
      </c>
      <c r="I759" s="1">
        <v>45478</v>
      </c>
      <c r="J759" t="s">
        <v>1869</v>
      </c>
      <c r="K759">
        <v>61</v>
      </c>
      <c r="L759">
        <v>17</v>
      </c>
      <c r="M759">
        <v>69</v>
      </c>
      <c r="N759" t="s">
        <v>3065</v>
      </c>
      <c r="O759">
        <v>31</v>
      </c>
      <c r="P759">
        <v>29</v>
      </c>
      <c r="Q759" s="3">
        <v>0.71</v>
      </c>
    </row>
    <row r="760" spans="1:17" x14ac:dyDescent="0.35">
      <c r="A760" t="s">
        <v>591</v>
      </c>
      <c r="B760" t="s">
        <v>36</v>
      </c>
      <c r="C760" t="s">
        <v>1657</v>
      </c>
      <c r="D760" t="s">
        <v>3066</v>
      </c>
      <c r="E760" t="s">
        <v>21</v>
      </c>
      <c r="F760" t="s">
        <v>3067</v>
      </c>
      <c r="G760" t="s">
        <v>3068</v>
      </c>
      <c r="H760" t="s">
        <v>1001</v>
      </c>
      <c r="I760" t="s">
        <v>555</v>
      </c>
      <c r="J760" s="1">
        <v>45421</v>
      </c>
      <c r="K760">
        <v>62</v>
      </c>
      <c r="L760">
        <v>2</v>
      </c>
      <c r="M760">
        <v>98</v>
      </c>
      <c r="N760" t="s">
        <v>153</v>
      </c>
      <c r="O760">
        <v>50</v>
      </c>
      <c r="P760">
        <v>11</v>
      </c>
      <c r="Q760" s="3">
        <v>0.06</v>
      </c>
    </row>
    <row r="761" spans="1:17" x14ac:dyDescent="0.35">
      <c r="A761" t="s">
        <v>793</v>
      </c>
      <c r="B761" t="s">
        <v>75</v>
      </c>
      <c r="C761" t="s">
        <v>1987</v>
      </c>
      <c r="D761" t="s">
        <v>3069</v>
      </c>
      <c r="E761" t="s">
        <v>68</v>
      </c>
      <c r="F761" t="s">
        <v>3070</v>
      </c>
      <c r="G761" t="s">
        <v>3071</v>
      </c>
      <c r="H761" t="s">
        <v>1001</v>
      </c>
      <c r="I761" t="s">
        <v>1726</v>
      </c>
      <c r="J761" s="1">
        <v>45296</v>
      </c>
      <c r="K761">
        <v>31</v>
      </c>
      <c r="L761">
        <v>87</v>
      </c>
      <c r="M761">
        <v>19</v>
      </c>
      <c r="N761" t="s">
        <v>798</v>
      </c>
      <c r="O761">
        <v>41</v>
      </c>
      <c r="P761">
        <v>10</v>
      </c>
      <c r="Q761" s="3">
        <v>0.78</v>
      </c>
    </row>
    <row r="762" spans="1:17" x14ac:dyDescent="0.35">
      <c r="A762" t="s">
        <v>685</v>
      </c>
      <c r="B762" t="s">
        <v>114</v>
      </c>
      <c r="C762" t="s">
        <v>2028</v>
      </c>
      <c r="D762" t="s">
        <v>3072</v>
      </c>
      <c r="E762" t="s">
        <v>30</v>
      </c>
      <c r="F762" t="s">
        <v>3073</v>
      </c>
      <c r="G762" t="s">
        <v>3074</v>
      </c>
      <c r="H762" t="s">
        <v>1001</v>
      </c>
      <c r="I762" t="s">
        <v>651</v>
      </c>
      <c r="J762" t="s">
        <v>2012</v>
      </c>
      <c r="K762">
        <v>28</v>
      </c>
      <c r="L762">
        <v>94</v>
      </c>
      <c r="M762">
        <v>80</v>
      </c>
      <c r="N762" t="s">
        <v>2800</v>
      </c>
      <c r="O762">
        <v>31</v>
      </c>
      <c r="P762">
        <v>1</v>
      </c>
      <c r="Q762" s="3">
        <v>0.76</v>
      </c>
    </row>
    <row r="763" spans="1:17" x14ac:dyDescent="0.35">
      <c r="A763" t="s">
        <v>1704</v>
      </c>
      <c r="B763" t="s">
        <v>18</v>
      </c>
      <c r="C763" t="s">
        <v>1213</v>
      </c>
      <c r="D763" t="s">
        <v>3075</v>
      </c>
      <c r="E763" t="s">
        <v>30</v>
      </c>
      <c r="F763" t="s">
        <v>3076</v>
      </c>
      <c r="G763" t="s">
        <v>3077</v>
      </c>
      <c r="H763" t="s">
        <v>1001</v>
      </c>
      <c r="I763" t="s">
        <v>176</v>
      </c>
      <c r="J763" t="s">
        <v>1296</v>
      </c>
      <c r="K763">
        <v>28</v>
      </c>
      <c r="L763">
        <v>86</v>
      </c>
      <c r="M763">
        <v>44</v>
      </c>
      <c r="N763" t="s">
        <v>82</v>
      </c>
      <c r="O763">
        <v>48</v>
      </c>
      <c r="P763">
        <v>12</v>
      </c>
      <c r="Q763" s="3">
        <v>0.97</v>
      </c>
    </row>
    <row r="764" spans="1:17" x14ac:dyDescent="0.35">
      <c r="A764" t="s">
        <v>240</v>
      </c>
      <c r="B764" t="s">
        <v>36</v>
      </c>
      <c r="C764" t="s">
        <v>37</v>
      </c>
      <c r="D764" t="s">
        <v>3078</v>
      </c>
      <c r="E764" t="s">
        <v>21</v>
      </c>
      <c r="F764" t="s">
        <v>3079</v>
      </c>
      <c r="G764" t="s">
        <v>3080</v>
      </c>
      <c r="H764" t="s">
        <v>1001</v>
      </c>
      <c r="I764" s="1">
        <v>45840</v>
      </c>
      <c r="J764" t="s">
        <v>354</v>
      </c>
      <c r="K764">
        <v>74</v>
      </c>
      <c r="L764">
        <v>90</v>
      </c>
      <c r="M764">
        <v>26</v>
      </c>
      <c r="N764" t="s">
        <v>355</v>
      </c>
      <c r="O764">
        <v>24</v>
      </c>
      <c r="P764">
        <v>11</v>
      </c>
      <c r="Q764" s="3">
        <v>0.75</v>
      </c>
    </row>
    <row r="765" spans="1:17" x14ac:dyDescent="0.35">
      <c r="A765" t="s">
        <v>148</v>
      </c>
      <c r="B765" t="s">
        <v>18</v>
      </c>
      <c r="C765" t="s">
        <v>838</v>
      </c>
      <c r="D765" t="s">
        <v>3081</v>
      </c>
      <c r="E765" t="s">
        <v>68</v>
      </c>
      <c r="F765" t="s">
        <v>3082</v>
      </c>
      <c r="G765" t="s">
        <v>3083</v>
      </c>
      <c r="H765" t="s">
        <v>1162</v>
      </c>
      <c r="I765" s="1">
        <v>45604</v>
      </c>
      <c r="J765" t="s">
        <v>837</v>
      </c>
      <c r="K765">
        <v>49</v>
      </c>
      <c r="L765">
        <v>89</v>
      </c>
      <c r="M765">
        <v>65</v>
      </c>
      <c r="N765" t="s">
        <v>153</v>
      </c>
      <c r="O765">
        <v>37</v>
      </c>
      <c r="P765">
        <v>48</v>
      </c>
      <c r="Q765" s="3">
        <v>0.54</v>
      </c>
    </row>
    <row r="766" spans="1:17" x14ac:dyDescent="0.35">
      <c r="A766" t="s">
        <v>142</v>
      </c>
      <c r="B766" t="s">
        <v>36</v>
      </c>
      <c r="C766" t="s">
        <v>3032</v>
      </c>
      <c r="D766" t="s">
        <v>3084</v>
      </c>
      <c r="E766" t="s">
        <v>21</v>
      </c>
      <c r="F766" t="s">
        <v>3085</v>
      </c>
      <c r="G766" t="s">
        <v>3086</v>
      </c>
      <c r="H766" t="s">
        <v>1162</v>
      </c>
      <c r="I766" t="s">
        <v>81</v>
      </c>
      <c r="J766" t="s">
        <v>837</v>
      </c>
      <c r="K766">
        <v>64</v>
      </c>
      <c r="L766">
        <v>95</v>
      </c>
      <c r="M766">
        <v>62</v>
      </c>
      <c r="N766" t="s">
        <v>344</v>
      </c>
      <c r="O766">
        <v>55</v>
      </c>
      <c r="P766">
        <v>1</v>
      </c>
      <c r="Q766" s="3">
        <v>-0.3</v>
      </c>
    </row>
    <row r="767" spans="1:17" x14ac:dyDescent="0.35">
      <c r="A767" t="s">
        <v>1415</v>
      </c>
      <c r="B767" t="s">
        <v>114</v>
      </c>
      <c r="C767" t="s">
        <v>2085</v>
      </c>
      <c r="D767" t="s">
        <v>3087</v>
      </c>
      <c r="E767" t="s">
        <v>30</v>
      </c>
      <c r="F767" t="s">
        <v>3088</v>
      </c>
      <c r="G767" t="s">
        <v>3089</v>
      </c>
      <c r="H767" t="s">
        <v>1661</v>
      </c>
      <c r="I767" t="s">
        <v>55</v>
      </c>
      <c r="J767" t="s">
        <v>1097</v>
      </c>
      <c r="K767">
        <v>93</v>
      </c>
      <c r="L767">
        <v>76</v>
      </c>
      <c r="M767">
        <v>82</v>
      </c>
      <c r="N767" t="s">
        <v>128</v>
      </c>
      <c r="O767">
        <v>76</v>
      </c>
      <c r="P767">
        <v>51</v>
      </c>
      <c r="Q767" s="3">
        <v>0.98</v>
      </c>
    </row>
    <row r="768" spans="1:17" x14ac:dyDescent="0.35">
      <c r="A768" t="s">
        <v>1527</v>
      </c>
      <c r="B768" t="s">
        <v>18</v>
      </c>
      <c r="C768" t="s">
        <v>1478</v>
      </c>
      <c r="D768" t="s">
        <v>3090</v>
      </c>
      <c r="E768" t="s">
        <v>30</v>
      </c>
      <c r="F768" t="s">
        <v>3091</v>
      </c>
      <c r="G768" t="s">
        <v>3092</v>
      </c>
      <c r="H768" t="s">
        <v>1661</v>
      </c>
      <c r="I768" t="s">
        <v>1001</v>
      </c>
      <c r="J768" t="s">
        <v>764</v>
      </c>
      <c r="K768">
        <v>24</v>
      </c>
      <c r="L768">
        <v>25</v>
      </c>
      <c r="M768">
        <v>52</v>
      </c>
      <c r="N768" t="s">
        <v>134</v>
      </c>
      <c r="O768">
        <v>24</v>
      </c>
      <c r="P768">
        <v>77</v>
      </c>
      <c r="Q768" s="3">
        <v>0.33</v>
      </c>
    </row>
    <row r="769" spans="1:17" x14ac:dyDescent="0.35">
      <c r="A769" t="s">
        <v>557</v>
      </c>
      <c r="B769" t="s">
        <v>18</v>
      </c>
      <c r="C769" t="s">
        <v>3093</v>
      </c>
      <c r="D769" t="s">
        <v>3094</v>
      </c>
      <c r="E769" t="s">
        <v>30</v>
      </c>
      <c r="F769" t="s">
        <v>3095</v>
      </c>
      <c r="G769" t="s">
        <v>3096</v>
      </c>
      <c r="H769" t="s">
        <v>1661</v>
      </c>
      <c r="I769" s="1">
        <v>45357</v>
      </c>
      <c r="J769" t="s">
        <v>1346</v>
      </c>
      <c r="K769">
        <v>85</v>
      </c>
      <c r="L769">
        <v>90</v>
      </c>
      <c r="M769">
        <v>16</v>
      </c>
      <c r="N769" t="s">
        <v>73</v>
      </c>
      <c r="O769">
        <v>61</v>
      </c>
      <c r="P769">
        <v>80</v>
      </c>
      <c r="Q769" s="3">
        <v>-2.21</v>
      </c>
    </row>
    <row r="770" spans="1:17" x14ac:dyDescent="0.35">
      <c r="A770" t="s">
        <v>624</v>
      </c>
      <c r="B770" t="s">
        <v>18</v>
      </c>
      <c r="C770" t="s">
        <v>1113</v>
      </c>
      <c r="D770" t="s">
        <v>3097</v>
      </c>
      <c r="E770" t="s">
        <v>68</v>
      </c>
      <c r="F770" t="s">
        <v>3098</v>
      </c>
      <c r="G770" t="s">
        <v>3099</v>
      </c>
      <c r="H770" t="s">
        <v>141</v>
      </c>
      <c r="I770" s="1">
        <v>45509</v>
      </c>
      <c r="J770" t="s">
        <v>1452</v>
      </c>
      <c r="K770">
        <v>81</v>
      </c>
      <c r="L770">
        <v>23</v>
      </c>
      <c r="M770">
        <v>17</v>
      </c>
      <c r="N770" t="s">
        <v>2361</v>
      </c>
      <c r="O770">
        <v>92</v>
      </c>
      <c r="P770">
        <v>78</v>
      </c>
      <c r="Q770" s="3">
        <v>-0.31</v>
      </c>
    </row>
    <row r="771" spans="1:17" x14ac:dyDescent="0.35">
      <c r="A771" t="s">
        <v>337</v>
      </c>
      <c r="B771" t="s">
        <v>27</v>
      </c>
      <c r="C771" t="s">
        <v>1298</v>
      </c>
      <c r="D771" t="s">
        <v>3100</v>
      </c>
      <c r="E771" t="s">
        <v>21</v>
      </c>
      <c r="F771" t="s">
        <v>3101</v>
      </c>
      <c r="G771" t="s">
        <v>3102</v>
      </c>
      <c r="H771" t="s">
        <v>301</v>
      </c>
      <c r="I771" s="1">
        <v>45417</v>
      </c>
      <c r="J771" t="s">
        <v>336</v>
      </c>
      <c r="K771">
        <v>52</v>
      </c>
      <c r="L771">
        <v>88</v>
      </c>
      <c r="M771">
        <v>55</v>
      </c>
      <c r="N771" t="s">
        <v>344</v>
      </c>
      <c r="O771">
        <v>100</v>
      </c>
      <c r="P771">
        <v>46</v>
      </c>
      <c r="Q771" s="3">
        <v>0.15</v>
      </c>
    </row>
    <row r="772" spans="1:17" x14ac:dyDescent="0.35">
      <c r="A772" t="s">
        <v>727</v>
      </c>
      <c r="B772" t="s">
        <v>36</v>
      </c>
      <c r="C772" t="s">
        <v>1624</v>
      </c>
      <c r="D772" t="s">
        <v>3103</v>
      </c>
      <c r="E772" t="s">
        <v>68</v>
      </c>
      <c r="F772" t="s">
        <v>3104</v>
      </c>
      <c r="G772" t="s">
        <v>3105</v>
      </c>
      <c r="H772" t="s">
        <v>301</v>
      </c>
      <c r="I772" s="1">
        <v>45453</v>
      </c>
      <c r="J772" t="s">
        <v>768</v>
      </c>
      <c r="K772">
        <v>78</v>
      </c>
      <c r="L772">
        <v>61</v>
      </c>
      <c r="M772">
        <v>6</v>
      </c>
      <c r="N772" t="s">
        <v>733</v>
      </c>
      <c r="O772">
        <v>49</v>
      </c>
      <c r="P772">
        <v>60</v>
      </c>
      <c r="Q772" s="3">
        <v>0.54</v>
      </c>
    </row>
    <row r="773" spans="1:17" x14ac:dyDescent="0.35">
      <c r="A773" t="s">
        <v>74</v>
      </c>
      <c r="B773" t="s">
        <v>75</v>
      </c>
      <c r="C773" t="s">
        <v>1653</v>
      </c>
      <c r="D773" t="s">
        <v>3106</v>
      </c>
      <c r="E773" t="s">
        <v>21</v>
      </c>
      <c r="F773" t="s">
        <v>3107</v>
      </c>
      <c r="G773" t="s">
        <v>3108</v>
      </c>
      <c r="H773" t="s">
        <v>301</v>
      </c>
      <c r="I773" s="1">
        <v>45569</v>
      </c>
      <c r="J773" t="s">
        <v>1038</v>
      </c>
      <c r="K773">
        <v>44</v>
      </c>
      <c r="L773">
        <v>97</v>
      </c>
      <c r="M773">
        <v>76</v>
      </c>
      <c r="N773" t="s">
        <v>82</v>
      </c>
      <c r="O773">
        <v>80</v>
      </c>
      <c r="P773">
        <v>33</v>
      </c>
      <c r="Q773" s="3">
        <v>-0.22</v>
      </c>
    </row>
    <row r="774" spans="1:17" x14ac:dyDescent="0.35">
      <c r="A774" t="s">
        <v>228</v>
      </c>
      <c r="B774" t="s">
        <v>18</v>
      </c>
      <c r="C774" t="s">
        <v>1009</v>
      </c>
      <c r="D774" t="s">
        <v>3109</v>
      </c>
      <c r="E774" t="s">
        <v>21</v>
      </c>
      <c r="F774" t="s">
        <v>3110</v>
      </c>
      <c r="G774" t="s">
        <v>3111</v>
      </c>
      <c r="H774" t="s">
        <v>301</v>
      </c>
      <c r="I774" s="1">
        <v>45356</v>
      </c>
      <c r="J774" t="s">
        <v>3112</v>
      </c>
      <c r="K774">
        <v>38</v>
      </c>
      <c r="L774">
        <v>94</v>
      </c>
      <c r="M774">
        <v>87</v>
      </c>
      <c r="N774" t="s">
        <v>235</v>
      </c>
      <c r="O774">
        <v>89</v>
      </c>
      <c r="P774">
        <v>100</v>
      </c>
      <c r="Q774" s="3">
        <v>0.59</v>
      </c>
    </row>
    <row r="775" spans="1:17" x14ac:dyDescent="0.35">
      <c r="A775" t="s">
        <v>2946</v>
      </c>
      <c r="B775" t="s">
        <v>65</v>
      </c>
      <c r="C775" t="s">
        <v>513</v>
      </c>
      <c r="D775" t="s">
        <v>3113</v>
      </c>
      <c r="E775" t="s">
        <v>30</v>
      </c>
      <c r="F775" t="s">
        <v>3114</v>
      </c>
      <c r="G775" t="s">
        <v>3115</v>
      </c>
      <c r="H775" t="s">
        <v>526</v>
      </c>
      <c r="I775" t="s">
        <v>1092</v>
      </c>
      <c r="J775" t="s">
        <v>566</v>
      </c>
      <c r="K775">
        <v>31</v>
      </c>
      <c r="L775">
        <v>43</v>
      </c>
      <c r="M775">
        <v>80</v>
      </c>
      <c r="N775" t="s">
        <v>49</v>
      </c>
      <c r="O775">
        <v>46</v>
      </c>
      <c r="P775">
        <v>78</v>
      </c>
      <c r="Q775" s="3">
        <v>-0.12</v>
      </c>
    </row>
    <row r="776" spans="1:17" x14ac:dyDescent="0.35">
      <c r="A776" t="s">
        <v>842</v>
      </c>
      <c r="B776" t="s">
        <v>75</v>
      </c>
      <c r="C776" t="s">
        <v>647</v>
      </c>
      <c r="D776" t="s">
        <v>3116</v>
      </c>
      <c r="E776" t="s">
        <v>21</v>
      </c>
      <c r="F776" t="s">
        <v>3117</v>
      </c>
      <c r="G776" t="s">
        <v>3118</v>
      </c>
      <c r="H776" t="s">
        <v>526</v>
      </c>
      <c r="I776" t="s">
        <v>629</v>
      </c>
      <c r="J776" t="s">
        <v>850</v>
      </c>
      <c r="K776">
        <v>46</v>
      </c>
      <c r="L776">
        <v>28</v>
      </c>
      <c r="M776">
        <v>73</v>
      </c>
      <c r="N776" t="s">
        <v>88</v>
      </c>
      <c r="O776">
        <v>65</v>
      </c>
      <c r="P776">
        <v>57</v>
      </c>
      <c r="Q776" s="3">
        <v>-0.7</v>
      </c>
    </row>
    <row r="777" spans="1:17" x14ac:dyDescent="0.35">
      <c r="A777" t="s">
        <v>96</v>
      </c>
      <c r="B777" t="s">
        <v>36</v>
      </c>
      <c r="C777" t="s">
        <v>2572</v>
      </c>
      <c r="D777" t="s">
        <v>3119</v>
      </c>
      <c r="E777" t="s">
        <v>68</v>
      </c>
      <c r="F777" t="s">
        <v>3120</v>
      </c>
      <c r="G777" t="s">
        <v>3121</v>
      </c>
      <c r="H777" t="s">
        <v>526</v>
      </c>
      <c r="I777" t="s">
        <v>2750</v>
      </c>
      <c r="J777" t="s">
        <v>281</v>
      </c>
      <c r="K777">
        <v>88</v>
      </c>
      <c r="L777">
        <v>74</v>
      </c>
      <c r="M777">
        <v>97</v>
      </c>
      <c r="N777" t="s">
        <v>88</v>
      </c>
      <c r="O777">
        <v>79</v>
      </c>
      <c r="P777">
        <v>5</v>
      </c>
      <c r="Q777" s="3">
        <v>0.12</v>
      </c>
    </row>
    <row r="778" spans="1:17" x14ac:dyDescent="0.35">
      <c r="A778" t="s">
        <v>2946</v>
      </c>
      <c r="B778" t="s">
        <v>65</v>
      </c>
      <c r="C778" t="s">
        <v>1302</v>
      </c>
      <c r="D778" t="s">
        <v>3122</v>
      </c>
      <c r="E778" t="s">
        <v>21</v>
      </c>
      <c r="F778" t="s">
        <v>3123</v>
      </c>
      <c r="G778" t="s">
        <v>3124</v>
      </c>
      <c r="H778" t="s">
        <v>526</v>
      </c>
      <c r="I778" t="s">
        <v>245</v>
      </c>
      <c r="J778" t="s">
        <v>80</v>
      </c>
      <c r="K778">
        <v>90</v>
      </c>
      <c r="L778">
        <v>75</v>
      </c>
      <c r="M778">
        <v>43</v>
      </c>
      <c r="N778" t="s">
        <v>49</v>
      </c>
      <c r="O778">
        <v>80</v>
      </c>
      <c r="P778">
        <v>57</v>
      </c>
      <c r="Q778" s="3">
        <v>0.94</v>
      </c>
    </row>
    <row r="779" spans="1:17" x14ac:dyDescent="0.35">
      <c r="A779" t="s">
        <v>1307</v>
      </c>
      <c r="B779" t="s">
        <v>163</v>
      </c>
      <c r="C779" t="s">
        <v>2023</v>
      </c>
      <c r="D779" t="s">
        <v>3125</v>
      </c>
      <c r="E779" t="s">
        <v>21</v>
      </c>
      <c r="F779" t="s">
        <v>3126</v>
      </c>
      <c r="G779" t="s">
        <v>3127</v>
      </c>
      <c r="H779" t="s">
        <v>526</v>
      </c>
      <c r="I779" t="s">
        <v>879</v>
      </c>
      <c r="J779" t="s">
        <v>494</v>
      </c>
      <c r="K779">
        <v>64</v>
      </c>
      <c r="L779">
        <v>66</v>
      </c>
      <c r="M779">
        <v>28</v>
      </c>
      <c r="N779" t="s">
        <v>798</v>
      </c>
      <c r="O779">
        <v>25</v>
      </c>
      <c r="P779">
        <v>52</v>
      </c>
      <c r="Q779" s="3">
        <v>0.28999999999999998</v>
      </c>
    </row>
    <row r="780" spans="1:17" x14ac:dyDescent="0.35">
      <c r="A780" t="s">
        <v>162</v>
      </c>
      <c r="B780" t="s">
        <v>163</v>
      </c>
      <c r="C780" t="s">
        <v>3036</v>
      </c>
      <c r="D780" t="s">
        <v>3128</v>
      </c>
      <c r="E780" t="s">
        <v>68</v>
      </c>
      <c r="F780" t="s">
        <v>3129</v>
      </c>
      <c r="G780" t="s">
        <v>3130</v>
      </c>
      <c r="H780" t="s">
        <v>168</v>
      </c>
      <c r="I780" s="1">
        <v>45515</v>
      </c>
      <c r="J780" s="1">
        <v>45417</v>
      </c>
      <c r="K780">
        <v>55</v>
      </c>
      <c r="L780">
        <v>93</v>
      </c>
      <c r="M780">
        <v>84</v>
      </c>
      <c r="N780" t="s">
        <v>169</v>
      </c>
      <c r="O780">
        <v>46</v>
      </c>
      <c r="P780">
        <v>84</v>
      </c>
      <c r="Q780" s="3">
        <v>-1.08</v>
      </c>
    </row>
    <row r="781" spans="1:17" x14ac:dyDescent="0.35">
      <c r="A781" t="s">
        <v>1196</v>
      </c>
      <c r="B781" t="s">
        <v>75</v>
      </c>
      <c r="C781" t="s">
        <v>1829</v>
      </c>
      <c r="D781" t="s">
        <v>3131</v>
      </c>
      <c r="E781" t="s">
        <v>21</v>
      </c>
      <c r="F781" t="s">
        <v>3132</v>
      </c>
      <c r="G781" t="s">
        <v>3133</v>
      </c>
      <c r="H781" t="s">
        <v>168</v>
      </c>
      <c r="I781" s="1">
        <v>45544</v>
      </c>
      <c r="J781" t="s">
        <v>94</v>
      </c>
      <c r="K781">
        <v>88</v>
      </c>
      <c r="L781">
        <v>83</v>
      </c>
      <c r="M781">
        <v>42</v>
      </c>
      <c r="N781" t="s">
        <v>713</v>
      </c>
      <c r="O781">
        <v>61</v>
      </c>
      <c r="P781">
        <v>59</v>
      </c>
      <c r="Q781" s="3">
        <v>-0.83</v>
      </c>
    </row>
    <row r="782" spans="1:17" x14ac:dyDescent="0.35">
      <c r="A782" t="s">
        <v>270</v>
      </c>
      <c r="B782" t="s">
        <v>36</v>
      </c>
      <c r="C782" t="s">
        <v>1547</v>
      </c>
      <c r="D782" t="s">
        <v>3134</v>
      </c>
      <c r="E782" t="s">
        <v>30</v>
      </c>
      <c r="F782" t="s">
        <v>3135</v>
      </c>
      <c r="G782" t="s">
        <v>3136</v>
      </c>
      <c r="H782" t="s">
        <v>168</v>
      </c>
      <c r="I782" s="1">
        <v>45362</v>
      </c>
      <c r="J782" s="1">
        <v>45447</v>
      </c>
      <c r="K782">
        <v>29</v>
      </c>
      <c r="L782">
        <v>39</v>
      </c>
      <c r="M782">
        <v>80</v>
      </c>
      <c r="N782" t="s">
        <v>121</v>
      </c>
      <c r="O782">
        <v>23</v>
      </c>
      <c r="P782">
        <v>85</v>
      </c>
      <c r="Q782" s="3">
        <v>0.03</v>
      </c>
    </row>
    <row r="783" spans="1:17" x14ac:dyDescent="0.35">
      <c r="A783" t="s">
        <v>148</v>
      </c>
      <c r="B783" t="s">
        <v>18</v>
      </c>
      <c r="C783" t="s">
        <v>409</v>
      </c>
      <c r="D783" t="s">
        <v>3137</v>
      </c>
      <c r="E783" t="s">
        <v>21</v>
      </c>
      <c r="F783" t="s">
        <v>3138</v>
      </c>
      <c r="G783" t="s">
        <v>3139</v>
      </c>
      <c r="H783" t="s">
        <v>566</v>
      </c>
      <c r="I783" t="s">
        <v>986</v>
      </c>
      <c r="J783" s="1">
        <v>45420</v>
      </c>
      <c r="K783">
        <v>31</v>
      </c>
      <c r="L783">
        <v>44</v>
      </c>
      <c r="M783">
        <v>9</v>
      </c>
      <c r="N783" t="s">
        <v>153</v>
      </c>
      <c r="O783">
        <v>46</v>
      </c>
      <c r="P783">
        <v>9</v>
      </c>
      <c r="Q783" s="3">
        <v>-2.7</v>
      </c>
    </row>
    <row r="784" spans="1:17" x14ac:dyDescent="0.35">
      <c r="A784" t="s">
        <v>1623</v>
      </c>
      <c r="B784" t="s">
        <v>36</v>
      </c>
      <c r="C784" t="s">
        <v>3140</v>
      </c>
      <c r="D784" t="s">
        <v>3141</v>
      </c>
      <c r="E784" t="s">
        <v>21</v>
      </c>
      <c r="F784" t="s">
        <v>3142</v>
      </c>
      <c r="G784" t="s">
        <v>3143</v>
      </c>
      <c r="H784" t="s">
        <v>566</v>
      </c>
      <c r="I784" t="s">
        <v>1318</v>
      </c>
      <c r="J784" t="s">
        <v>393</v>
      </c>
      <c r="K784">
        <v>63</v>
      </c>
      <c r="L784">
        <v>48</v>
      </c>
      <c r="M784">
        <v>22</v>
      </c>
      <c r="N784" t="s">
        <v>121</v>
      </c>
      <c r="O784">
        <v>21</v>
      </c>
      <c r="P784">
        <v>90</v>
      </c>
      <c r="Q784" s="3">
        <v>0.8</v>
      </c>
    </row>
    <row r="785" spans="1:17" x14ac:dyDescent="0.35">
      <c r="A785" t="s">
        <v>17</v>
      </c>
      <c r="B785" t="s">
        <v>18</v>
      </c>
      <c r="C785" t="s">
        <v>3144</v>
      </c>
      <c r="D785" t="s">
        <v>3145</v>
      </c>
      <c r="E785" t="s">
        <v>21</v>
      </c>
      <c r="F785" t="s">
        <v>3146</v>
      </c>
      <c r="G785" t="s">
        <v>3147</v>
      </c>
      <c r="H785" t="s">
        <v>566</v>
      </c>
      <c r="I785" s="1">
        <v>45541</v>
      </c>
      <c r="J785" t="s">
        <v>489</v>
      </c>
      <c r="K785">
        <v>75</v>
      </c>
      <c r="L785">
        <v>85</v>
      </c>
      <c r="M785">
        <v>27</v>
      </c>
      <c r="N785" t="s">
        <v>134</v>
      </c>
      <c r="O785">
        <v>26</v>
      </c>
      <c r="P785">
        <v>68</v>
      </c>
      <c r="Q785" s="3">
        <v>-3.29</v>
      </c>
    </row>
    <row r="786" spans="1:17" x14ac:dyDescent="0.35">
      <c r="A786" t="s">
        <v>122</v>
      </c>
      <c r="B786" t="s">
        <v>18</v>
      </c>
      <c r="C786" t="s">
        <v>213</v>
      </c>
      <c r="D786" t="s">
        <v>3148</v>
      </c>
      <c r="E786" t="s">
        <v>30</v>
      </c>
      <c r="F786" t="s">
        <v>3149</v>
      </c>
      <c r="G786" t="s">
        <v>3150</v>
      </c>
      <c r="H786" t="s">
        <v>566</v>
      </c>
      <c r="I786" t="s">
        <v>294</v>
      </c>
      <c r="J786" t="s">
        <v>1790</v>
      </c>
      <c r="K786">
        <v>63</v>
      </c>
      <c r="L786">
        <v>62</v>
      </c>
      <c r="M786">
        <v>98</v>
      </c>
      <c r="N786" t="s">
        <v>128</v>
      </c>
      <c r="O786">
        <v>62</v>
      </c>
      <c r="P786">
        <v>45</v>
      </c>
      <c r="Q786" s="3">
        <v>-1.62</v>
      </c>
    </row>
    <row r="787" spans="1:17" x14ac:dyDescent="0.35">
      <c r="A787" t="s">
        <v>557</v>
      </c>
      <c r="B787" t="s">
        <v>18</v>
      </c>
      <c r="C787" t="s">
        <v>2489</v>
      </c>
      <c r="D787" t="s">
        <v>3151</v>
      </c>
      <c r="E787" t="s">
        <v>30</v>
      </c>
      <c r="F787" t="s">
        <v>3152</v>
      </c>
      <c r="G787" t="s">
        <v>3153</v>
      </c>
      <c r="H787" t="s">
        <v>566</v>
      </c>
      <c r="I787" t="s">
        <v>1324</v>
      </c>
      <c r="J787" t="s">
        <v>879</v>
      </c>
      <c r="K787">
        <v>32</v>
      </c>
      <c r="L787">
        <v>27</v>
      </c>
      <c r="M787">
        <v>26</v>
      </c>
      <c r="N787" t="s">
        <v>73</v>
      </c>
      <c r="O787">
        <v>38</v>
      </c>
      <c r="P787">
        <v>79</v>
      </c>
      <c r="Q787" s="3">
        <v>0.27</v>
      </c>
    </row>
    <row r="788" spans="1:17" x14ac:dyDescent="0.35">
      <c r="A788" t="s">
        <v>718</v>
      </c>
      <c r="B788" t="s">
        <v>65</v>
      </c>
      <c r="C788" t="s">
        <v>1088</v>
      </c>
      <c r="D788" t="s">
        <v>3154</v>
      </c>
      <c r="E788" t="s">
        <v>30</v>
      </c>
      <c r="F788" t="s">
        <v>3155</v>
      </c>
      <c r="G788" t="s">
        <v>3156</v>
      </c>
      <c r="H788" t="s">
        <v>2750</v>
      </c>
      <c r="I788" s="1">
        <v>45871</v>
      </c>
      <c r="J788" t="s">
        <v>812</v>
      </c>
      <c r="K788">
        <v>65</v>
      </c>
      <c r="L788">
        <v>61</v>
      </c>
      <c r="M788">
        <v>82</v>
      </c>
      <c r="N788" t="s">
        <v>34</v>
      </c>
      <c r="O788">
        <v>29</v>
      </c>
      <c r="P788">
        <v>11</v>
      </c>
      <c r="Q788" s="3">
        <v>-1.08</v>
      </c>
    </row>
    <row r="789" spans="1:17" x14ac:dyDescent="0.35">
      <c r="A789" t="s">
        <v>122</v>
      </c>
      <c r="B789" t="s">
        <v>18</v>
      </c>
      <c r="C789" t="s">
        <v>672</v>
      </c>
      <c r="D789" t="s">
        <v>3157</v>
      </c>
      <c r="E789" t="s">
        <v>21</v>
      </c>
      <c r="F789" t="s">
        <v>3158</v>
      </c>
      <c r="G789" t="s">
        <v>3159</v>
      </c>
      <c r="H789" t="s">
        <v>342</v>
      </c>
      <c r="I789" s="1">
        <v>45303</v>
      </c>
      <c r="J789" s="1">
        <v>45390</v>
      </c>
      <c r="K789">
        <v>57</v>
      </c>
      <c r="L789">
        <v>43</v>
      </c>
      <c r="M789">
        <v>46</v>
      </c>
      <c r="N789" t="s">
        <v>128</v>
      </c>
      <c r="O789">
        <v>87</v>
      </c>
      <c r="P789">
        <v>88</v>
      </c>
      <c r="Q789" s="3">
        <v>0.62</v>
      </c>
    </row>
    <row r="790" spans="1:17" x14ac:dyDescent="0.35">
      <c r="A790" t="s">
        <v>122</v>
      </c>
      <c r="B790" t="s">
        <v>18</v>
      </c>
      <c r="C790" t="s">
        <v>2028</v>
      </c>
      <c r="D790" t="s">
        <v>3160</v>
      </c>
      <c r="E790" t="s">
        <v>68</v>
      </c>
      <c r="F790" t="s">
        <v>3161</v>
      </c>
      <c r="G790" t="s">
        <v>3162</v>
      </c>
      <c r="H790" t="s">
        <v>897</v>
      </c>
      <c r="I790" t="s">
        <v>306</v>
      </c>
      <c r="J790" t="s">
        <v>264</v>
      </c>
      <c r="K790">
        <v>57</v>
      </c>
      <c r="L790">
        <v>25</v>
      </c>
      <c r="M790">
        <v>98</v>
      </c>
      <c r="N790" t="s">
        <v>128</v>
      </c>
      <c r="O790">
        <v>78</v>
      </c>
      <c r="P790">
        <v>37</v>
      </c>
      <c r="Q790" s="3">
        <v>-0.01</v>
      </c>
    </row>
    <row r="791" spans="1:17" x14ac:dyDescent="0.35">
      <c r="A791" t="s">
        <v>1030</v>
      </c>
      <c r="B791" t="s">
        <v>114</v>
      </c>
      <c r="C791" t="s">
        <v>1870</v>
      </c>
      <c r="D791" t="s">
        <v>3163</v>
      </c>
      <c r="E791" t="s">
        <v>30</v>
      </c>
      <c r="F791" t="s">
        <v>3164</v>
      </c>
      <c r="G791" t="s">
        <v>3165</v>
      </c>
      <c r="H791" t="s">
        <v>897</v>
      </c>
      <c r="I791" s="1">
        <v>45422</v>
      </c>
      <c r="J791" t="s">
        <v>187</v>
      </c>
      <c r="K791">
        <v>38</v>
      </c>
      <c r="L791">
        <v>37</v>
      </c>
      <c r="M791">
        <v>27</v>
      </c>
      <c r="N791" t="s">
        <v>282</v>
      </c>
      <c r="O791">
        <v>45</v>
      </c>
      <c r="P791">
        <v>88</v>
      </c>
      <c r="Q791" s="3">
        <v>0.53</v>
      </c>
    </row>
    <row r="792" spans="1:17" x14ac:dyDescent="0.35">
      <c r="A792" t="s">
        <v>89</v>
      </c>
      <c r="B792" t="s">
        <v>36</v>
      </c>
      <c r="C792" t="s">
        <v>1084</v>
      </c>
      <c r="D792" t="s">
        <v>3166</v>
      </c>
      <c r="E792" t="s">
        <v>21</v>
      </c>
      <c r="F792" t="s">
        <v>3167</v>
      </c>
      <c r="G792" t="s">
        <v>3168</v>
      </c>
      <c r="H792" t="s">
        <v>488</v>
      </c>
      <c r="I792" t="s">
        <v>495</v>
      </c>
      <c r="J792" s="1">
        <v>45659</v>
      </c>
      <c r="K792">
        <v>59</v>
      </c>
      <c r="L792">
        <v>27</v>
      </c>
      <c r="M792">
        <v>63</v>
      </c>
      <c r="N792" t="s">
        <v>370</v>
      </c>
      <c r="O792">
        <v>92</v>
      </c>
      <c r="P792">
        <v>82</v>
      </c>
      <c r="Q792" s="3">
        <v>-0.96</v>
      </c>
    </row>
    <row r="793" spans="1:17" x14ac:dyDescent="0.35">
      <c r="A793" t="s">
        <v>596</v>
      </c>
      <c r="B793" t="s">
        <v>18</v>
      </c>
      <c r="C793" t="s">
        <v>1261</v>
      </c>
      <c r="D793" t="s">
        <v>3169</v>
      </c>
      <c r="E793" t="s">
        <v>68</v>
      </c>
      <c r="F793" t="s">
        <v>3170</v>
      </c>
      <c r="G793" t="s">
        <v>3171</v>
      </c>
      <c r="H793" t="s">
        <v>488</v>
      </c>
      <c r="I793" s="1">
        <v>45331</v>
      </c>
      <c r="J793" t="s">
        <v>233</v>
      </c>
      <c r="K793">
        <v>37</v>
      </c>
      <c r="L793">
        <v>38</v>
      </c>
      <c r="M793">
        <v>24</v>
      </c>
      <c r="N793" t="s">
        <v>121</v>
      </c>
      <c r="O793">
        <v>93</v>
      </c>
      <c r="P793">
        <v>32</v>
      </c>
      <c r="Q793" s="3">
        <v>0.11</v>
      </c>
    </row>
    <row r="794" spans="1:17" x14ac:dyDescent="0.35">
      <c r="A794" t="s">
        <v>861</v>
      </c>
      <c r="B794" t="s">
        <v>36</v>
      </c>
      <c r="C794" t="s">
        <v>44</v>
      </c>
      <c r="D794" t="s">
        <v>3172</v>
      </c>
      <c r="E794" t="s">
        <v>68</v>
      </c>
      <c r="F794" t="s">
        <v>3173</v>
      </c>
      <c r="G794" t="s">
        <v>3174</v>
      </c>
      <c r="H794" t="s">
        <v>488</v>
      </c>
      <c r="I794" s="1">
        <v>45387</v>
      </c>
      <c r="J794" t="s">
        <v>1291</v>
      </c>
      <c r="K794">
        <v>48</v>
      </c>
      <c r="L794">
        <v>12</v>
      </c>
      <c r="M794">
        <v>62</v>
      </c>
      <c r="N794" t="s">
        <v>57</v>
      </c>
      <c r="O794">
        <v>59</v>
      </c>
      <c r="P794">
        <v>23</v>
      </c>
      <c r="Q794" s="3">
        <v>0.66</v>
      </c>
    </row>
    <row r="795" spans="1:17" x14ac:dyDescent="0.35">
      <c r="A795" t="s">
        <v>1350</v>
      </c>
      <c r="B795" t="s">
        <v>114</v>
      </c>
      <c r="C795" t="s">
        <v>2817</v>
      </c>
      <c r="D795" t="s">
        <v>3175</v>
      </c>
      <c r="E795" t="s">
        <v>21</v>
      </c>
      <c r="F795" t="s">
        <v>3176</v>
      </c>
      <c r="G795" t="s">
        <v>3177</v>
      </c>
      <c r="H795" t="s">
        <v>522</v>
      </c>
      <c r="I795" t="s">
        <v>1162</v>
      </c>
      <c r="J795" t="s">
        <v>812</v>
      </c>
      <c r="K795">
        <v>33</v>
      </c>
      <c r="L795">
        <v>60</v>
      </c>
      <c r="M795">
        <v>67</v>
      </c>
      <c r="N795" t="s">
        <v>344</v>
      </c>
      <c r="O795">
        <v>20</v>
      </c>
      <c r="P795">
        <v>7</v>
      </c>
      <c r="Q795" s="3">
        <v>0.61</v>
      </c>
    </row>
    <row r="796" spans="1:17" x14ac:dyDescent="0.35">
      <c r="A796" t="s">
        <v>1234</v>
      </c>
      <c r="B796" t="s">
        <v>27</v>
      </c>
      <c r="C796" t="s">
        <v>1810</v>
      </c>
      <c r="D796" t="s">
        <v>3178</v>
      </c>
      <c r="E796" t="s">
        <v>21</v>
      </c>
      <c r="F796" t="s">
        <v>3179</v>
      </c>
      <c r="G796" t="s">
        <v>3180</v>
      </c>
      <c r="H796" t="s">
        <v>522</v>
      </c>
      <c r="I796" t="s">
        <v>168</v>
      </c>
      <c r="J796" s="1">
        <v>45690</v>
      </c>
      <c r="K796">
        <v>32</v>
      </c>
      <c r="L796">
        <v>38</v>
      </c>
      <c r="M796">
        <v>23</v>
      </c>
      <c r="N796" t="s">
        <v>128</v>
      </c>
      <c r="O796">
        <v>52</v>
      </c>
      <c r="P796">
        <v>11</v>
      </c>
      <c r="Q796" s="3">
        <v>0.65</v>
      </c>
    </row>
    <row r="797" spans="1:17" x14ac:dyDescent="0.35">
      <c r="A797" t="s">
        <v>1320</v>
      </c>
      <c r="B797" t="s">
        <v>18</v>
      </c>
      <c r="C797" t="s">
        <v>3181</v>
      </c>
      <c r="D797" t="s">
        <v>3182</v>
      </c>
      <c r="E797" t="s">
        <v>68</v>
      </c>
      <c r="F797" t="s">
        <v>3183</v>
      </c>
      <c r="G797" t="s">
        <v>3184</v>
      </c>
      <c r="H797" t="s">
        <v>522</v>
      </c>
      <c r="I797" s="1">
        <v>45508</v>
      </c>
      <c r="J797" s="1">
        <v>45297</v>
      </c>
      <c r="K797">
        <v>43</v>
      </c>
      <c r="L797">
        <v>41</v>
      </c>
      <c r="M797">
        <v>100</v>
      </c>
      <c r="N797" t="s">
        <v>798</v>
      </c>
      <c r="O797">
        <v>27</v>
      </c>
      <c r="P797">
        <v>78</v>
      </c>
      <c r="Q797" s="3">
        <v>0.79</v>
      </c>
    </row>
    <row r="798" spans="1:17" x14ac:dyDescent="0.35">
      <c r="A798" t="s">
        <v>308</v>
      </c>
      <c r="B798" t="s">
        <v>27</v>
      </c>
      <c r="C798" t="s">
        <v>1142</v>
      </c>
      <c r="D798" t="s">
        <v>3185</v>
      </c>
      <c r="E798" t="s">
        <v>68</v>
      </c>
      <c r="F798" t="s">
        <v>3186</v>
      </c>
      <c r="G798" t="s">
        <v>3187</v>
      </c>
      <c r="H798" t="s">
        <v>522</v>
      </c>
      <c r="I798" s="1">
        <v>45454</v>
      </c>
      <c r="J798" s="1">
        <v>45546</v>
      </c>
      <c r="K798">
        <v>97</v>
      </c>
      <c r="L798">
        <v>20</v>
      </c>
      <c r="M798">
        <v>8</v>
      </c>
      <c r="N798" t="s">
        <v>313</v>
      </c>
      <c r="O798">
        <v>51</v>
      </c>
      <c r="P798">
        <v>51</v>
      </c>
      <c r="Q798" s="3">
        <v>-1.89</v>
      </c>
    </row>
    <row r="799" spans="1:17" x14ac:dyDescent="0.35">
      <c r="A799" t="s">
        <v>708</v>
      </c>
      <c r="B799" t="s">
        <v>163</v>
      </c>
      <c r="C799" t="s">
        <v>1806</v>
      </c>
      <c r="D799" t="s">
        <v>3188</v>
      </c>
      <c r="E799" t="s">
        <v>30</v>
      </c>
      <c r="F799" t="s">
        <v>3189</v>
      </c>
      <c r="G799" t="s">
        <v>3190</v>
      </c>
      <c r="H799" t="s">
        <v>1869</v>
      </c>
      <c r="I799" t="s">
        <v>1097</v>
      </c>
      <c r="J799" s="1">
        <v>45749</v>
      </c>
      <c r="K799">
        <v>37</v>
      </c>
      <c r="L799">
        <v>94</v>
      </c>
      <c r="M799">
        <v>76</v>
      </c>
      <c r="N799" t="s">
        <v>713</v>
      </c>
      <c r="O799">
        <v>94</v>
      </c>
      <c r="P799">
        <v>66</v>
      </c>
      <c r="Q799" s="3">
        <v>0</v>
      </c>
    </row>
    <row r="800" spans="1:17" x14ac:dyDescent="0.35">
      <c r="A800" t="s">
        <v>1623</v>
      </c>
      <c r="B800" t="s">
        <v>36</v>
      </c>
      <c r="C800" t="s">
        <v>959</v>
      </c>
      <c r="D800" t="s">
        <v>3191</v>
      </c>
      <c r="E800" t="s">
        <v>30</v>
      </c>
      <c r="F800" t="s">
        <v>3192</v>
      </c>
      <c r="G800" t="s">
        <v>3193</v>
      </c>
      <c r="H800" t="s">
        <v>1869</v>
      </c>
      <c r="I800" t="s">
        <v>870</v>
      </c>
      <c r="J800" t="s">
        <v>803</v>
      </c>
      <c r="K800">
        <v>74</v>
      </c>
      <c r="L800">
        <v>60</v>
      </c>
      <c r="M800">
        <v>27</v>
      </c>
      <c r="N800" t="s">
        <v>121</v>
      </c>
      <c r="O800">
        <v>99</v>
      </c>
      <c r="P800">
        <v>68</v>
      </c>
      <c r="Q800" s="3">
        <v>0.3</v>
      </c>
    </row>
    <row r="801" spans="1:17" x14ac:dyDescent="0.35">
      <c r="A801" t="s">
        <v>842</v>
      </c>
      <c r="B801" t="s">
        <v>75</v>
      </c>
      <c r="C801" t="s">
        <v>620</v>
      </c>
      <c r="D801" t="s">
        <v>3194</v>
      </c>
      <c r="E801" t="s">
        <v>21</v>
      </c>
      <c r="F801" t="s">
        <v>3195</v>
      </c>
      <c r="G801" t="s">
        <v>3196</v>
      </c>
      <c r="H801" t="s">
        <v>1836</v>
      </c>
      <c r="I801" t="s">
        <v>495</v>
      </c>
      <c r="J801" t="s">
        <v>1221</v>
      </c>
      <c r="K801">
        <v>76</v>
      </c>
      <c r="L801">
        <v>57</v>
      </c>
      <c r="M801">
        <v>78</v>
      </c>
      <c r="N801" t="s">
        <v>88</v>
      </c>
      <c r="O801">
        <v>52</v>
      </c>
      <c r="P801">
        <v>86</v>
      </c>
      <c r="Q801" s="3">
        <v>0.31</v>
      </c>
    </row>
    <row r="802" spans="1:17" x14ac:dyDescent="0.35">
      <c r="A802" t="s">
        <v>861</v>
      </c>
      <c r="B802" t="s">
        <v>36</v>
      </c>
      <c r="C802" t="s">
        <v>1657</v>
      </c>
      <c r="D802" t="s">
        <v>3197</v>
      </c>
      <c r="E802" t="s">
        <v>30</v>
      </c>
      <c r="F802" t="s">
        <v>3198</v>
      </c>
      <c r="G802" t="s">
        <v>3199</v>
      </c>
      <c r="H802" t="s">
        <v>2012</v>
      </c>
      <c r="I802" s="1">
        <v>45599</v>
      </c>
      <c r="J802" t="s">
        <v>1016</v>
      </c>
      <c r="K802">
        <v>100</v>
      </c>
      <c r="L802">
        <v>21</v>
      </c>
      <c r="M802">
        <v>64</v>
      </c>
      <c r="N802" t="s">
        <v>57</v>
      </c>
      <c r="O802">
        <v>20</v>
      </c>
      <c r="P802">
        <v>13</v>
      </c>
      <c r="Q802" s="3">
        <v>-0.65</v>
      </c>
    </row>
    <row r="803" spans="1:17" x14ac:dyDescent="0.35">
      <c r="A803" t="s">
        <v>769</v>
      </c>
      <c r="B803" t="s">
        <v>36</v>
      </c>
      <c r="C803" t="s">
        <v>1841</v>
      </c>
      <c r="D803" t="s">
        <v>3200</v>
      </c>
      <c r="E803" t="s">
        <v>21</v>
      </c>
      <c r="F803" t="s">
        <v>3201</v>
      </c>
      <c r="G803" t="s">
        <v>3202</v>
      </c>
      <c r="H803" t="s">
        <v>2012</v>
      </c>
      <c r="I803" s="1">
        <v>45390</v>
      </c>
      <c r="J803" s="1">
        <v>45575</v>
      </c>
      <c r="K803">
        <v>64</v>
      </c>
      <c r="L803">
        <v>31</v>
      </c>
      <c r="M803">
        <v>91</v>
      </c>
      <c r="N803" t="s">
        <v>1584</v>
      </c>
      <c r="O803">
        <v>85</v>
      </c>
      <c r="P803">
        <v>42</v>
      </c>
      <c r="Q803" s="3">
        <v>0.35</v>
      </c>
    </row>
    <row r="804" spans="1:17" x14ac:dyDescent="0.35">
      <c r="A804" t="s">
        <v>861</v>
      </c>
      <c r="B804" t="s">
        <v>36</v>
      </c>
      <c r="C804" t="s">
        <v>3181</v>
      </c>
      <c r="D804" t="s">
        <v>3203</v>
      </c>
      <c r="E804" t="s">
        <v>68</v>
      </c>
      <c r="F804" t="s">
        <v>3204</v>
      </c>
      <c r="G804" t="s">
        <v>3205</v>
      </c>
      <c r="H804" t="s">
        <v>2012</v>
      </c>
      <c r="I804" t="s">
        <v>639</v>
      </c>
      <c r="J804" t="s">
        <v>1125</v>
      </c>
      <c r="K804">
        <v>41</v>
      </c>
      <c r="L804">
        <v>22</v>
      </c>
      <c r="M804">
        <v>11</v>
      </c>
      <c r="N804" t="s">
        <v>57</v>
      </c>
      <c r="O804">
        <v>86</v>
      </c>
      <c r="P804">
        <v>30</v>
      </c>
      <c r="Q804" s="3">
        <v>0.51</v>
      </c>
    </row>
    <row r="805" spans="1:17" x14ac:dyDescent="0.35">
      <c r="A805" t="s">
        <v>106</v>
      </c>
      <c r="B805" t="s">
        <v>18</v>
      </c>
      <c r="C805" t="s">
        <v>302</v>
      </c>
      <c r="D805" t="s">
        <v>3206</v>
      </c>
      <c r="E805" t="s">
        <v>21</v>
      </c>
      <c r="F805" t="s">
        <v>3207</v>
      </c>
      <c r="G805" t="s">
        <v>3208</v>
      </c>
      <c r="H805" t="s">
        <v>664</v>
      </c>
      <c r="I805" t="s">
        <v>264</v>
      </c>
      <c r="J805" s="1">
        <v>45483</v>
      </c>
      <c r="K805">
        <v>84</v>
      </c>
      <c r="L805">
        <v>95</v>
      </c>
      <c r="M805">
        <v>22</v>
      </c>
      <c r="N805" t="s">
        <v>3209</v>
      </c>
      <c r="O805">
        <v>48</v>
      </c>
      <c r="P805">
        <v>82</v>
      </c>
      <c r="Q805" s="3">
        <v>0.65</v>
      </c>
    </row>
    <row r="806" spans="1:17" x14ac:dyDescent="0.35">
      <c r="A806" t="s">
        <v>113</v>
      </c>
      <c r="B806" t="s">
        <v>114</v>
      </c>
      <c r="C806" t="s">
        <v>254</v>
      </c>
      <c r="D806" t="s">
        <v>3210</v>
      </c>
      <c r="E806" t="s">
        <v>21</v>
      </c>
      <c r="F806" t="s">
        <v>3211</v>
      </c>
      <c r="G806" t="s">
        <v>3212</v>
      </c>
      <c r="H806" t="s">
        <v>664</v>
      </c>
      <c r="I806" t="s">
        <v>676</v>
      </c>
      <c r="J806" t="s">
        <v>764</v>
      </c>
      <c r="K806">
        <v>61</v>
      </c>
      <c r="L806">
        <v>8</v>
      </c>
      <c r="M806">
        <v>45</v>
      </c>
      <c r="N806" t="s">
        <v>121</v>
      </c>
      <c r="O806">
        <v>73</v>
      </c>
      <c r="P806">
        <v>64</v>
      </c>
      <c r="Q806" s="3">
        <v>-0.71</v>
      </c>
    </row>
    <row r="807" spans="1:17" x14ac:dyDescent="0.35">
      <c r="A807" t="s">
        <v>331</v>
      </c>
      <c r="B807" t="s">
        <v>27</v>
      </c>
      <c r="C807" t="s">
        <v>284</v>
      </c>
      <c r="D807" t="s">
        <v>3213</v>
      </c>
      <c r="E807" t="s">
        <v>68</v>
      </c>
      <c r="F807" t="s">
        <v>3214</v>
      </c>
      <c r="G807" t="s">
        <v>3215</v>
      </c>
      <c r="H807" t="s">
        <v>664</v>
      </c>
      <c r="I807" t="s">
        <v>72</v>
      </c>
      <c r="J807" t="s">
        <v>1869</v>
      </c>
      <c r="K807">
        <v>24</v>
      </c>
      <c r="L807">
        <v>14</v>
      </c>
      <c r="M807">
        <v>5</v>
      </c>
      <c r="N807" t="s">
        <v>121</v>
      </c>
      <c r="O807">
        <v>98</v>
      </c>
      <c r="P807">
        <v>9</v>
      </c>
      <c r="Q807" s="3">
        <v>0.12</v>
      </c>
    </row>
    <row r="808" spans="1:17" x14ac:dyDescent="0.35">
      <c r="A808" t="s">
        <v>96</v>
      </c>
      <c r="B808" t="s">
        <v>36</v>
      </c>
      <c r="C808" t="s">
        <v>908</v>
      </c>
      <c r="D808" t="s">
        <v>3216</v>
      </c>
      <c r="E808" t="s">
        <v>30</v>
      </c>
      <c r="F808" t="s">
        <v>3217</v>
      </c>
      <c r="G808" t="s">
        <v>3218</v>
      </c>
      <c r="H808" t="s">
        <v>664</v>
      </c>
      <c r="I808" t="s">
        <v>33</v>
      </c>
      <c r="J808" t="s">
        <v>2202</v>
      </c>
      <c r="K808">
        <v>86</v>
      </c>
      <c r="L808">
        <v>23</v>
      </c>
      <c r="M808">
        <v>1</v>
      </c>
      <c r="N808" t="s">
        <v>88</v>
      </c>
      <c r="O808">
        <v>100</v>
      </c>
      <c r="P808">
        <v>86</v>
      </c>
      <c r="Q808" s="3">
        <v>0.91</v>
      </c>
    </row>
    <row r="809" spans="1:17" x14ac:dyDescent="0.35">
      <c r="A809" t="s">
        <v>212</v>
      </c>
      <c r="B809" t="s">
        <v>75</v>
      </c>
      <c r="C809" t="s">
        <v>3219</v>
      </c>
      <c r="D809" t="s">
        <v>3220</v>
      </c>
      <c r="E809" t="s">
        <v>30</v>
      </c>
      <c r="F809" t="s">
        <v>3221</v>
      </c>
      <c r="G809" t="s">
        <v>3222</v>
      </c>
      <c r="H809" t="s">
        <v>2612</v>
      </c>
      <c r="I809" t="s">
        <v>140</v>
      </c>
      <c r="J809" t="s">
        <v>957</v>
      </c>
      <c r="K809">
        <v>93</v>
      </c>
      <c r="L809">
        <v>25</v>
      </c>
      <c r="M809">
        <v>23</v>
      </c>
      <c r="N809" t="s">
        <v>57</v>
      </c>
      <c r="O809">
        <v>72</v>
      </c>
      <c r="P809">
        <v>83</v>
      </c>
      <c r="Q809" s="3">
        <v>0.14000000000000001</v>
      </c>
    </row>
    <row r="810" spans="1:17" x14ac:dyDescent="0.35">
      <c r="A810" t="s">
        <v>101</v>
      </c>
      <c r="B810" t="s">
        <v>27</v>
      </c>
      <c r="C810" t="s">
        <v>2813</v>
      </c>
      <c r="D810" t="s">
        <v>3223</v>
      </c>
      <c r="E810" t="s">
        <v>30</v>
      </c>
      <c r="F810" t="s">
        <v>3224</v>
      </c>
      <c r="G810" t="s">
        <v>3225</v>
      </c>
      <c r="H810" t="s">
        <v>982</v>
      </c>
      <c r="I810" t="s">
        <v>2012</v>
      </c>
      <c r="J810" t="s">
        <v>433</v>
      </c>
      <c r="K810">
        <v>99</v>
      </c>
      <c r="L810">
        <v>96</v>
      </c>
      <c r="M810">
        <v>39</v>
      </c>
      <c r="N810" t="s">
        <v>82</v>
      </c>
      <c r="O810">
        <v>94</v>
      </c>
      <c r="P810">
        <v>89</v>
      </c>
      <c r="Q810" s="3">
        <v>-0.15</v>
      </c>
    </row>
    <row r="811" spans="1:17" x14ac:dyDescent="0.35">
      <c r="A811" t="s">
        <v>1900</v>
      </c>
      <c r="B811" t="s">
        <v>75</v>
      </c>
      <c r="C811" t="s">
        <v>3226</v>
      </c>
      <c r="D811" t="s">
        <v>3227</v>
      </c>
      <c r="E811" t="s">
        <v>30</v>
      </c>
      <c r="F811" t="s">
        <v>3228</v>
      </c>
      <c r="G811" t="s">
        <v>3229</v>
      </c>
      <c r="H811" t="s">
        <v>982</v>
      </c>
      <c r="I811" t="s">
        <v>808</v>
      </c>
      <c r="J811" t="s">
        <v>1141</v>
      </c>
      <c r="K811">
        <v>30</v>
      </c>
      <c r="L811">
        <v>29</v>
      </c>
      <c r="M811">
        <v>70</v>
      </c>
      <c r="N811" t="s">
        <v>1906</v>
      </c>
      <c r="O811">
        <v>80</v>
      </c>
      <c r="P811">
        <v>43</v>
      </c>
      <c r="Q811" s="3">
        <v>0.05</v>
      </c>
    </row>
    <row r="812" spans="1:17" x14ac:dyDescent="0.35">
      <c r="A812" t="s">
        <v>1234</v>
      </c>
      <c r="B812" t="s">
        <v>27</v>
      </c>
      <c r="C812" t="s">
        <v>2862</v>
      </c>
      <c r="D812" t="s">
        <v>3230</v>
      </c>
      <c r="E812" t="s">
        <v>30</v>
      </c>
      <c r="F812" t="s">
        <v>3231</v>
      </c>
      <c r="G812" t="s">
        <v>3232</v>
      </c>
      <c r="H812" t="s">
        <v>982</v>
      </c>
      <c r="I812" s="1">
        <v>45391</v>
      </c>
      <c r="J812" s="1">
        <v>45389</v>
      </c>
      <c r="K812">
        <v>75</v>
      </c>
      <c r="L812">
        <v>23</v>
      </c>
      <c r="M812">
        <v>34</v>
      </c>
      <c r="N812" t="s">
        <v>128</v>
      </c>
      <c r="O812">
        <v>100</v>
      </c>
      <c r="P812">
        <v>54</v>
      </c>
      <c r="Q812" s="3">
        <v>0.46</v>
      </c>
    </row>
    <row r="813" spans="1:17" x14ac:dyDescent="0.35">
      <c r="A813" t="s">
        <v>154</v>
      </c>
      <c r="B813" t="s">
        <v>65</v>
      </c>
      <c r="C813" t="s">
        <v>2489</v>
      </c>
      <c r="D813" t="s">
        <v>3233</v>
      </c>
      <c r="E813" t="s">
        <v>68</v>
      </c>
      <c r="F813" t="s">
        <v>3234</v>
      </c>
      <c r="G813" t="s">
        <v>3235</v>
      </c>
      <c r="H813" t="s">
        <v>982</v>
      </c>
      <c r="I813" s="1">
        <v>45329</v>
      </c>
      <c r="J813" t="s">
        <v>127</v>
      </c>
      <c r="K813">
        <v>39</v>
      </c>
      <c r="L813">
        <v>53</v>
      </c>
      <c r="M813">
        <v>64</v>
      </c>
      <c r="N813" t="s">
        <v>349</v>
      </c>
      <c r="O813">
        <v>92</v>
      </c>
      <c r="P813">
        <v>8</v>
      </c>
      <c r="Q813" s="3">
        <v>0.46</v>
      </c>
    </row>
    <row r="814" spans="1:17" x14ac:dyDescent="0.35">
      <c r="A814" t="s">
        <v>1003</v>
      </c>
      <c r="B814" t="s">
        <v>18</v>
      </c>
      <c r="C814" t="s">
        <v>218</v>
      </c>
      <c r="D814" t="s">
        <v>3236</v>
      </c>
      <c r="E814" t="s">
        <v>21</v>
      </c>
      <c r="F814" t="s">
        <v>3237</v>
      </c>
      <c r="G814" t="s">
        <v>3238</v>
      </c>
      <c r="H814" t="s">
        <v>982</v>
      </c>
      <c r="I814" t="s">
        <v>1001</v>
      </c>
      <c r="J814" t="s">
        <v>1558</v>
      </c>
      <c r="K814">
        <v>77</v>
      </c>
      <c r="L814">
        <v>58</v>
      </c>
      <c r="M814">
        <v>13</v>
      </c>
      <c r="N814" t="s">
        <v>282</v>
      </c>
      <c r="O814">
        <v>63</v>
      </c>
      <c r="P814">
        <v>28</v>
      </c>
      <c r="Q814" s="3">
        <v>0.91</v>
      </c>
    </row>
    <row r="815" spans="1:17" x14ac:dyDescent="0.35">
      <c r="A815" t="s">
        <v>296</v>
      </c>
      <c r="B815" t="s">
        <v>27</v>
      </c>
      <c r="C815" t="s">
        <v>2042</v>
      </c>
      <c r="D815" t="s">
        <v>3239</v>
      </c>
      <c r="E815" t="s">
        <v>21</v>
      </c>
      <c r="F815" t="s">
        <v>3240</v>
      </c>
      <c r="G815" t="s">
        <v>3241</v>
      </c>
      <c r="H815" t="s">
        <v>739</v>
      </c>
      <c r="I815" t="s">
        <v>120</v>
      </c>
      <c r="J815" s="1">
        <v>45963</v>
      </c>
      <c r="K815">
        <v>43</v>
      </c>
      <c r="L815">
        <v>63</v>
      </c>
      <c r="M815">
        <v>80</v>
      </c>
      <c r="N815" t="s">
        <v>235</v>
      </c>
      <c r="O815">
        <v>33</v>
      </c>
      <c r="P815">
        <v>96</v>
      </c>
      <c r="Q815" s="3">
        <v>0.56000000000000005</v>
      </c>
    </row>
    <row r="816" spans="1:17" x14ac:dyDescent="0.35">
      <c r="A816" t="s">
        <v>1782</v>
      </c>
      <c r="B816" t="s">
        <v>36</v>
      </c>
      <c r="C816" t="s">
        <v>2105</v>
      </c>
      <c r="D816" t="s">
        <v>3242</v>
      </c>
      <c r="E816" t="s">
        <v>30</v>
      </c>
      <c r="F816" t="s">
        <v>3243</v>
      </c>
      <c r="G816" t="s">
        <v>3244</v>
      </c>
      <c r="H816" t="s">
        <v>739</v>
      </c>
      <c r="I816" s="1">
        <v>45480</v>
      </c>
      <c r="J816" s="1">
        <v>45717</v>
      </c>
      <c r="K816">
        <v>58</v>
      </c>
      <c r="L816">
        <v>17</v>
      </c>
      <c r="M816">
        <v>26</v>
      </c>
      <c r="N816" t="s">
        <v>57</v>
      </c>
      <c r="O816">
        <v>62</v>
      </c>
      <c r="P816">
        <v>89</v>
      </c>
      <c r="Q816" s="3">
        <v>-1.91</v>
      </c>
    </row>
    <row r="817" spans="1:17" x14ac:dyDescent="0.35">
      <c r="A817" t="s">
        <v>1311</v>
      </c>
      <c r="B817" t="s">
        <v>36</v>
      </c>
      <c r="C817" t="s">
        <v>436</v>
      </c>
      <c r="D817" t="s">
        <v>3245</v>
      </c>
      <c r="E817" t="s">
        <v>68</v>
      </c>
      <c r="F817" t="s">
        <v>3246</v>
      </c>
      <c r="G817" t="s">
        <v>3247</v>
      </c>
      <c r="H817" t="s">
        <v>739</v>
      </c>
      <c r="I817" t="s">
        <v>986</v>
      </c>
      <c r="J817" t="s">
        <v>1200</v>
      </c>
      <c r="K817">
        <v>64</v>
      </c>
      <c r="L817">
        <v>14</v>
      </c>
      <c r="M817">
        <v>44</v>
      </c>
      <c r="N817" t="s">
        <v>798</v>
      </c>
      <c r="O817">
        <v>53</v>
      </c>
      <c r="P817">
        <v>33</v>
      </c>
      <c r="Q817" s="3">
        <v>-0.44</v>
      </c>
    </row>
    <row r="818" spans="1:17" x14ac:dyDescent="0.35">
      <c r="A818" t="s">
        <v>1191</v>
      </c>
      <c r="B818" t="s">
        <v>75</v>
      </c>
      <c r="C818" t="s">
        <v>302</v>
      </c>
      <c r="D818" t="s">
        <v>3248</v>
      </c>
      <c r="E818" t="s">
        <v>68</v>
      </c>
      <c r="F818" t="s">
        <v>3249</v>
      </c>
      <c r="G818" t="s">
        <v>3250</v>
      </c>
      <c r="H818" t="s">
        <v>739</v>
      </c>
      <c r="I818" t="s">
        <v>501</v>
      </c>
      <c r="J818" s="1">
        <v>45539</v>
      </c>
      <c r="K818">
        <v>88</v>
      </c>
      <c r="L818">
        <v>42</v>
      </c>
      <c r="M818">
        <v>68</v>
      </c>
      <c r="N818" t="s">
        <v>169</v>
      </c>
      <c r="O818">
        <v>92</v>
      </c>
      <c r="P818">
        <v>29</v>
      </c>
      <c r="Q818" s="3">
        <v>0.38</v>
      </c>
    </row>
    <row r="819" spans="1:17" x14ac:dyDescent="0.35">
      <c r="A819" t="s">
        <v>624</v>
      </c>
      <c r="B819" t="s">
        <v>18</v>
      </c>
      <c r="C819" t="s">
        <v>3251</v>
      </c>
      <c r="D819" t="s">
        <v>3252</v>
      </c>
      <c r="E819" t="s">
        <v>68</v>
      </c>
      <c r="F819" t="s">
        <v>3253</v>
      </c>
      <c r="G819" t="s">
        <v>3254</v>
      </c>
      <c r="H819" t="s">
        <v>489</v>
      </c>
      <c r="I819" t="s">
        <v>670</v>
      </c>
      <c r="J819" t="s">
        <v>119</v>
      </c>
      <c r="K819">
        <v>72</v>
      </c>
      <c r="L819">
        <v>87</v>
      </c>
      <c r="M819">
        <v>39</v>
      </c>
      <c r="N819" t="s">
        <v>344</v>
      </c>
      <c r="O819">
        <v>94</v>
      </c>
      <c r="P819">
        <v>57</v>
      </c>
      <c r="Q819" s="3">
        <v>0.68</v>
      </c>
    </row>
    <row r="820" spans="1:17" x14ac:dyDescent="0.35">
      <c r="A820" t="s">
        <v>58</v>
      </c>
      <c r="B820" t="s">
        <v>18</v>
      </c>
      <c r="C820" t="s">
        <v>1298</v>
      </c>
      <c r="D820" t="s">
        <v>3255</v>
      </c>
      <c r="E820" t="s">
        <v>21</v>
      </c>
      <c r="F820" t="s">
        <v>3256</v>
      </c>
      <c r="G820" t="s">
        <v>3257</v>
      </c>
      <c r="H820" t="s">
        <v>489</v>
      </c>
      <c r="I820" t="s">
        <v>1336</v>
      </c>
      <c r="J820" s="1">
        <v>45418</v>
      </c>
      <c r="K820">
        <v>12</v>
      </c>
      <c r="L820">
        <v>7</v>
      </c>
      <c r="M820">
        <v>48</v>
      </c>
      <c r="N820" t="s">
        <v>884</v>
      </c>
      <c r="O820">
        <v>66</v>
      </c>
      <c r="P820">
        <v>4</v>
      </c>
      <c r="Q820" s="3">
        <v>0.39</v>
      </c>
    </row>
    <row r="821" spans="1:17" x14ac:dyDescent="0.35">
      <c r="A821" t="s">
        <v>653</v>
      </c>
      <c r="B821" t="s">
        <v>163</v>
      </c>
      <c r="C821" t="s">
        <v>696</v>
      </c>
      <c r="D821" t="s">
        <v>3258</v>
      </c>
      <c r="E821" t="s">
        <v>68</v>
      </c>
      <c r="F821" t="s">
        <v>3259</v>
      </c>
      <c r="G821" t="s">
        <v>3260</v>
      </c>
      <c r="H821" t="s">
        <v>489</v>
      </c>
      <c r="I821" t="s">
        <v>822</v>
      </c>
      <c r="J821" s="1">
        <v>45689</v>
      </c>
      <c r="K821">
        <v>58</v>
      </c>
      <c r="L821">
        <v>81</v>
      </c>
      <c r="M821">
        <v>66</v>
      </c>
      <c r="N821" t="s">
        <v>659</v>
      </c>
      <c r="O821">
        <v>85</v>
      </c>
      <c r="P821">
        <v>78</v>
      </c>
      <c r="Q821" s="3">
        <v>0.94</v>
      </c>
    </row>
    <row r="822" spans="1:17" x14ac:dyDescent="0.35">
      <c r="A822" t="s">
        <v>177</v>
      </c>
      <c r="B822" t="s">
        <v>18</v>
      </c>
      <c r="C822" t="s">
        <v>178</v>
      </c>
      <c r="D822" t="s">
        <v>3261</v>
      </c>
      <c r="E822" t="s">
        <v>30</v>
      </c>
      <c r="F822" t="s">
        <v>3262</v>
      </c>
      <c r="G822" t="s">
        <v>3263</v>
      </c>
      <c r="H822" t="s">
        <v>489</v>
      </c>
      <c r="I822" t="s">
        <v>1141</v>
      </c>
      <c r="J822" s="1">
        <v>45993</v>
      </c>
      <c r="K822">
        <v>99</v>
      </c>
      <c r="L822">
        <v>59</v>
      </c>
      <c r="M822">
        <v>12</v>
      </c>
      <c r="N822" t="s">
        <v>73</v>
      </c>
      <c r="O822">
        <v>52</v>
      </c>
      <c r="P822">
        <v>57</v>
      </c>
      <c r="Q822" s="3">
        <v>0.08</v>
      </c>
    </row>
    <row r="823" spans="1:17" x14ac:dyDescent="0.35">
      <c r="A823" t="s">
        <v>253</v>
      </c>
      <c r="B823" t="s">
        <v>65</v>
      </c>
      <c r="C823" t="s">
        <v>1649</v>
      </c>
      <c r="D823" t="s">
        <v>3264</v>
      </c>
      <c r="E823" t="s">
        <v>30</v>
      </c>
      <c r="F823" t="s">
        <v>3265</v>
      </c>
      <c r="G823" t="s">
        <v>3266</v>
      </c>
      <c r="H823" t="s">
        <v>543</v>
      </c>
      <c r="I823" s="1">
        <v>45542</v>
      </c>
      <c r="J823" t="s">
        <v>879</v>
      </c>
      <c r="K823">
        <v>25</v>
      </c>
      <c r="L823">
        <v>95</v>
      </c>
      <c r="M823">
        <v>71</v>
      </c>
      <c r="N823" t="s">
        <v>34</v>
      </c>
      <c r="O823">
        <v>24</v>
      </c>
      <c r="P823">
        <v>76</v>
      </c>
      <c r="Q823" s="3">
        <v>-0.1</v>
      </c>
    </row>
    <row r="824" spans="1:17" x14ac:dyDescent="0.35">
      <c r="A824" t="s">
        <v>17</v>
      </c>
      <c r="B824" t="s">
        <v>18</v>
      </c>
      <c r="C824" t="s">
        <v>3267</v>
      </c>
      <c r="D824" t="s">
        <v>3268</v>
      </c>
      <c r="E824" t="s">
        <v>30</v>
      </c>
      <c r="F824" t="s">
        <v>3269</v>
      </c>
      <c r="G824" t="s">
        <v>3270</v>
      </c>
      <c r="H824" t="s">
        <v>543</v>
      </c>
      <c r="I824" s="1">
        <v>45446</v>
      </c>
      <c r="J824" t="s">
        <v>1200</v>
      </c>
      <c r="K824">
        <v>98</v>
      </c>
      <c r="L824">
        <v>43</v>
      </c>
      <c r="M824">
        <v>9</v>
      </c>
      <c r="N824" t="s">
        <v>134</v>
      </c>
      <c r="O824">
        <v>86</v>
      </c>
      <c r="P824">
        <v>62</v>
      </c>
      <c r="Q824" s="3">
        <v>-2.17</v>
      </c>
    </row>
    <row r="825" spans="1:17" x14ac:dyDescent="0.35">
      <c r="A825" t="s">
        <v>200</v>
      </c>
      <c r="B825" t="s">
        <v>163</v>
      </c>
      <c r="C825" t="s">
        <v>1247</v>
      </c>
      <c r="D825" t="s">
        <v>3271</v>
      </c>
      <c r="E825" t="s">
        <v>21</v>
      </c>
      <c r="F825" t="s">
        <v>3272</v>
      </c>
      <c r="G825" t="s">
        <v>3273</v>
      </c>
      <c r="H825" t="s">
        <v>732</v>
      </c>
      <c r="I825" s="1">
        <v>45547</v>
      </c>
      <c r="J825" t="s">
        <v>1001</v>
      </c>
      <c r="K825">
        <v>75</v>
      </c>
      <c r="L825">
        <v>47</v>
      </c>
      <c r="M825">
        <v>33</v>
      </c>
      <c r="N825" t="s">
        <v>2524</v>
      </c>
      <c r="O825">
        <v>33</v>
      </c>
      <c r="P825">
        <v>12</v>
      </c>
      <c r="Q825" s="3">
        <v>0.28000000000000003</v>
      </c>
    </row>
    <row r="826" spans="1:17" x14ac:dyDescent="0.35">
      <c r="A826" t="s">
        <v>320</v>
      </c>
      <c r="B826" t="s">
        <v>36</v>
      </c>
      <c r="C826" t="s">
        <v>770</v>
      </c>
      <c r="D826" t="s">
        <v>3274</v>
      </c>
      <c r="E826" t="s">
        <v>68</v>
      </c>
      <c r="F826" t="s">
        <v>3275</v>
      </c>
      <c r="G826" t="s">
        <v>3276</v>
      </c>
      <c r="H826" t="s">
        <v>732</v>
      </c>
      <c r="I826" s="1">
        <v>45421</v>
      </c>
      <c r="J826" s="1">
        <v>45630</v>
      </c>
      <c r="K826">
        <v>80</v>
      </c>
      <c r="L826">
        <v>43</v>
      </c>
      <c r="M826">
        <v>80</v>
      </c>
      <c r="N826" t="s">
        <v>57</v>
      </c>
      <c r="O826">
        <v>64</v>
      </c>
      <c r="P826">
        <v>53</v>
      </c>
      <c r="Q826" s="3">
        <v>0.64</v>
      </c>
    </row>
    <row r="827" spans="1:17" x14ac:dyDescent="0.35">
      <c r="A827" t="s">
        <v>734</v>
      </c>
      <c r="B827" t="s">
        <v>163</v>
      </c>
      <c r="C827" t="s">
        <v>3277</v>
      </c>
      <c r="D827" t="s">
        <v>3278</v>
      </c>
      <c r="E827" t="s">
        <v>21</v>
      </c>
      <c r="F827" t="s">
        <v>3279</v>
      </c>
      <c r="G827" t="s">
        <v>3280</v>
      </c>
      <c r="H827" t="s">
        <v>732</v>
      </c>
      <c r="I827" t="s">
        <v>1092</v>
      </c>
      <c r="J827" t="s">
        <v>1427</v>
      </c>
      <c r="K827">
        <v>20</v>
      </c>
      <c r="L827">
        <v>9</v>
      </c>
      <c r="M827">
        <v>12</v>
      </c>
      <c r="N827" t="s">
        <v>3281</v>
      </c>
      <c r="O827">
        <v>46</v>
      </c>
      <c r="P827">
        <v>32</v>
      </c>
      <c r="Q827" s="3">
        <v>0.17</v>
      </c>
    </row>
    <row r="828" spans="1:17" x14ac:dyDescent="0.35">
      <c r="A828" t="s">
        <v>916</v>
      </c>
      <c r="B828" t="s">
        <v>114</v>
      </c>
      <c r="C828" t="s">
        <v>1174</v>
      </c>
      <c r="D828" t="s">
        <v>3282</v>
      </c>
      <c r="E828" t="s">
        <v>21</v>
      </c>
      <c r="F828" t="s">
        <v>3283</v>
      </c>
      <c r="G828" t="s">
        <v>3284</v>
      </c>
      <c r="H828" t="s">
        <v>495</v>
      </c>
      <c r="I828" t="s">
        <v>986</v>
      </c>
      <c r="J828" s="1">
        <v>45545</v>
      </c>
      <c r="K828">
        <v>93</v>
      </c>
      <c r="L828">
        <v>50</v>
      </c>
      <c r="M828">
        <v>43</v>
      </c>
      <c r="N828" t="s">
        <v>73</v>
      </c>
      <c r="O828">
        <v>76</v>
      </c>
      <c r="P828">
        <v>35</v>
      </c>
      <c r="Q828" s="3">
        <v>0.3</v>
      </c>
    </row>
    <row r="829" spans="1:17" x14ac:dyDescent="0.35">
      <c r="A829" t="s">
        <v>74</v>
      </c>
      <c r="B829" t="s">
        <v>75</v>
      </c>
      <c r="C829" t="s">
        <v>254</v>
      </c>
      <c r="D829" t="s">
        <v>3285</v>
      </c>
      <c r="E829" t="s">
        <v>21</v>
      </c>
      <c r="F829" t="s">
        <v>3286</v>
      </c>
      <c r="G829" t="s">
        <v>3287</v>
      </c>
      <c r="H829" t="s">
        <v>495</v>
      </c>
      <c r="I829" s="1">
        <v>45514</v>
      </c>
      <c r="J829" t="s">
        <v>159</v>
      </c>
      <c r="K829">
        <v>66</v>
      </c>
      <c r="L829">
        <v>49</v>
      </c>
      <c r="M829">
        <v>41</v>
      </c>
      <c r="N829" t="s">
        <v>82</v>
      </c>
      <c r="O829">
        <v>27</v>
      </c>
      <c r="P829">
        <v>37</v>
      </c>
      <c r="Q829" s="3">
        <v>0.54</v>
      </c>
    </row>
    <row r="830" spans="1:17" x14ac:dyDescent="0.35">
      <c r="A830" t="s">
        <v>101</v>
      </c>
      <c r="B830" t="s">
        <v>27</v>
      </c>
      <c r="C830" t="s">
        <v>1806</v>
      </c>
      <c r="D830" t="s">
        <v>3288</v>
      </c>
      <c r="E830" t="s">
        <v>30</v>
      </c>
      <c r="F830" t="s">
        <v>3289</v>
      </c>
      <c r="G830" t="s">
        <v>3290</v>
      </c>
      <c r="H830" t="s">
        <v>1328</v>
      </c>
      <c r="I830" t="s">
        <v>205</v>
      </c>
      <c r="J830" t="s">
        <v>343</v>
      </c>
      <c r="K830">
        <v>10</v>
      </c>
      <c r="L830">
        <v>86</v>
      </c>
      <c r="M830">
        <v>23</v>
      </c>
      <c r="N830" t="s">
        <v>82</v>
      </c>
      <c r="O830">
        <v>24</v>
      </c>
      <c r="P830">
        <v>52</v>
      </c>
      <c r="Q830" s="3">
        <v>-0.37</v>
      </c>
    </row>
    <row r="831" spans="1:17" x14ac:dyDescent="0.35">
      <c r="A831" t="s">
        <v>113</v>
      </c>
      <c r="B831" t="s">
        <v>114</v>
      </c>
      <c r="C831" t="s">
        <v>3291</v>
      </c>
      <c r="D831" t="s">
        <v>3292</v>
      </c>
      <c r="E831" t="s">
        <v>21</v>
      </c>
      <c r="F831" t="s">
        <v>3293</v>
      </c>
      <c r="G831" t="s">
        <v>3294</v>
      </c>
      <c r="H831" t="s">
        <v>1328</v>
      </c>
      <c r="I831" t="s">
        <v>1754</v>
      </c>
      <c r="J831" s="1">
        <v>45478</v>
      </c>
      <c r="K831">
        <v>90</v>
      </c>
      <c r="L831">
        <v>52</v>
      </c>
      <c r="M831">
        <v>50</v>
      </c>
      <c r="N831" t="s">
        <v>121</v>
      </c>
      <c r="O831">
        <v>63</v>
      </c>
      <c r="P831">
        <v>14</v>
      </c>
      <c r="Q831" s="3">
        <v>-1.17</v>
      </c>
    </row>
    <row r="832" spans="1:17" x14ac:dyDescent="0.35">
      <c r="A832" t="s">
        <v>2946</v>
      </c>
      <c r="B832" t="s">
        <v>65</v>
      </c>
      <c r="C832" t="s">
        <v>681</v>
      </c>
      <c r="D832" t="s">
        <v>3295</v>
      </c>
      <c r="E832" t="s">
        <v>30</v>
      </c>
      <c r="F832" t="s">
        <v>3296</v>
      </c>
      <c r="G832" t="s">
        <v>3297</v>
      </c>
      <c r="H832" t="s">
        <v>1328</v>
      </c>
      <c r="I832" t="s">
        <v>1092</v>
      </c>
      <c r="J832" t="s">
        <v>941</v>
      </c>
      <c r="K832">
        <v>19</v>
      </c>
      <c r="L832">
        <v>81</v>
      </c>
      <c r="M832">
        <v>33</v>
      </c>
      <c r="N832" t="s">
        <v>49</v>
      </c>
      <c r="O832">
        <v>39</v>
      </c>
      <c r="P832">
        <v>85</v>
      </c>
      <c r="Q832" s="3">
        <v>0.78</v>
      </c>
    </row>
    <row r="833" spans="1:17" x14ac:dyDescent="0.35">
      <c r="A833" t="s">
        <v>1415</v>
      </c>
      <c r="B833" t="s">
        <v>114</v>
      </c>
      <c r="C833" t="s">
        <v>3036</v>
      </c>
      <c r="D833" t="s">
        <v>3298</v>
      </c>
      <c r="E833" t="s">
        <v>21</v>
      </c>
      <c r="F833" t="s">
        <v>3299</v>
      </c>
      <c r="G833" t="s">
        <v>3300</v>
      </c>
      <c r="H833" t="s">
        <v>1328</v>
      </c>
      <c r="I833" t="s">
        <v>837</v>
      </c>
      <c r="J833" t="s">
        <v>1319</v>
      </c>
      <c r="K833">
        <v>72</v>
      </c>
      <c r="L833">
        <v>20</v>
      </c>
      <c r="M833">
        <v>71</v>
      </c>
      <c r="N833" t="s">
        <v>128</v>
      </c>
      <c r="O833">
        <v>87</v>
      </c>
      <c r="P833">
        <v>68</v>
      </c>
      <c r="Q833" s="3">
        <v>-1.18</v>
      </c>
    </row>
    <row r="834" spans="1:17" x14ac:dyDescent="0.35">
      <c r="A834" t="s">
        <v>177</v>
      </c>
      <c r="B834" t="s">
        <v>18</v>
      </c>
      <c r="C834" t="s">
        <v>1395</v>
      </c>
      <c r="D834" t="s">
        <v>3301</v>
      </c>
      <c r="E834" t="s">
        <v>68</v>
      </c>
      <c r="F834" t="s">
        <v>3302</v>
      </c>
      <c r="G834" t="s">
        <v>3303</v>
      </c>
      <c r="H834" t="s">
        <v>903</v>
      </c>
      <c r="I834" t="s">
        <v>245</v>
      </c>
      <c r="J834" t="s">
        <v>888</v>
      </c>
      <c r="K834">
        <v>60</v>
      </c>
      <c r="L834">
        <v>36</v>
      </c>
      <c r="M834">
        <v>28</v>
      </c>
      <c r="N834" t="s">
        <v>134</v>
      </c>
      <c r="O834">
        <v>26</v>
      </c>
      <c r="P834">
        <v>29</v>
      </c>
      <c r="Q834" s="3">
        <v>0.22</v>
      </c>
    </row>
    <row r="835" spans="1:17" x14ac:dyDescent="0.35">
      <c r="A835" t="s">
        <v>1157</v>
      </c>
      <c r="B835" t="s">
        <v>18</v>
      </c>
      <c r="C835" t="s">
        <v>2545</v>
      </c>
      <c r="D835" t="s">
        <v>3304</v>
      </c>
      <c r="E835" t="s">
        <v>21</v>
      </c>
      <c r="F835" t="s">
        <v>3305</v>
      </c>
      <c r="G835" t="s">
        <v>3306</v>
      </c>
      <c r="H835" t="s">
        <v>903</v>
      </c>
      <c r="I835" t="s">
        <v>1017</v>
      </c>
      <c r="J835" t="s">
        <v>494</v>
      </c>
      <c r="K835">
        <v>26</v>
      </c>
      <c r="L835">
        <v>16</v>
      </c>
      <c r="M835">
        <v>69</v>
      </c>
      <c r="N835" t="s">
        <v>1163</v>
      </c>
      <c r="O835">
        <v>64</v>
      </c>
      <c r="P835">
        <v>79</v>
      </c>
      <c r="Q835" s="3">
        <v>-0.12</v>
      </c>
    </row>
    <row r="836" spans="1:17" x14ac:dyDescent="0.35">
      <c r="A836" t="s">
        <v>308</v>
      </c>
      <c r="B836" t="s">
        <v>27</v>
      </c>
      <c r="C836" t="s">
        <v>3307</v>
      </c>
      <c r="D836" t="s">
        <v>3308</v>
      </c>
      <c r="E836" t="s">
        <v>30</v>
      </c>
      <c r="F836" t="s">
        <v>3309</v>
      </c>
      <c r="G836" t="s">
        <v>3310</v>
      </c>
      <c r="H836" t="s">
        <v>903</v>
      </c>
      <c r="I836" t="s">
        <v>892</v>
      </c>
      <c r="J836" t="s">
        <v>393</v>
      </c>
      <c r="K836">
        <v>85</v>
      </c>
      <c r="L836">
        <v>86</v>
      </c>
      <c r="M836">
        <v>21</v>
      </c>
      <c r="N836" t="s">
        <v>313</v>
      </c>
      <c r="O836">
        <v>78</v>
      </c>
      <c r="P836">
        <v>53</v>
      </c>
      <c r="Q836" s="3">
        <v>-0.23</v>
      </c>
    </row>
    <row r="837" spans="1:17" x14ac:dyDescent="0.35">
      <c r="A837" t="s">
        <v>17</v>
      </c>
      <c r="B837" t="s">
        <v>18</v>
      </c>
      <c r="C837" t="s">
        <v>3311</v>
      </c>
      <c r="D837" t="s">
        <v>3312</v>
      </c>
      <c r="E837" t="s">
        <v>30</v>
      </c>
      <c r="F837" t="s">
        <v>3313</v>
      </c>
      <c r="G837" t="s">
        <v>3314</v>
      </c>
      <c r="H837" t="s">
        <v>903</v>
      </c>
      <c r="I837" t="s">
        <v>1092</v>
      </c>
      <c r="J837" t="s">
        <v>1820</v>
      </c>
      <c r="K837">
        <v>90</v>
      </c>
      <c r="L837">
        <v>22</v>
      </c>
      <c r="M837">
        <v>20</v>
      </c>
      <c r="N837" t="s">
        <v>134</v>
      </c>
      <c r="O837">
        <v>81</v>
      </c>
      <c r="P837">
        <v>88</v>
      </c>
      <c r="Q837" s="3">
        <v>0.32</v>
      </c>
    </row>
    <row r="838" spans="1:17" x14ac:dyDescent="0.35">
      <c r="A838" t="s">
        <v>653</v>
      </c>
      <c r="B838" t="s">
        <v>163</v>
      </c>
      <c r="C838" t="s">
        <v>2822</v>
      </c>
      <c r="D838" t="s">
        <v>3315</v>
      </c>
      <c r="E838" t="s">
        <v>21</v>
      </c>
      <c r="F838" t="s">
        <v>3316</v>
      </c>
      <c r="G838" t="s">
        <v>3317</v>
      </c>
      <c r="H838" t="s">
        <v>903</v>
      </c>
      <c r="I838" s="1">
        <v>45420</v>
      </c>
      <c r="J838" s="1">
        <v>45870</v>
      </c>
      <c r="K838">
        <v>35</v>
      </c>
      <c r="L838">
        <v>20</v>
      </c>
      <c r="M838">
        <v>42</v>
      </c>
      <c r="N838" t="s">
        <v>3318</v>
      </c>
      <c r="O838">
        <v>53</v>
      </c>
      <c r="P838">
        <v>56</v>
      </c>
      <c r="Q838" s="3">
        <v>-0.09</v>
      </c>
    </row>
    <row r="839" spans="1:17" x14ac:dyDescent="0.35">
      <c r="A839" t="s">
        <v>1234</v>
      </c>
      <c r="B839" t="s">
        <v>27</v>
      </c>
      <c r="C839" t="s">
        <v>1129</v>
      </c>
      <c r="D839" t="s">
        <v>3319</v>
      </c>
      <c r="E839" t="s">
        <v>68</v>
      </c>
      <c r="F839" t="s">
        <v>3320</v>
      </c>
      <c r="G839" t="s">
        <v>3321</v>
      </c>
      <c r="H839" t="s">
        <v>903</v>
      </c>
      <c r="I839" t="s">
        <v>403</v>
      </c>
      <c r="J839" t="s">
        <v>312</v>
      </c>
      <c r="K839">
        <v>50</v>
      </c>
      <c r="L839">
        <v>40</v>
      </c>
      <c r="M839">
        <v>69</v>
      </c>
      <c r="N839" t="s">
        <v>128</v>
      </c>
      <c r="O839">
        <v>28</v>
      </c>
      <c r="P839">
        <v>98</v>
      </c>
      <c r="Q839" s="3">
        <v>-0.06</v>
      </c>
    </row>
    <row r="840" spans="1:17" x14ac:dyDescent="0.35">
      <c r="A840" t="s">
        <v>50</v>
      </c>
      <c r="B840" t="s">
        <v>18</v>
      </c>
      <c r="C840" t="s">
        <v>3322</v>
      </c>
      <c r="D840" t="s">
        <v>3323</v>
      </c>
      <c r="E840" t="s">
        <v>68</v>
      </c>
      <c r="F840" t="s">
        <v>3324</v>
      </c>
      <c r="G840" t="s">
        <v>3325</v>
      </c>
      <c r="H840" t="s">
        <v>1726</v>
      </c>
      <c r="I840" s="1">
        <v>45332</v>
      </c>
      <c r="J840" t="s">
        <v>111</v>
      </c>
      <c r="K840">
        <v>43</v>
      </c>
      <c r="L840">
        <v>40</v>
      </c>
      <c r="M840">
        <v>30</v>
      </c>
      <c r="N840" t="s">
        <v>57</v>
      </c>
      <c r="O840">
        <v>95</v>
      </c>
      <c r="P840">
        <v>26</v>
      </c>
      <c r="Q840" s="3">
        <v>-2.5</v>
      </c>
    </row>
    <row r="841" spans="1:17" x14ac:dyDescent="0.35">
      <c r="A841" t="s">
        <v>496</v>
      </c>
      <c r="B841" t="s">
        <v>18</v>
      </c>
      <c r="C841" t="s">
        <v>1563</v>
      </c>
      <c r="D841" t="s">
        <v>3326</v>
      </c>
      <c r="E841" t="s">
        <v>21</v>
      </c>
      <c r="F841" t="s">
        <v>3327</v>
      </c>
      <c r="G841" t="s">
        <v>3328</v>
      </c>
      <c r="H841" t="s">
        <v>1726</v>
      </c>
      <c r="I841" t="s">
        <v>306</v>
      </c>
      <c r="J841" s="1">
        <v>45513</v>
      </c>
      <c r="K841">
        <v>99</v>
      </c>
      <c r="L841">
        <v>68</v>
      </c>
      <c r="M841">
        <v>1</v>
      </c>
      <c r="N841" t="s">
        <v>502</v>
      </c>
      <c r="O841">
        <v>59</v>
      </c>
      <c r="P841">
        <v>16</v>
      </c>
      <c r="Q841" s="3">
        <v>0.73</v>
      </c>
    </row>
    <row r="842" spans="1:17" x14ac:dyDescent="0.35">
      <c r="A842" t="s">
        <v>35</v>
      </c>
      <c r="B842" t="s">
        <v>36</v>
      </c>
      <c r="C842" t="s">
        <v>1851</v>
      </c>
      <c r="D842" t="s">
        <v>3329</v>
      </c>
      <c r="E842" t="s">
        <v>68</v>
      </c>
      <c r="F842" t="s">
        <v>3330</v>
      </c>
      <c r="G842" t="s">
        <v>3331</v>
      </c>
      <c r="H842" t="s">
        <v>187</v>
      </c>
      <c r="I842" s="1">
        <v>45424</v>
      </c>
      <c r="J842" t="s">
        <v>1407</v>
      </c>
      <c r="K842">
        <v>99</v>
      </c>
      <c r="L842">
        <v>10</v>
      </c>
      <c r="M842">
        <v>88</v>
      </c>
      <c r="N842" t="s">
        <v>42</v>
      </c>
      <c r="O842">
        <v>69</v>
      </c>
      <c r="P842">
        <v>98</v>
      </c>
      <c r="Q842" s="3">
        <v>0.73</v>
      </c>
    </row>
    <row r="843" spans="1:17" x14ac:dyDescent="0.35">
      <c r="A843" t="s">
        <v>1900</v>
      </c>
      <c r="B843" t="s">
        <v>75</v>
      </c>
      <c r="C843" t="s">
        <v>921</v>
      </c>
      <c r="D843" t="s">
        <v>3332</v>
      </c>
      <c r="E843" t="s">
        <v>21</v>
      </c>
      <c r="F843" t="s">
        <v>3333</v>
      </c>
      <c r="G843" t="s">
        <v>3334</v>
      </c>
      <c r="H843" t="s">
        <v>187</v>
      </c>
      <c r="I843" t="s">
        <v>312</v>
      </c>
      <c r="J843" s="1">
        <v>45419</v>
      </c>
      <c r="K843">
        <v>45</v>
      </c>
      <c r="L843">
        <v>56</v>
      </c>
      <c r="M843">
        <v>64</v>
      </c>
      <c r="N843" t="s">
        <v>1906</v>
      </c>
      <c r="O843">
        <v>35</v>
      </c>
      <c r="P843">
        <v>82</v>
      </c>
      <c r="Q843" s="3">
        <v>-0.42</v>
      </c>
    </row>
    <row r="844" spans="1:17" x14ac:dyDescent="0.35">
      <c r="A844" t="s">
        <v>695</v>
      </c>
      <c r="B844" t="s">
        <v>65</v>
      </c>
      <c r="C844" t="s">
        <v>1619</v>
      </c>
      <c r="D844" t="s">
        <v>3335</v>
      </c>
      <c r="E844" t="s">
        <v>21</v>
      </c>
      <c r="F844" t="s">
        <v>3336</v>
      </c>
      <c r="G844" t="s">
        <v>3337</v>
      </c>
      <c r="H844" t="s">
        <v>187</v>
      </c>
      <c r="I844" t="s">
        <v>1073</v>
      </c>
      <c r="J844" s="1">
        <v>45418</v>
      </c>
      <c r="K844">
        <v>44</v>
      </c>
      <c r="L844">
        <v>67</v>
      </c>
      <c r="M844">
        <v>31</v>
      </c>
      <c r="N844" t="s">
        <v>128</v>
      </c>
      <c r="O844">
        <v>44</v>
      </c>
      <c r="P844">
        <v>72</v>
      </c>
      <c r="Q844" s="3">
        <v>-1.34</v>
      </c>
    </row>
    <row r="845" spans="1:17" x14ac:dyDescent="0.35">
      <c r="A845" t="s">
        <v>435</v>
      </c>
      <c r="B845" t="s">
        <v>18</v>
      </c>
      <c r="C845" t="s">
        <v>2974</v>
      </c>
      <c r="D845" t="s">
        <v>3338</v>
      </c>
      <c r="E845" t="s">
        <v>30</v>
      </c>
      <c r="F845" t="s">
        <v>3339</v>
      </c>
      <c r="G845" t="s">
        <v>3340</v>
      </c>
      <c r="H845" t="s">
        <v>784</v>
      </c>
      <c r="I845" t="s">
        <v>1975</v>
      </c>
      <c r="J845" s="1">
        <v>45418</v>
      </c>
      <c r="K845">
        <v>62</v>
      </c>
      <c r="L845">
        <v>40</v>
      </c>
      <c r="M845">
        <v>86</v>
      </c>
      <c r="N845" t="s">
        <v>344</v>
      </c>
      <c r="O845">
        <v>45</v>
      </c>
      <c r="P845">
        <v>86</v>
      </c>
      <c r="Q845" s="3">
        <v>-0.64</v>
      </c>
    </row>
    <row r="846" spans="1:17" x14ac:dyDescent="0.35">
      <c r="A846" t="s">
        <v>916</v>
      </c>
      <c r="B846" t="s">
        <v>114</v>
      </c>
      <c r="C846" t="s">
        <v>3181</v>
      </c>
      <c r="D846" t="s">
        <v>3341</v>
      </c>
      <c r="E846" t="s">
        <v>30</v>
      </c>
      <c r="F846" t="s">
        <v>3342</v>
      </c>
      <c r="G846" t="s">
        <v>3343</v>
      </c>
      <c r="H846" t="s">
        <v>1452</v>
      </c>
      <c r="I846" t="s">
        <v>3112</v>
      </c>
      <c r="J846" s="1">
        <v>45840</v>
      </c>
      <c r="K846">
        <v>16</v>
      </c>
      <c r="L846">
        <v>9</v>
      </c>
      <c r="M846">
        <v>32</v>
      </c>
      <c r="N846" t="s">
        <v>73</v>
      </c>
      <c r="O846">
        <v>50</v>
      </c>
      <c r="P846">
        <v>98</v>
      </c>
      <c r="Q846" s="3">
        <v>-0.91</v>
      </c>
    </row>
    <row r="847" spans="1:17" x14ac:dyDescent="0.35">
      <c r="A847" t="s">
        <v>557</v>
      </c>
      <c r="B847" t="s">
        <v>18</v>
      </c>
      <c r="C847" t="s">
        <v>997</v>
      </c>
      <c r="D847" t="s">
        <v>3344</v>
      </c>
      <c r="E847" t="s">
        <v>21</v>
      </c>
      <c r="F847" t="s">
        <v>3345</v>
      </c>
      <c r="G847" t="s">
        <v>3346</v>
      </c>
      <c r="H847" t="s">
        <v>1452</v>
      </c>
      <c r="I847" t="s">
        <v>1726</v>
      </c>
      <c r="J847" s="1">
        <v>45573</v>
      </c>
      <c r="K847">
        <v>99</v>
      </c>
      <c r="L847">
        <v>8</v>
      </c>
      <c r="M847">
        <v>27</v>
      </c>
      <c r="N847" t="s">
        <v>73</v>
      </c>
      <c r="O847">
        <v>41</v>
      </c>
      <c r="P847">
        <v>50</v>
      </c>
      <c r="Q847" s="3">
        <v>-0.96</v>
      </c>
    </row>
    <row r="848" spans="1:17" x14ac:dyDescent="0.35">
      <c r="A848" t="s">
        <v>222</v>
      </c>
      <c r="B848" t="s">
        <v>65</v>
      </c>
      <c r="C848" t="s">
        <v>2771</v>
      </c>
      <c r="D848" t="s">
        <v>3347</v>
      </c>
      <c r="E848" t="s">
        <v>30</v>
      </c>
      <c r="F848" t="s">
        <v>3348</v>
      </c>
      <c r="G848" t="s">
        <v>3349</v>
      </c>
      <c r="H848" t="s">
        <v>354</v>
      </c>
      <c r="I848" s="1">
        <v>45546</v>
      </c>
      <c r="J848" t="s">
        <v>1407</v>
      </c>
      <c r="K848">
        <v>71</v>
      </c>
      <c r="L848">
        <v>77</v>
      </c>
      <c r="M848">
        <v>30</v>
      </c>
      <c r="N848" t="s">
        <v>49</v>
      </c>
      <c r="O848">
        <v>34</v>
      </c>
      <c r="P848">
        <v>57</v>
      </c>
      <c r="Q848" s="3">
        <v>-0.22</v>
      </c>
    </row>
    <row r="849" spans="1:17" x14ac:dyDescent="0.35">
      <c r="A849" t="s">
        <v>228</v>
      </c>
      <c r="B849" t="s">
        <v>18</v>
      </c>
      <c r="C849" t="s">
        <v>3181</v>
      </c>
      <c r="D849" t="s">
        <v>3350</v>
      </c>
      <c r="E849" t="s">
        <v>30</v>
      </c>
      <c r="F849" t="s">
        <v>3351</v>
      </c>
      <c r="G849" t="s">
        <v>3352</v>
      </c>
      <c r="H849" t="s">
        <v>393</v>
      </c>
      <c r="I849" t="s">
        <v>398</v>
      </c>
      <c r="J849" t="s">
        <v>489</v>
      </c>
      <c r="K849">
        <v>13</v>
      </c>
      <c r="L849">
        <v>60</v>
      </c>
      <c r="M849">
        <v>100</v>
      </c>
      <c r="N849" t="s">
        <v>235</v>
      </c>
      <c r="O849">
        <v>44</v>
      </c>
      <c r="P849">
        <v>32</v>
      </c>
      <c r="Q849" s="3">
        <v>-0.68</v>
      </c>
    </row>
    <row r="850" spans="1:17" x14ac:dyDescent="0.35">
      <c r="A850" t="s">
        <v>240</v>
      </c>
      <c r="B850" t="s">
        <v>36</v>
      </c>
      <c r="C850" t="s">
        <v>3353</v>
      </c>
      <c r="D850" t="s">
        <v>3354</v>
      </c>
      <c r="E850" t="s">
        <v>21</v>
      </c>
      <c r="F850" t="s">
        <v>3355</v>
      </c>
      <c r="G850" t="s">
        <v>3356</v>
      </c>
      <c r="H850" t="s">
        <v>295</v>
      </c>
      <c r="I850" s="1">
        <v>45718</v>
      </c>
      <c r="J850" t="s">
        <v>175</v>
      </c>
      <c r="K850">
        <v>43</v>
      </c>
      <c r="L850">
        <v>88</v>
      </c>
      <c r="M850">
        <v>33</v>
      </c>
      <c r="N850" t="s">
        <v>355</v>
      </c>
      <c r="O850">
        <v>84</v>
      </c>
      <c r="P850">
        <v>75</v>
      </c>
      <c r="Q850" s="3">
        <v>0.27</v>
      </c>
    </row>
    <row r="851" spans="1:17" x14ac:dyDescent="0.35">
      <c r="A851" t="s">
        <v>1350</v>
      </c>
      <c r="B851" t="s">
        <v>114</v>
      </c>
      <c r="C851" t="s">
        <v>254</v>
      </c>
      <c r="D851" t="s">
        <v>3357</v>
      </c>
      <c r="E851" t="s">
        <v>68</v>
      </c>
      <c r="F851" t="s">
        <v>3358</v>
      </c>
      <c r="G851" t="s">
        <v>3359</v>
      </c>
      <c r="H851" t="s">
        <v>295</v>
      </c>
      <c r="I851" t="s">
        <v>2959</v>
      </c>
      <c r="J851" t="s">
        <v>336</v>
      </c>
      <c r="K851">
        <v>22</v>
      </c>
      <c r="L851">
        <v>24</v>
      </c>
      <c r="M851">
        <v>94</v>
      </c>
      <c r="N851" t="s">
        <v>344</v>
      </c>
      <c r="O851">
        <v>47</v>
      </c>
      <c r="P851">
        <v>71</v>
      </c>
      <c r="Q851" s="3">
        <v>0.11</v>
      </c>
    </row>
    <row r="852" spans="1:17" x14ac:dyDescent="0.35">
      <c r="A852" t="s">
        <v>727</v>
      </c>
      <c r="B852" t="s">
        <v>36</v>
      </c>
      <c r="C852" t="s">
        <v>456</v>
      </c>
      <c r="D852" t="s">
        <v>3360</v>
      </c>
      <c r="E852" t="s">
        <v>21</v>
      </c>
      <c r="F852" t="s">
        <v>3361</v>
      </c>
      <c r="G852" t="s">
        <v>3362</v>
      </c>
      <c r="H852" t="s">
        <v>295</v>
      </c>
      <c r="I852" t="s">
        <v>1492</v>
      </c>
      <c r="J852" t="s">
        <v>531</v>
      </c>
      <c r="K852">
        <v>29</v>
      </c>
      <c r="L852">
        <v>33</v>
      </c>
      <c r="M852">
        <v>88</v>
      </c>
      <c r="N852" t="s">
        <v>733</v>
      </c>
      <c r="O852">
        <v>50</v>
      </c>
      <c r="P852">
        <v>35</v>
      </c>
      <c r="Q852" s="3">
        <v>-0.51</v>
      </c>
    </row>
    <row r="853" spans="1:17" x14ac:dyDescent="0.35">
      <c r="A853" t="s">
        <v>567</v>
      </c>
      <c r="B853" t="s">
        <v>65</v>
      </c>
      <c r="C853" t="s">
        <v>3363</v>
      </c>
      <c r="D853" t="s">
        <v>3364</v>
      </c>
      <c r="E853" t="s">
        <v>21</v>
      </c>
      <c r="F853" t="s">
        <v>3365</v>
      </c>
      <c r="G853" t="s">
        <v>3366</v>
      </c>
      <c r="H853" t="s">
        <v>295</v>
      </c>
      <c r="I853" t="s">
        <v>652</v>
      </c>
      <c r="J853" t="s">
        <v>756</v>
      </c>
      <c r="K853">
        <v>79</v>
      </c>
      <c r="L853">
        <v>47</v>
      </c>
      <c r="M853">
        <v>51</v>
      </c>
      <c r="N853" t="s">
        <v>572</v>
      </c>
      <c r="O853">
        <v>83</v>
      </c>
      <c r="P853">
        <v>69</v>
      </c>
      <c r="Q853" s="3">
        <v>0.3</v>
      </c>
    </row>
    <row r="854" spans="1:17" x14ac:dyDescent="0.35">
      <c r="A854" t="s">
        <v>1201</v>
      </c>
      <c r="B854" t="s">
        <v>18</v>
      </c>
      <c r="C854" t="s">
        <v>3000</v>
      </c>
      <c r="D854" t="s">
        <v>3367</v>
      </c>
      <c r="E854" t="s">
        <v>21</v>
      </c>
      <c r="F854" t="s">
        <v>3368</v>
      </c>
      <c r="G854" t="s">
        <v>3369</v>
      </c>
      <c r="H854" t="s">
        <v>2260</v>
      </c>
      <c r="I854" t="s">
        <v>398</v>
      </c>
      <c r="J854" t="s">
        <v>56</v>
      </c>
      <c r="K854">
        <v>95</v>
      </c>
      <c r="L854">
        <v>29</v>
      </c>
      <c r="M854">
        <v>28</v>
      </c>
      <c r="N854" t="s">
        <v>121</v>
      </c>
      <c r="O854">
        <v>52</v>
      </c>
      <c r="P854">
        <v>46</v>
      </c>
      <c r="Q854" s="3">
        <v>0.17</v>
      </c>
    </row>
    <row r="855" spans="1:17" x14ac:dyDescent="0.35">
      <c r="A855" t="s">
        <v>1311</v>
      </c>
      <c r="B855" t="s">
        <v>36</v>
      </c>
      <c r="C855" t="s">
        <v>490</v>
      </c>
      <c r="D855" t="s">
        <v>3370</v>
      </c>
      <c r="E855" t="s">
        <v>68</v>
      </c>
      <c r="F855" t="s">
        <v>3371</v>
      </c>
      <c r="G855" t="s">
        <v>3372</v>
      </c>
      <c r="H855" t="s">
        <v>2260</v>
      </c>
      <c r="I855" s="1">
        <v>45516</v>
      </c>
      <c r="J855" t="s">
        <v>187</v>
      </c>
      <c r="K855">
        <v>70</v>
      </c>
      <c r="L855">
        <v>84</v>
      </c>
      <c r="M855">
        <v>72</v>
      </c>
      <c r="N855" t="s">
        <v>798</v>
      </c>
      <c r="O855">
        <v>71</v>
      </c>
      <c r="P855">
        <v>20</v>
      </c>
      <c r="Q855" s="3">
        <v>0.12</v>
      </c>
    </row>
    <row r="856" spans="1:17" x14ac:dyDescent="0.35">
      <c r="A856" t="s">
        <v>183</v>
      </c>
      <c r="B856" t="s">
        <v>18</v>
      </c>
      <c r="C856" t="s">
        <v>654</v>
      </c>
      <c r="D856" t="s">
        <v>3373</v>
      </c>
      <c r="E856" t="s">
        <v>30</v>
      </c>
      <c r="F856" t="s">
        <v>3374</v>
      </c>
      <c r="G856" t="s">
        <v>3375</v>
      </c>
      <c r="H856" t="s">
        <v>2260</v>
      </c>
      <c r="I856" t="s">
        <v>879</v>
      </c>
      <c r="J856" s="1">
        <v>45392</v>
      </c>
      <c r="K856">
        <v>61</v>
      </c>
      <c r="L856">
        <v>100</v>
      </c>
      <c r="M856">
        <v>94</v>
      </c>
      <c r="N856" t="s">
        <v>121</v>
      </c>
      <c r="O856">
        <v>76</v>
      </c>
      <c r="P856">
        <v>2</v>
      </c>
      <c r="Q856" s="3">
        <v>0.72</v>
      </c>
    </row>
    <row r="857" spans="1:17" x14ac:dyDescent="0.35">
      <c r="A857" t="s">
        <v>388</v>
      </c>
      <c r="B857" t="s">
        <v>75</v>
      </c>
      <c r="C857" t="s">
        <v>213</v>
      </c>
      <c r="D857" t="s">
        <v>3376</v>
      </c>
      <c r="E857" t="s">
        <v>30</v>
      </c>
      <c r="F857" t="s">
        <v>3377</v>
      </c>
      <c r="G857" t="s">
        <v>3378</v>
      </c>
      <c r="H857" t="s">
        <v>2260</v>
      </c>
      <c r="I857" t="s">
        <v>479</v>
      </c>
      <c r="J857" s="1">
        <v>45508</v>
      </c>
      <c r="K857">
        <v>11</v>
      </c>
      <c r="L857">
        <v>17</v>
      </c>
      <c r="M857">
        <v>59</v>
      </c>
      <c r="N857" t="s">
        <v>344</v>
      </c>
      <c r="O857">
        <v>69</v>
      </c>
      <c r="P857">
        <v>100</v>
      </c>
      <c r="Q857" s="3">
        <v>0.97</v>
      </c>
    </row>
    <row r="858" spans="1:17" x14ac:dyDescent="0.35">
      <c r="A858" t="s">
        <v>750</v>
      </c>
      <c r="B858" t="s">
        <v>36</v>
      </c>
      <c r="C858" t="s">
        <v>1445</v>
      </c>
      <c r="D858" t="s">
        <v>3379</v>
      </c>
      <c r="E858" t="s">
        <v>21</v>
      </c>
      <c r="F858" t="s">
        <v>3380</v>
      </c>
      <c r="G858" t="s">
        <v>3381</v>
      </c>
      <c r="H858" t="s">
        <v>2260</v>
      </c>
      <c r="I858" s="1">
        <v>45451</v>
      </c>
      <c r="J858" t="s">
        <v>2092</v>
      </c>
      <c r="K858">
        <v>39</v>
      </c>
      <c r="L858">
        <v>80</v>
      </c>
      <c r="M858">
        <v>68</v>
      </c>
      <c r="N858" t="s">
        <v>128</v>
      </c>
      <c r="O858">
        <v>46</v>
      </c>
      <c r="P858">
        <v>54</v>
      </c>
      <c r="Q858" s="3">
        <v>-0.45</v>
      </c>
    </row>
    <row r="859" spans="1:17" x14ac:dyDescent="0.35">
      <c r="A859" t="s">
        <v>17</v>
      </c>
      <c r="B859" t="s">
        <v>18</v>
      </c>
      <c r="C859" t="s">
        <v>143</v>
      </c>
      <c r="D859" t="s">
        <v>3382</v>
      </c>
      <c r="E859" t="s">
        <v>21</v>
      </c>
      <c r="F859" t="s">
        <v>3383</v>
      </c>
      <c r="G859" t="s">
        <v>3384</v>
      </c>
      <c r="H859" t="s">
        <v>2959</v>
      </c>
      <c r="I859" t="s">
        <v>903</v>
      </c>
      <c r="J859" t="s">
        <v>422</v>
      </c>
      <c r="K859">
        <v>50</v>
      </c>
      <c r="L859">
        <v>3</v>
      </c>
      <c r="M859">
        <v>88</v>
      </c>
      <c r="N859" t="s">
        <v>134</v>
      </c>
      <c r="O859">
        <v>69</v>
      </c>
      <c r="P859">
        <v>73</v>
      </c>
      <c r="Q859" s="3">
        <v>-0.17</v>
      </c>
    </row>
    <row r="860" spans="1:17" x14ac:dyDescent="0.35">
      <c r="A860" t="s">
        <v>734</v>
      </c>
      <c r="B860" t="s">
        <v>163</v>
      </c>
      <c r="C860" t="s">
        <v>2311</v>
      </c>
      <c r="D860" t="s">
        <v>3385</v>
      </c>
      <c r="E860" t="s">
        <v>68</v>
      </c>
      <c r="F860" t="s">
        <v>3386</v>
      </c>
      <c r="G860" t="s">
        <v>3387</v>
      </c>
      <c r="H860" t="s">
        <v>2959</v>
      </c>
      <c r="I860" t="s">
        <v>312</v>
      </c>
      <c r="J860" s="1">
        <v>45363</v>
      </c>
      <c r="K860">
        <v>59</v>
      </c>
      <c r="L860">
        <v>17</v>
      </c>
      <c r="M860">
        <v>1</v>
      </c>
      <c r="N860" t="s">
        <v>740</v>
      </c>
      <c r="O860">
        <v>69</v>
      </c>
      <c r="P860">
        <v>82</v>
      </c>
      <c r="Q860" s="3">
        <v>-0.06</v>
      </c>
    </row>
    <row r="861" spans="1:17" x14ac:dyDescent="0.35">
      <c r="A861" t="s">
        <v>1292</v>
      </c>
      <c r="B861" t="s">
        <v>18</v>
      </c>
      <c r="C861" t="s">
        <v>2381</v>
      </c>
      <c r="D861" t="s">
        <v>3388</v>
      </c>
      <c r="E861" t="s">
        <v>30</v>
      </c>
      <c r="F861" t="s">
        <v>3389</v>
      </c>
      <c r="G861" t="s">
        <v>3390</v>
      </c>
      <c r="H861" t="s">
        <v>2959</v>
      </c>
      <c r="I861" s="1">
        <v>45902</v>
      </c>
      <c r="J861" s="1">
        <v>45871</v>
      </c>
      <c r="K861">
        <v>16</v>
      </c>
      <c r="L861">
        <v>23</v>
      </c>
      <c r="M861">
        <v>76</v>
      </c>
      <c r="N861" t="s">
        <v>2421</v>
      </c>
      <c r="O861">
        <v>50</v>
      </c>
      <c r="P861">
        <v>27</v>
      </c>
      <c r="Q861" s="3">
        <v>-0.19</v>
      </c>
    </row>
    <row r="862" spans="1:17" x14ac:dyDescent="0.35">
      <c r="A862" t="s">
        <v>222</v>
      </c>
      <c r="B862" t="s">
        <v>65</v>
      </c>
      <c r="C862" t="s">
        <v>201</v>
      </c>
      <c r="D862" t="s">
        <v>3391</v>
      </c>
      <c r="E862" t="s">
        <v>68</v>
      </c>
      <c r="F862" t="s">
        <v>3392</v>
      </c>
      <c r="G862" t="s">
        <v>3393</v>
      </c>
      <c r="H862" t="s">
        <v>600</v>
      </c>
      <c r="I862" t="s">
        <v>1959</v>
      </c>
      <c r="J862" t="s">
        <v>555</v>
      </c>
      <c r="K862">
        <v>62</v>
      </c>
      <c r="L862">
        <v>79</v>
      </c>
      <c r="M862">
        <v>23</v>
      </c>
      <c r="N862" t="s">
        <v>49</v>
      </c>
      <c r="O862">
        <v>32</v>
      </c>
      <c r="P862">
        <v>80</v>
      </c>
      <c r="Q862" s="3">
        <v>0.46</v>
      </c>
    </row>
    <row r="863" spans="1:17" x14ac:dyDescent="0.35">
      <c r="A863" t="s">
        <v>842</v>
      </c>
      <c r="B863" t="s">
        <v>75</v>
      </c>
      <c r="C863" t="s">
        <v>1222</v>
      </c>
      <c r="D863" t="s">
        <v>3394</v>
      </c>
      <c r="E863" t="s">
        <v>30</v>
      </c>
      <c r="F863" t="s">
        <v>3395</v>
      </c>
      <c r="G863" t="s">
        <v>3396</v>
      </c>
      <c r="H863" t="s">
        <v>600</v>
      </c>
      <c r="I863" t="s">
        <v>1246</v>
      </c>
      <c r="J863" t="s">
        <v>488</v>
      </c>
      <c r="K863">
        <v>30</v>
      </c>
      <c r="L863">
        <v>81</v>
      </c>
      <c r="M863">
        <v>99</v>
      </c>
      <c r="N863" t="s">
        <v>88</v>
      </c>
      <c r="O863">
        <v>99</v>
      </c>
      <c r="P863">
        <v>3</v>
      </c>
      <c r="Q863" s="3">
        <v>-1.5</v>
      </c>
    </row>
    <row r="864" spans="1:17" x14ac:dyDescent="0.35">
      <c r="A864" t="s">
        <v>496</v>
      </c>
      <c r="B864" t="s">
        <v>18</v>
      </c>
      <c r="C864" t="s">
        <v>321</v>
      </c>
      <c r="D864" t="s">
        <v>3397</v>
      </c>
      <c r="E864" t="s">
        <v>30</v>
      </c>
      <c r="F864" t="s">
        <v>3398</v>
      </c>
      <c r="G864" t="s">
        <v>3399</v>
      </c>
      <c r="H864" t="s">
        <v>600</v>
      </c>
      <c r="I864" t="s">
        <v>779</v>
      </c>
      <c r="J864" t="s">
        <v>71</v>
      </c>
      <c r="K864">
        <v>13</v>
      </c>
      <c r="L864">
        <v>61</v>
      </c>
      <c r="M864">
        <v>77</v>
      </c>
      <c r="N864" t="s">
        <v>502</v>
      </c>
      <c r="O864">
        <v>42</v>
      </c>
      <c r="P864">
        <v>18</v>
      </c>
      <c r="Q864" s="3">
        <v>0.97</v>
      </c>
    </row>
    <row r="865" spans="1:17" x14ac:dyDescent="0.35">
      <c r="A865" t="s">
        <v>718</v>
      </c>
      <c r="B865" t="s">
        <v>65</v>
      </c>
      <c r="C865" t="s">
        <v>362</v>
      </c>
      <c r="D865" t="s">
        <v>3400</v>
      </c>
      <c r="E865" t="s">
        <v>68</v>
      </c>
      <c r="F865" t="s">
        <v>3401</v>
      </c>
      <c r="G865" t="s">
        <v>3402</v>
      </c>
      <c r="H865" t="s">
        <v>577</v>
      </c>
      <c r="I865" s="1">
        <v>45354</v>
      </c>
      <c r="J865" t="s">
        <v>2612</v>
      </c>
      <c r="K865">
        <v>14</v>
      </c>
      <c r="L865">
        <v>16</v>
      </c>
      <c r="M865">
        <v>93</v>
      </c>
      <c r="N865" t="s">
        <v>34</v>
      </c>
      <c r="O865">
        <v>39</v>
      </c>
      <c r="P865">
        <v>30</v>
      </c>
      <c r="Q865" s="3">
        <v>0.56999999999999995</v>
      </c>
    </row>
    <row r="866" spans="1:17" x14ac:dyDescent="0.35">
      <c r="A866" t="s">
        <v>423</v>
      </c>
      <c r="B866" t="s">
        <v>65</v>
      </c>
      <c r="C866" t="s">
        <v>787</v>
      </c>
      <c r="D866" t="s">
        <v>3403</v>
      </c>
      <c r="E866" t="s">
        <v>21</v>
      </c>
      <c r="F866" t="s">
        <v>3404</v>
      </c>
      <c r="G866" t="s">
        <v>3405</v>
      </c>
      <c r="H866" t="s">
        <v>577</v>
      </c>
      <c r="I866" t="s">
        <v>739</v>
      </c>
      <c r="J866" t="s">
        <v>780</v>
      </c>
      <c r="K866">
        <v>46</v>
      </c>
      <c r="L866">
        <v>6</v>
      </c>
      <c r="M866">
        <v>64</v>
      </c>
      <c r="N866" t="s">
        <v>82</v>
      </c>
      <c r="O866">
        <v>63</v>
      </c>
      <c r="P866">
        <v>29</v>
      </c>
      <c r="Q866" s="3">
        <v>0.23</v>
      </c>
    </row>
    <row r="867" spans="1:17" x14ac:dyDescent="0.35">
      <c r="A867" t="s">
        <v>708</v>
      </c>
      <c r="B867" t="s">
        <v>163</v>
      </c>
      <c r="C867" t="s">
        <v>3406</v>
      </c>
      <c r="D867" t="s">
        <v>3407</v>
      </c>
      <c r="E867" t="s">
        <v>21</v>
      </c>
      <c r="F867" t="s">
        <v>3408</v>
      </c>
      <c r="G867" t="s">
        <v>3409</v>
      </c>
      <c r="H867" t="s">
        <v>577</v>
      </c>
      <c r="I867" t="s">
        <v>957</v>
      </c>
      <c r="J867" s="1">
        <v>45507</v>
      </c>
      <c r="K867">
        <v>62</v>
      </c>
      <c r="L867">
        <v>23</v>
      </c>
      <c r="M867">
        <v>25</v>
      </c>
      <c r="N867" t="s">
        <v>2727</v>
      </c>
      <c r="O867">
        <v>34</v>
      </c>
      <c r="P867">
        <v>68</v>
      </c>
      <c r="Q867" s="3">
        <v>0.54</v>
      </c>
    </row>
    <row r="868" spans="1:17" x14ac:dyDescent="0.35">
      <c r="A868" t="s">
        <v>376</v>
      </c>
      <c r="B868" t="s">
        <v>18</v>
      </c>
      <c r="C868" t="s">
        <v>1271</v>
      </c>
      <c r="D868" t="s">
        <v>3410</v>
      </c>
      <c r="E868" t="s">
        <v>68</v>
      </c>
      <c r="F868" t="s">
        <v>3411</v>
      </c>
      <c r="G868" t="s">
        <v>3412</v>
      </c>
      <c r="H868" t="s">
        <v>577</v>
      </c>
      <c r="I868" t="s">
        <v>294</v>
      </c>
      <c r="J868" t="s">
        <v>1162</v>
      </c>
      <c r="K868">
        <v>16</v>
      </c>
      <c r="L868">
        <v>75</v>
      </c>
      <c r="M868">
        <v>42</v>
      </c>
      <c r="N868" t="s">
        <v>34</v>
      </c>
      <c r="O868">
        <v>22</v>
      </c>
      <c r="P868">
        <v>46</v>
      </c>
      <c r="Q868" s="3">
        <v>-1</v>
      </c>
    </row>
    <row r="869" spans="1:17" x14ac:dyDescent="0.35">
      <c r="A869" t="s">
        <v>467</v>
      </c>
      <c r="B869" t="s">
        <v>65</v>
      </c>
      <c r="C869" t="s">
        <v>928</v>
      </c>
      <c r="D869" t="s">
        <v>3413</v>
      </c>
      <c r="E869" t="s">
        <v>21</v>
      </c>
      <c r="F869" t="s">
        <v>3414</v>
      </c>
      <c r="G869" t="s">
        <v>3415</v>
      </c>
      <c r="H869" t="s">
        <v>892</v>
      </c>
      <c r="I869" s="1">
        <v>45423</v>
      </c>
      <c r="J869" t="s">
        <v>1039</v>
      </c>
      <c r="K869">
        <v>54</v>
      </c>
      <c r="L869">
        <v>69</v>
      </c>
      <c r="M869">
        <v>68</v>
      </c>
      <c r="N869" t="s">
        <v>370</v>
      </c>
      <c r="O869">
        <v>77</v>
      </c>
      <c r="P869">
        <v>56</v>
      </c>
      <c r="Q869" s="3">
        <v>-1.0900000000000001</v>
      </c>
    </row>
    <row r="870" spans="1:17" x14ac:dyDescent="0.35">
      <c r="A870" t="s">
        <v>26</v>
      </c>
      <c r="B870" t="s">
        <v>27</v>
      </c>
      <c r="C870" t="s">
        <v>1399</v>
      </c>
      <c r="D870" t="s">
        <v>3416</v>
      </c>
      <c r="E870" t="s">
        <v>30</v>
      </c>
      <c r="F870" t="s">
        <v>3417</v>
      </c>
      <c r="G870" t="s">
        <v>3418</v>
      </c>
      <c r="H870" t="s">
        <v>1195</v>
      </c>
      <c r="I870" t="s">
        <v>1661</v>
      </c>
      <c r="J870" t="s">
        <v>252</v>
      </c>
      <c r="K870">
        <v>57</v>
      </c>
      <c r="L870">
        <v>99</v>
      </c>
      <c r="M870">
        <v>23</v>
      </c>
      <c r="N870" t="s">
        <v>34</v>
      </c>
      <c r="O870">
        <v>89</v>
      </c>
      <c r="P870">
        <v>21</v>
      </c>
      <c r="Q870" s="3">
        <v>0.27</v>
      </c>
    </row>
    <row r="871" spans="1:17" x14ac:dyDescent="0.35">
      <c r="A871" t="s">
        <v>435</v>
      </c>
      <c r="B871" t="s">
        <v>18</v>
      </c>
      <c r="C871" t="s">
        <v>3419</v>
      </c>
      <c r="D871" t="s">
        <v>3420</v>
      </c>
      <c r="E871" t="s">
        <v>68</v>
      </c>
      <c r="F871" t="s">
        <v>3421</v>
      </c>
      <c r="G871" t="s">
        <v>3422</v>
      </c>
      <c r="H871" t="s">
        <v>1195</v>
      </c>
      <c r="I871" s="1">
        <v>45355</v>
      </c>
      <c r="J871" s="1">
        <v>45575</v>
      </c>
      <c r="K871">
        <v>17</v>
      </c>
      <c r="L871">
        <v>45</v>
      </c>
      <c r="M871">
        <v>44</v>
      </c>
      <c r="N871" t="s">
        <v>344</v>
      </c>
      <c r="O871">
        <v>37</v>
      </c>
      <c r="P871">
        <v>16</v>
      </c>
      <c r="Q871" s="3">
        <v>0.76</v>
      </c>
    </row>
    <row r="872" spans="1:17" x14ac:dyDescent="0.35">
      <c r="A872" t="s">
        <v>975</v>
      </c>
      <c r="B872" t="s">
        <v>18</v>
      </c>
      <c r="C872" t="s">
        <v>3423</v>
      </c>
      <c r="D872" t="s">
        <v>3424</v>
      </c>
      <c r="E872" t="s">
        <v>68</v>
      </c>
      <c r="F872" t="s">
        <v>3425</v>
      </c>
      <c r="G872" t="s">
        <v>3426</v>
      </c>
      <c r="H872" t="s">
        <v>1195</v>
      </c>
      <c r="I872" t="s">
        <v>41</v>
      </c>
      <c r="J872" s="1">
        <v>45325</v>
      </c>
      <c r="K872">
        <v>99</v>
      </c>
      <c r="L872">
        <v>37</v>
      </c>
      <c r="M872">
        <v>74</v>
      </c>
      <c r="N872" t="s">
        <v>1254</v>
      </c>
      <c r="O872">
        <v>46</v>
      </c>
      <c r="P872">
        <v>46</v>
      </c>
      <c r="Q872" s="3">
        <v>0.56999999999999995</v>
      </c>
    </row>
    <row r="873" spans="1:17" x14ac:dyDescent="0.35">
      <c r="A873" t="s">
        <v>1201</v>
      </c>
      <c r="B873" t="s">
        <v>18</v>
      </c>
      <c r="C873" t="s">
        <v>2023</v>
      </c>
      <c r="D873" t="s">
        <v>3427</v>
      </c>
      <c r="E873" t="s">
        <v>21</v>
      </c>
      <c r="F873" t="s">
        <v>3428</v>
      </c>
      <c r="G873" t="s">
        <v>3429</v>
      </c>
      <c r="H873" t="s">
        <v>159</v>
      </c>
      <c r="I873" s="1">
        <v>45810</v>
      </c>
      <c r="J873" s="1">
        <v>45541</v>
      </c>
      <c r="K873">
        <v>40</v>
      </c>
      <c r="L873">
        <v>8</v>
      </c>
      <c r="M873">
        <v>98</v>
      </c>
      <c r="N873" t="s">
        <v>121</v>
      </c>
      <c r="O873">
        <v>86</v>
      </c>
      <c r="P873">
        <v>12</v>
      </c>
      <c r="Q873" s="3">
        <v>0</v>
      </c>
    </row>
    <row r="874" spans="1:17" x14ac:dyDescent="0.35">
      <c r="A874" t="s">
        <v>350</v>
      </c>
      <c r="B874" t="s">
        <v>36</v>
      </c>
      <c r="C874" t="s">
        <v>3277</v>
      </c>
      <c r="D874" t="s">
        <v>3430</v>
      </c>
      <c r="E874" t="s">
        <v>21</v>
      </c>
      <c r="F874" t="s">
        <v>3431</v>
      </c>
      <c r="G874" t="s">
        <v>3432</v>
      </c>
      <c r="H874" t="s">
        <v>159</v>
      </c>
      <c r="I874" s="1">
        <v>45718</v>
      </c>
      <c r="J874" t="s">
        <v>1306</v>
      </c>
      <c r="K874">
        <v>41</v>
      </c>
      <c r="L874">
        <v>61</v>
      </c>
      <c r="M874">
        <v>69</v>
      </c>
      <c r="N874" t="s">
        <v>355</v>
      </c>
      <c r="O874">
        <v>30</v>
      </c>
      <c r="P874">
        <v>100</v>
      </c>
      <c r="Q874" s="3">
        <v>0.86</v>
      </c>
    </row>
    <row r="875" spans="1:17" x14ac:dyDescent="0.35">
      <c r="A875" t="s">
        <v>212</v>
      </c>
      <c r="B875" t="s">
        <v>75</v>
      </c>
      <c r="C875" t="s">
        <v>3433</v>
      </c>
      <c r="D875" t="s">
        <v>3434</v>
      </c>
      <c r="E875" t="s">
        <v>21</v>
      </c>
      <c r="F875" t="s">
        <v>3435</v>
      </c>
      <c r="G875" t="s">
        <v>3436</v>
      </c>
      <c r="H875" t="s">
        <v>159</v>
      </c>
      <c r="I875" t="s">
        <v>1726</v>
      </c>
      <c r="J875" t="s">
        <v>577</v>
      </c>
      <c r="K875">
        <v>14</v>
      </c>
      <c r="L875">
        <v>52</v>
      </c>
      <c r="M875">
        <v>80</v>
      </c>
      <c r="N875" t="s">
        <v>3437</v>
      </c>
      <c r="O875">
        <v>64</v>
      </c>
      <c r="P875">
        <v>17</v>
      </c>
      <c r="Q875" s="3">
        <v>-2.33</v>
      </c>
    </row>
    <row r="876" spans="1:17" x14ac:dyDescent="0.35">
      <c r="A876" t="s">
        <v>1502</v>
      </c>
      <c r="B876" t="s">
        <v>114</v>
      </c>
      <c r="C876" t="s">
        <v>3438</v>
      </c>
      <c r="D876" t="s">
        <v>3439</v>
      </c>
      <c r="E876" t="s">
        <v>30</v>
      </c>
      <c r="F876" t="s">
        <v>3440</v>
      </c>
      <c r="G876" t="s">
        <v>3441</v>
      </c>
      <c r="H876" t="s">
        <v>1306</v>
      </c>
      <c r="I876" t="s">
        <v>120</v>
      </c>
      <c r="J876" s="1">
        <v>45385</v>
      </c>
      <c r="K876">
        <v>80</v>
      </c>
      <c r="L876">
        <v>61</v>
      </c>
      <c r="M876">
        <v>23</v>
      </c>
      <c r="N876" t="s">
        <v>502</v>
      </c>
      <c r="O876">
        <v>63</v>
      </c>
      <c r="P876">
        <v>75</v>
      </c>
      <c r="Q876" s="3">
        <v>0.73</v>
      </c>
    </row>
    <row r="877" spans="1:17" x14ac:dyDescent="0.35">
      <c r="A877" t="s">
        <v>162</v>
      </c>
      <c r="B877" t="s">
        <v>163</v>
      </c>
      <c r="C877" t="s">
        <v>1874</v>
      </c>
      <c r="D877" t="s">
        <v>3442</v>
      </c>
      <c r="E877" t="s">
        <v>30</v>
      </c>
      <c r="F877" t="s">
        <v>3443</v>
      </c>
      <c r="G877" t="s">
        <v>3444</v>
      </c>
      <c r="H877" t="s">
        <v>1306</v>
      </c>
      <c r="I877" s="1">
        <v>45332</v>
      </c>
      <c r="J877" t="s">
        <v>269</v>
      </c>
      <c r="K877">
        <v>74</v>
      </c>
      <c r="L877">
        <v>10</v>
      </c>
      <c r="M877">
        <v>74</v>
      </c>
      <c r="N877" t="s">
        <v>169</v>
      </c>
      <c r="O877">
        <v>100</v>
      </c>
      <c r="P877">
        <v>66</v>
      </c>
      <c r="Q877" s="3">
        <v>-0.19</v>
      </c>
    </row>
    <row r="878" spans="1:17" x14ac:dyDescent="0.35">
      <c r="A878" t="s">
        <v>122</v>
      </c>
      <c r="B878" t="s">
        <v>18</v>
      </c>
      <c r="C878" t="s">
        <v>904</v>
      </c>
      <c r="D878" t="s">
        <v>3445</v>
      </c>
      <c r="E878" t="s">
        <v>68</v>
      </c>
      <c r="F878" t="s">
        <v>3446</v>
      </c>
      <c r="G878" t="s">
        <v>3447</v>
      </c>
      <c r="H878" t="s">
        <v>1306</v>
      </c>
      <c r="I878" s="1">
        <v>45332</v>
      </c>
      <c r="J878" t="s">
        <v>780</v>
      </c>
      <c r="K878">
        <v>77</v>
      </c>
      <c r="L878">
        <v>54</v>
      </c>
      <c r="M878">
        <v>10</v>
      </c>
      <c r="N878" t="s">
        <v>128</v>
      </c>
      <c r="O878">
        <v>64</v>
      </c>
      <c r="P878">
        <v>73</v>
      </c>
      <c r="Q878" s="3">
        <v>0.34</v>
      </c>
    </row>
    <row r="879" spans="1:17" x14ac:dyDescent="0.35">
      <c r="A879" t="s">
        <v>170</v>
      </c>
      <c r="B879" t="s">
        <v>18</v>
      </c>
      <c r="C879" t="s">
        <v>290</v>
      </c>
      <c r="D879" t="s">
        <v>3448</v>
      </c>
      <c r="E879" t="s">
        <v>21</v>
      </c>
      <c r="F879" t="s">
        <v>3449</v>
      </c>
      <c r="G879" t="s">
        <v>3450</v>
      </c>
      <c r="H879" t="s">
        <v>1306</v>
      </c>
      <c r="I879" t="s">
        <v>982</v>
      </c>
      <c r="J879" t="s">
        <v>1162</v>
      </c>
      <c r="K879">
        <v>44</v>
      </c>
      <c r="L879">
        <v>77</v>
      </c>
      <c r="M879">
        <v>45</v>
      </c>
      <c r="N879" t="s">
        <v>34</v>
      </c>
      <c r="O879">
        <v>89</v>
      </c>
      <c r="P879">
        <v>64</v>
      </c>
      <c r="Q879" s="3">
        <v>-0.14000000000000001</v>
      </c>
    </row>
    <row r="880" spans="1:17" x14ac:dyDescent="0.35">
      <c r="A880" t="s">
        <v>177</v>
      </c>
      <c r="B880" t="s">
        <v>18</v>
      </c>
      <c r="C880" t="s">
        <v>1653</v>
      </c>
      <c r="D880" t="s">
        <v>3451</v>
      </c>
      <c r="E880" t="s">
        <v>21</v>
      </c>
      <c r="F880" t="s">
        <v>3452</v>
      </c>
      <c r="G880" t="s">
        <v>3453</v>
      </c>
      <c r="H880" t="s">
        <v>55</v>
      </c>
      <c r="I880" t="s">
        <v>555</v>
      </c>
      <c r="J880" t="s">
        <v>1017</v>
      </c>
      <c r="K880">
        <v>92</v>
      </c>
      <c r="L880">
        <v>46</v>
      </c>
      <c r="M880">
        <v>13</v>
      </c>
      <c r="N880" t="s">
        <v>73</v>
      </c>
      <c r="O880">
        <v>24</v>
      </c>
      <c r="P880">
        <v>75</v>
      </c>
      <c r="Q880" s="3">
        <v>0.28000000000000003</v>
      </c>
    </row>
    <row r="881" spans="1:17" x14ac:dyDescent="0.35">
      <c r="A881" t="s">
        <v>1341</v>
      </c>
      <c r="B881" t="s">
        <v>18</v>
      </c>
      <c r="C881" t="s">
        <v>357</v>
      </c>
      <c r="D881" t="s">
        <v>3454</v>
      </c>
      <c r="E881" t="s">
        <v>21</v>
      </c>
      <c r="F881" t="s">
        <v>3455</v>
      </c>
      <c r="G881" t="s">
        <v>3456</v>
      </c>
      <c r="H881" t="s">
        <v>55</v>
      </c>
      <c r="I881" t="s">
        <v>2959</v>
      </c>
      <c r="J881" s="1">
        <v>45690</v>
      </c>
      <c r="K881">
        <v>26</v>
      </c>
      <c r="L881">
        <v>18</v>
      </c>
      <c r="M881">
        <v>62</v>
      </c>
      <c r="N881" t="s">
        <v>128</v>
      </c>
      <c r="O881">
        <v>57</v>
      </c>
      <c r="P881">
        <v>86</v>
      </c>
      <c r="Q881" s="3">
        <v>-2.13</v>
      </c>
    </row>
    <row r="882" spans="1:17" x14ac:dyDescent="0.35">
      <c r="A882" t="s">
        <v>567</v>
      </c>
      <c r="B882" t="s">
        <v>65</v>
      </c>
      <c r="C882" t="s">
        <v>357</v>
      </c>
      <c r="D882" t="s">
        <v>3457</v>
      </c>
      <c r="E882" t="s">
        <v>30</v>
      </c>
      <c r="F882" t="s">
        <v>3458</v>
      </c>
      <c r="G882" t="s">
        <v>3459</v>
      </c>
      <c r="H882" t="s">
        <v>55</v>
      </c>
      <c r="I882" t="s">
        <v>531</v>
      </c>
      <c r="J882" s="1">
        <v>45358</v>
      </c>
      <c r="K882">
        <v>13</v>
      </c>
      <c r="L882">
        <v>88</v>
      </c>
      <c r="M882">
        <v>7</v>
      </c>
      <c r="N882" t="s">
        <v>572</v>
      </c>
      <c r="O882">
        <v>24</v>
      </c>
      <c r="P882">
        <v>21</v>
      </c>
      <c r="Q882" s="3">
        <v>-0.51</v>
      </c>
    </row>
    <row r="883" spans="1:17" x14ac:dyDescent="0.35">
      <c r="A883" t="s">
        <v>58</v>
      </c>
      <c r="B883" t="s">
        <v>18</v>
      </c>
      <c r="C883" t="s">
        <v>672</v>
      </c>
      <c r="D883" t="s">
        <v>3460</v>
      </c>
      <c r="E883" t="s">
        <v>68</v>
      </c>
      <c r="F883" t="s">
        <v>3461</v>
      </c>
      <c r="G883" t="s">
        <v>3462</v>
      </c>
      <c r="H883" t="s">
        <v>55</v>
      </c>
      <c r="I883" t="s">
        <v>2970</v>
      </c>
      <c r="J883" t="s">
        <v>1905</v>
      </c>
      <c r="K883">
        <v>90</v>
      </c>
      <c r="L883">
        <v>92</v>
      </c>
      <c r="M883">
        <v>56</v>
      </c>
      <c r="N883" t="s">
        <v>128</v>
      </c>
      <c r="O883">
        <v>71</v>
      </c>
      <c r="P883">
        <v>13</v>
      </c>
      <c r="Q883" s="3">
        <v>0.13</v>
      </c>
    </row>
    <row r="884" spans="1:17" x14ac:dyDescent="0.35">
      <c r="A884" t="s">
        <v>270</v>
      </c>
      <c r="B884" t="s">
        <v>36</v>
      </c>
      <c r="C884" t="s">
        <v>1360</v>
      </c>
      <c r="D884" t="s">
        <v>3463</v>
      </c>
      <c r="E884" t="s">
        <v>68</v>
      </c>
      <c r="F884" t="s">
        <v>3464</v>
      </c>
      <c r="G884" t="s">
        <v>3465</v>
      </c>
      <c r="H884" t="s">
        <v>55</v>
      </c>
      <c r="I884" s="1">
        <v>45482</v>
      </c>
      <c r="J884" t="s">
        <v>312</v>
      </c>
      <c r="K884">
        <v>43</v>
      </c>
      <c r="L884">
        <v>73</v>
      </c>
      <c r="M884">
        <v>14</v>
      </c>
      <c r="N884" t="s">
        <v>121</v>
      </c>
      <c r="O884">
        <v>59</v>
      </c>
      <c r="P884">
        <v>65</v>
      </c>
      <c r="Q884" s="3">
        <v>0.82</v>
      </c>
    </row>
    <row r="885" spans="1:17" x14ac:dyDescent="0.35">
      <c r="A885" t="s">
        <v>1201</v>
      </c>
      <c r="B885" t="s">
        <v>18</v>
      </c>
      <c r="C885" t="s">
        <v>1004</v>
      </c>
      <c r="D885" t="s">
        <v>3466</v>
      </c>
      <c r="E885" t="s">
        <v>21</v>
      </c>
      <c r="F885" t="s">
        <v>3467</v>
      </c>
      <c r="G885" t="s">
        <v>3468</v>
      </c>
      <c r="H885" t="s">
        <v>55</v>
      </c>
      <c r="I885" t="s">
        <v>712</v>
      </c>
      <c r="J885" t="s">
        <v>1726</v>
      </c>
      <c r="K885">
        <v>85</v>
      </c>
      <c r="L885">
        <v>54</v>
      </c>
      <c r="M885">
        <v>18</v>
      </c>
      <c r="N885" t="s">
        <v>121</v>
      </c>
      <c r="O885">
        <v>85</v>
      </c>
      <c r="P885">
        <v>44</v>
      </c>
      <c r="Q885" s="3">
        <v>-0.1</v>
      </c>
    </row>
    <row r="886" spans="1:17" x14ac:dyDescent="0.35">
      <c r="A886" t="s">
        <v>135</v>
      </c>
      <c r="B886" t="s">
        <v>36</v>
      </c>
      <c r="C886" t="s">
        <v>1714</v>
      </c>
      <c r="D886" t="s">
        <v>3469</v>
      </c>
      <c r="E886" t="s">
        <v>21</v>
      </c>
      <c r="F886" t="s">
        <v>3470</v>
      </c>
      <c r="G886" t="s">
        <v>3471</v>
      </c>
      <c r="H886" t="s">
        <v>1296</v>
      </c>
      <c r="I886" s="1">
        <v>45600</v>
      </c>
      <c r="J886" t="s">
        <v>542</v>
      </c>
      <c r="K886">
        <v>44</v>
      </c>
      <c r="L886">
        <v>84</v>
      </c>
      <c r="M886">
        <v>63</v>
      </c>
      <c r="N886" t="s">
        <v>128</v>
      </c>
      <c r="O886">
        <v>51</v>
      </c>
      <c r="P886">
        <v>67</v>
      </c>
      <c r="Q886" s="3">
        <v>0.48</v>
      </c>
    </row>
    <row r="887" spans="1:17" x14ac:dyDescent="0.35">
      <c r="A887" t="s">
        <v>129</v>
      </c>
      <c r="B887" t="s">
        <v>18</v>
      </c>
      <c r="C887" t="s">
        <v>66</v>
      </c>
      <c r="D887" t="s">
        <v>3472</v>
      </c>
      <c r="E887" t="s">
        <v>68</v>
      </c>
      <c r="F887" t="s">
        <v>3473</v>
      </c>
      <c r="G887" t="s">
        <v>3474</v>
      </c>
      <c r="H887" t="s">
        <v>1296</v>
      </c>
      <c r="I887" s="1">
        <v>45809</v>
      </c>
      <c r="J887" s="1">
        <v>45932</v>
      </c>
      <c r="K887">
        <v>26</v>
      </c>
      <c r="L887">
        <v>95</v>
      </c>
      <c r="M887">
        <v>36</v>
      </c>
      <c r="N887" t="s">
        <v>134</v>
      </c>
      <c r="O887">
        <v>92</v>
      </c>
      <c r="P887">
        <v>14</v>
      </c>
      <c r="Q887" s="3">
        <v>-0.31</v>
      </c>
    </row>
    <row r="888" spans="1:17" x14ac:dyDescent="0.35">
      <c r="A888" t="s">
        <v>122</v>
      </c>
      <c r="B888" t="s">
        <v>18</v>
      </c>
      <c r="C888" t="s">
        <v>2122</v>
      </c>
      <c r="D888" t="s">
        <v>3475</v>
      </c>
      <c r="E888" t="s">
        <v>21</v>
      </c>
      <c r="F888" t="s">
        <v>3476</v>
      </c>
      <c r="G888" t="s">
        <v>3477</v>
      </c>
      <c r="H888" t="s">
        <v>1296</v>
      </c>
      <c r="I888" s="1">
        <v>45749</v>
      </c>
      <c r="J888" t="s">
        <v>1407</v>
      </c>
      <c r="K888">
        <v>86</v>
      </c>
      <c r="L888">
        <v>66</v>
      </c>
      <c r="M888">
        <v>24</v>
      </c>
      <c r="N888" t="s">
        <v>128</v>
      </c>
      <c r="O888">
        <v>30</v>
      </c>
      <c r="P888">
        <v>6</v>
      </c>
      <c r="Q888" s="3">
        <v>0.85</v>
      </c>
    </row>
    <row r="889" spans="1:17" x14ac:dyDescent="0.35">
      <c r="A889" t="s">
        <v>113</v>
      </c>
      <c r="B889" t="s">
        <v>114</v>
      </c>
      <c r="C889" t="s">
        <v>838</v>
      </c>
      <c r="D889" t="s">
        <v>3478</v>
      </c>
      <c r="E889" t="s">
        <v>21</v>
      </c>
      <c r="F889" t="s">
        <v>3479</v>
      </c>
      <c r="G889" t="s">
        <v>3480</v>
      </c>
      <c r="H889" t="s">
        <v>1296</v>
      </c>
      <c r="I889" s="1">
        <v>45638</v>
      </c>
      <c r="J889" t="s">
        <v>1682</v>
      </c>
      <c r="K889">
        <v>40</v>
      </c>
      <c r="L889">
        <v>91</v>
      </c>
      <c r="M889">
        <v>24</v>
      </c>
      <c r="N889" t="s">
        <v>121</v>
      </c>
      <c r="O889">
        <v>28</v>
      </c>
      <c r="P889">
        <v>47</v>
      </c>
      <c r="Q889" s="3">
        <v>0.8</v>
      </c>
    </row>
    <row r="890" spans="1:17" x14ac:dyDescent="0.35">
      <c r="A890" t="s">
        <v>496</v>
      </c>
      <c r="B890" t="s">
        <v>18</v>
      </c>
      <c r="C890" t="s">
        <v>327</v>
      </c>
      <c r="D890" t="s">
        <v>3481</v>
      </c>
      <c r="E890" t="s">
        <v>30</v>
      </c>
      <c r="F890" t="s">
        <v>3482</v>
      </c>
      <c r="G890" t="s">
        <v>3483</v>
      </c>
      <c r="H890" t="s">
        <v>1346</v>
      </c>
      <c r="I890" t="s">
        <v>56</v>
      </c>
      <c r="J890" t="s">
        <v>2959</v>
      </c>
      <c r="K890">
        <v>88</v>
      </c>
      <c r="L890">
        <v>99</v>
      </c>
      <c r="M890">
        <v>41</v>
      </c>
      <c r="N890" t="s">
        <v>502</v>
      </c>
      <c r="O890">
        <v>93</v>
      </c>
      <c r="P890">
        <v>99</v>
      </c>
      <c r="Q890" s="3">
        <v>-0.68</v>
      </c>
    </row>
    <row r="891" spans="1:17" x14ac:dyDescent="0.35">
      <c r="A891" t="s">
        <v>567</v>
      </c>
      <c r="B891" t="s">
        <v>65</v>
      </c>
      <c r="C891" t="s">
        <v>1519</v>
      </c>
      <c r="D891" t="s">
        <v>3484</v>
      </c>
      <c r="E891" t="s">
        <v>30</v>
      </c>
      <c r="F891" t="s">
        <v>3485</v>
      </c>
      <c r="G891" t="s">
        <v>3486</v>
      </c>
      <c r="H891" t="s">
        <v>1346</v>
      </c>
      <c r="I891" t="s">
        <v>1121</v>
      </c>
      <c r="J891" t="s">
        <v>2260</v>
      </c>
      <c r="K891">
        <v>37</v>
      </c>
      <c r="L891">
        <v>47</v>
      </c>
      <c r="M891">
        <v>34</v>
      </c>
      <c r="N891" t="s">
        <v>572</v>
      </c>
      <c r="O891">
        <v>38</v>
      </c>
      <c r="P891">
        <v>89</v>
      </c>
      <c r="Q891" s="3">
        <v>-0.06</v>
      </c>
    </row>
    <row r="892" spans="1:17" x14ac:dyDescent="0.35">
      <c r="A892" t="s">
        <v>331</v>
      </c>
      <c r="B892" t="s">
        <v>27</v>
      </c>
      <c r="C892" t="s">
        <v>1445</v>
      </c>
      <c r="D892" t="s">
        <v>3487</v>
      </c>
      <c r="E892" t="s">
        <v>68</v>
      </c>
      <c r="F892" t="s">
        <v>3488</v>
      </c>
      <c r="G892" t="s">
        <v>3489</v>
      </c>
      <c r="H892" t="s">
        <v>1346</v>
      </c>
      <c r="I892" s="1">
        <v>45574</v>
      </c>
      <c r="J892" t="s">
        <v>791</v>
      </c>
      <c r="K892">
        <v>21</v>
      </c>
      <c r="L892">
        <v>25</v>
      </c>
      <c r="M892">
        <v>39</v>
      </c>
      <c r="N892" t="s">
        <v>121</v>
      </c>
      <c r="O892">
        <v>79</v>
      </c>
      <c r="P892">
        <v>30</v>
      </c>
      <c r="Q892" s="3">
        <v>-1.34</v>
      </c>
    </row>
    <row r="893" spans="1:17" x14ac:dyDescent="0.35">
      <c r="A893" t="s">
        <v>17</v>
      </c>
      <c r="B893" t="s">
        <v>18</v>
      </c>
      <c r="C893" t="s">
        <v>1411</v>
      </c>
      <c r="D893" t="s">
        <v>3490</v>
      </c>
      <c r="E893" t="s">
        <v>21</v>
      </c>
      <c r="F893" t="s">
        <v>3491</v>
      </c>
      <c r="G893" t="s">
        <v>3492</v>
      </c>
      <c r="H893" t="s">
        <v>120</v>
      </c>
      <c r="I893" t="s">
        <v>1306</v>
      </c>
      <c r="J893" s="1">
        <v>45480</v>
      </c>
      <c r="K893">
        <v>70</v>
      </c>
      <c r="L893">
        <v>31</v>
      </c>
      <c r="M893">
        <v>55</v>
      </c>
      <c r="N893" t="s">
        <v>134</v>
      </c>
      <c r="O893">
        <v>23</v>
      </c>
      <c r="P893">
        <v>80</v>
      </c>
      <c r="Q893" s="3">
        <v>0.62</v>
      </c>
    </row>
    <row r="894" spans="1:17" x14ac:dyDescent="0.35">
      <c r="A894" t="s">
        <v>690</v>
      </c>
      <c r="B894" t="s">
        <v>36</v>
      </c>
      <c r="C894" t="s">
        <v>377</v>
      </c>
      <c r="D894" t="s">
        <v>3493</v>
      </c>
      <c r="E894" t="s">
        <v>30</v>
      </c>
      <c r="F894" t="s">
        <v>3494</v>
      </c>
      <c r="G894" t="s">
        <v>3495</v>
      </c>
      <c r="H894" t="s">
        <v>120</v>
      </c>
      <c r="I894" t="s">
        <v>1246</v>
      </c>
      <c r="J894" t="s">
        <v>812</v>
      </c>
      <c r="K894">
        <v>65</v>
      </c>
      <c r="L894">
        <v>94</v>
      </c>
      <c r="M894">
        <v>4</v>
      </c>
      <c r="N894" t="s">
        <v>128</v>
      </c>
      <c r="O894">
        <v>66</v>
      </c>
      <c r="P894">
        <v>36</v>
      </c>
      <c r="Q894" s="3">
        <v>-2.48</v>
      </c>
    </row>
    <row r="895" spans="1:17" x14ac:dyDescent="0.35">
      <c r="A895" t="s">
        <v>741</v>
      </c>
      <c r="B895" t="s">
        <v>27</v>
      </c>
      <c r="C895" t="s">
        <v>1531</v>
      </c>
      <c r="D895" t="s">
        <v>3496</v>
      </c>
      <c r="E895" t="s">
        <v>21</v>
      </c>
      <c r="F895" t="s">
        <v>3497</v>
      </c>
      <c r="G895" t="s">
        <v>3498</v>
      </c>
      <c r="H895" t="s">
        <v>120</v>
      </c>
      <c r="I895" t="s">
        <v>888</v>
      </c>
      <c r="J895" t="s">
        <v>199</v>
      </c>
      <c r="K895">
        <v>89</v>
      </c>
      <c r="L895">
        <v>79</v>
      </c>
      <c r="M895">
        <v>66</v>
      </c>
      <c r="N895" t="s">
        <v>73</v>
      </c>
      <c r="O895">
        <v>91</v>
      </c>
      <c r="P895">
        <v>31</v>
      </c>
      <c r="Q895" s="3">
        <v>0.45</v>
      </c>
    </row>
    <row r="896" spans="1:17" x14ac:dyDescent="0.35">
      <c r="A896" t="s">
        <v>337</v>
      </c>
      <c r="B896" t="s">
        <v>27</v>
      </c>
      <c r="C896" t="s">
        <v>862</v>
      </c>
      <c r="D896" t="s">
        <v>3499</v>
      </c>
      <c r="E896" t="s">
        <v>21</v>
      </c>
      <c r="F896" t="s">
        <v>3500</v>
      </c>
      <c r="G896" t="s">
        <v>3501</v>
      </c>
      <c r="H896" t="s">
        <v>2198</v>
      </c>
      <c r="I896" t="s">
        <v>1718</v>
      </c>
      <c r="J896" s="1">
        <v>45415</v>
      </c>
      <c r="K896">
        <v>47</v>
      </c>
      <c r="L896">
        <v>48</v>
      </c>
      <c r="M896">
        <v>73</v>
      </c>
      <c r="N896" t="s">
        <v>344</v>
      </c>
      <c r="O896">
        <v>42</v>
      </c>
      <c r="P896">
        <v>51</v>
      </c>
      <c r="Q896" s="3">
        <v>0.66</v>
      </c>
    </row>
    <row r="897" spans="1:17" x14ac:dyDescent="0.35">
      <c r="A897" t="s">
        <v>356</v>
      </c>
      <c r="B897" t="s">
        <v>18</v>
      </c>
      <c r="C897" t="s">
        <v>2450</v>
      </c>
      <c r="D897" t="s">
        <v>3502</v>
      </c>
      <c r="E897" t="s">
        <v>21</v>
      </c>
      <c r="F897" t="s">
        <v>3503</v>
      </c>
      <c r="G897" t="s">
        <v>3504</v>
      </c>
      <c r="H897" t="s">
        <v>2198</v>
      </c>
      <c r="I897" s="1">
        <v>45718</v>
      </c>
      <c r="J897" t="s">
        <v>187</v>
      </c>
      <c r="K897">
        <v>70</v>
      </c>
      <c r="L897">
        <v>30</v>
      </c>
      <c r="M897">
        <v>69</v>
      </c>
      <c r="N897" t="s">
        <v>282</v>
      </c>
      <c r="O897">
        <v>44</v>
      </c>
      <c r="P897">
        <v>42</v>
      </c>
      <c r="Q897" s="3">
        <v>-0.21</v>
      </c>
    </row>
    <row r="898" spans="1:17" x14ac:dyDescent="0.35">
      <c r="A898" t="s">
        <v>435</v>
      </c>
      <c r="B898" t="s">
        <v>18</v>
      </c>
      <c r="C898" t="s">
        <v>862</v>
      </c>
      <c r="D898" t="s">
        <v>3505</v>
      </c>
      <c r="E898" t="s">
        <v>30</v>
      </c>
      <c r="F898" t="s">
        <v>3506</v>
      </c>
      <c r="G898" t="s">
        <v>3507</v>
      </c>
      <c r="H898" t="s">
        <v>2198</v>
      </c>
      <c r="I898" t="s">
        <v>343</v>
      </c>
      <c r="J898" t="s">
        <v>774</v>
      </c>
      <c r="K898">
        <v>14</v>
      </c>
      <c r="L898">
        <v>66</v>
      </c>
      <c r="M898">
        <v>1</v>
      </c>
      <c r="N898" t="s">
        <v>344</v>
      </c>
      <c r="O898">
        <v>86</v>
      </c>
      <c r="P898">
        <v>15</v>
      </c>
      <c r="Q898" s="3">
        <v>0.05</v>
      </c>
    </row>
    <row r="899" spans="1:17" x14ac:dyDescent="0.35">
      <c r="A899" t="s">
        <v>527</v>
      </c>
      <c r="B899" t="s">
        <v>65</v>
      </c>
      <c r="C899" t="s">
        <v>2381</v>
      </c>
      <c r="D899" t="s">
        <v>3508</v>
      </c>
      <c r="E899" t="s">
        <v>21</v>
      </c>
      <c r="F899" t="s">
        <v>3509</v>
      </c>
      <c r="G899" t="s">
        <v>3510</v>
      </c>
      <c r="H899" t="s">
        <v>1506</v>
      </c>
      <c r="I899" s="1">
        <v>45749</v>
      </c>
      <c r="J899" s="1">
        <v>45454</v>
      </c>
      <c r="K899">
        <v>53</v>
      </c>
      <c r="L899">
        <v>86</v>
      </c>
      <c r="M899">
        <v>54</v>
      </c>
      <c r="N899" t="s">
        <v>153</v>
      </c>
      <c r="O899">
        <v>44</v>
      </c>
      <c r="P899">
        <v>3</v>
      </c>
      <c r="Q899" s="3">
        <v>0.83</v>
      </c>
    </row>
    <row r="900" spans="1:17" x14ac:dyDescent="0.35">
      <c r="A900" t="s">
        <v>435</v>
      </c>
      <c r="B900" t="s">
        <v>18</v>
      </c>
      <c r="C900" t="s">
        <v>2417</v>
      </c>
      <c r="D900" t="s">
        <v>3511</v>
      </c>
      <c r="E900" t="s">
        <v>68</v>
      </c>
      <c r="F900" t="s">
        <v>3512</v>
      </c>
      <c r="G900" t="s">
        <v>3513</v>
      </c>
      <c r="H900" t="s">
        <v>1506</v>
      </c>
      <c r="I900" t="s">
        <v>488</v>
      </c>
      <c r="J900" t="s">
        <v>808</v>
      </c>
      <c r="K900">
        <v>65</v>
      </c>
      <c r="L900">
        <v>69</v>
      </c>
      <c r="M900">
        <v>4</v>
      </c>
      <c r="N900" t="s">
        <v>344</v>
      </c>
      <c r="O900">
        <v>80</v>
      </c>
      <c r="P900">
        <v>26</v>
      </c>
      <c r="Q900" s="3">
        <v>0.93</v>
      </c>
    </row>
    <row r="901" spans="1:17" x14ac:dyDescent="0.35">
      <c r="A901" t="s">
        <v>188</v>
      </c>
      <c r="B901" t="s">
        <v>65</v>
      </c>
      <c r="C901" t="s">
        <v>51</v>
      </c>
      <c r="D901" t="s">
        <v>3514</v>
      </c>
      <c r="E901" t="s">
        <v>30</v>
      </c>
      <c r="F901" t="s">
        <v>3515</v>
      </c>
      <c r="G901" t="s">
        <v>3516</v>
      </c>
      <c r="H901" t="s">
        <v>1506</v>
      </c>
      <c r="I901" s="1">
        <v>45572</v>
      </c>
      <c r="J901" t="s">
        <v>1461</v>
      </c>
      <c r="K901">
        <v>98</v>
      </c>
      <c r="L901">
        <v>20</v>
      </c>
      <c r="M901">
        <v>81</v>
      </c>
      <c r="N901" t="s">
        <v>193</v>
      </c>
      <c r="O901">
        <v>51</v>
      </c>
      <c r="P901">
        <v>23</v>
      </c>
      <c r="Q901" s="3">
        <v>0.68</v>
      </c>
    </row>
    <row r="902" spans="1:17" x14ac:dyDescent="0.35">
      <c r="A902" t="s">
        <v>1371</v>
      </c>
      <c r="B902" t="s">
        <v>36</v>
      </c>
      <c r="C902" t="s">
        <v>1025</v>
      </c>
      <c r="D902" t="s">
        <v>3517</v>
      </c>
      <c r="E902" t="s">
        <v>21</v>
      </c>
      <c r="F902" t="s">
        <v>3518</v>
      </c>
      <c r="G902" t="s">
        <v>3519</v>
      </c>
      <c r="H902" t="s">
        <v>1506</v>
      </c>
      <c r="I902" t="s">
        <v>312</v>
      </c>
      <c r="J902" s="1">
        <v>45452</v>
      </c>
      <c r="K902">
        <v>83</v>
      </c>
      <c r="L902">
        <v>35</v>
      </c>
      <c r="M902">
        <v>43</v>
      </c>
      <c r="N902" t="s">
        <v>1376</v>
      </c>
      <c r="O902">
        <v>94</v>
      </c>
      <c r="P902">
        <v>68</v>
      </c>
      <c r="Q902" s="3">
        <v>0.55000000000000004</v>
      </c>
    </row>
    <row r="903" spans="1:17" x14ac:dyDescent="0.35">
      <c r="A903" t="s">
        <v>557</v>
      </c>
      <c r="B903" t="s">
        <v>18</v>
      </c>
      <c r="C903" t="s">
        <v>513</v>
      </c>
      <c r="D903" t="s">
        <v>3520</v>
      </c>
      <c r="E903" t="s">
        <v>68</v>
      </c>
      <c r="F903" t="s">
        <v>3521</v>
      </c>
      <c r="G903" t="s">
        <v>3522</v>
      </c>
      <c r="H903" t="s">
        <v>2092</v>
      </c>
      <c r="I903" t="s">
        <v>897</v>
      </c>
      <c r="J903" t="s">
        <v>175</v>
      </c>
      <c r="K903">
        <v>89</v>
      </c>
      <c r="L903">
        <v>57</v>
      </c>
      <c r="M903">
        <v>92</v>
      </c>
      <c r="N903" t="s">
        <v>73</v>
      </c>
      <c r="O903">
        <v>38</v>
      </c>
      <c r="P903">
        <v>16</v>
      </c>
      <c r="Q903" s="3">
        <v>0.28000000000000003</v>
      </c>
    </row>
    <row r="904" spans="1:17" x14ac:dyDescent="0.35">
      <c r="A904" t="s">
        <v>135</v>
      </c>
      <c r="B904" t="s">
        <v>36</v>
      </c>
      <c r="C904" t="s">
        <v>3523</v>
      </c>
      <c r="D904" t="s">
        <v>3524</v>
      </c>
      <c r="E904" t="s">
        <v>68</v>
      </c>
      <c r="F904" t="s">
        <v>3525</v>
      </c>
      <c r="G904" t="s">
        <v>3526</v>
      </c>
      <c r="H904" t="s">
        <v>2092</v>
      </c>
      <c r="I904" s="1">
        <v>45568</v>
      </c>
      <c r="J904" s="1">
        <v>45483</v>
      </c>
      <c r="K904">
        <v>23</v>
      </c>
      <c r="L904">
        <v>21</v>
      </c>
      <c r="M904">
        <v>59</v>
      </c>
      <c r="N904" t="s">
        <v>63</v>
      </c>
      <c r="O904">
        <v>81</v>
      </c>
      <c r="P904">
        <v>8</v>
      </c>
      <c r="Q904" s="3">
        <v>0.57999999999999996</v>
      </c>
    </row>
    <row r="905" spans="1:17" x14ac:dyDescent="0.35">
      <c r="A905" t="s">
        <v>591</v>
      </c>
      <c r="B905" t="s">
        <v>36</v>
      </c>
      <c r="C905" t="s">
        <v>1554</v>
      </c>
      <c r="D905" t="s">
        <v>3527</v>
      </c>
      <c r="E905" t="s">
        <v>30</v>
      </c>
      <c r="F905" t="s">
        <v>3528</v>
      </c>
      <c r="G905" t="s">
        <v>3529</v>
      </c>
      <c r="H905" t="s">
        <v>2092</v>
      </c>
      <c r="I905" s="1">
        <v>45480</v>
      </c>
      <c r="J905" t="s">
        <v>664</v>
      </c>
      <c r="K905">
        <v>39</v>
      </c>
      <c r="L905">
        <v>55</v>
      </c>
      <c r="M905">
        <v>39</v>
      </c>
      <c r="N905" t="s">
        <v>153</v>
      </c>
      <c r="O905">
        <v>47</v>
      </c>
      <c r="P905">
        <v>59</v>
      </c>
      <c r="Q905" s="3">
        <v>0.9</v>
      </c>
    </row>
    <row r="906" spans="1:17" x14ac:dyDescent="0.35">
      <c r="A906" t="s">
        <v>413</v>
      </c>
      <c r="B906" t="s">
        <v>65</v>
      </c>
      <c r="C906" t="s">
        <v>90</v>
      </c>
      <c r="D906" t="s">
        <v>3530</v>
      </c>
      <c r="E906" t="s">
        <v>21</v>
      </c>
      <c r="F906" t="s">
        <v>3531</v>
      </c>
      <c r="G906" t="s">
        <v>3532</v>
      </c>
      <c r="H906" t="s">
        <v>428</v>
      </c>
      <c r="I906" t="s">
        <v>1328</v>
      </c>
      <c r="J906" t="s">
        <v>1291</v>
      </c>
      <c r="K906">
        <v>22</v>
      </c>
      <c r="L906">
        <v>72</v>
      </c>
      <c r="M906">
        <v>70</v>
      </c>
      <c r="N906" t="s">
        <v>134</v>
      </c>
      <c r="O906">
        <v>32</v>
      </c>
      <c r="P906">
        <v>19</v>
      </c>
      <c r="Q906" s="3">
        <v>-0.26</v>
      </c>
    </row>
    <row r="907" spans="1:17" x14ac:dyDescent="0.35">
      <c r="A907" t="s">
        <v>331</v>
      </c>
      <c r="B907" t="s">
        <v>27</v>
      </c>
      <c r="C907" t="s">
        <v>3533</v>
      </c>
      <c r="D907" t="s">
        <v>3534</v>
      </c>
      <c r="E907" t="s">
        <v>21</v>
      </c>
      <c r="F907" t="s">
        <v>3535</v>
      </c>
      <c r="G907" t="s">
        <v>3536</v>
      </c>
      <c r="H907" t="s">
        <v>428</v>
      </c>
      <c r="I907" t="s">
        <v>258</v>
      </c>
      <c r="J907" t="s">
        <v>464</v>
      </c>
      <c r="K907">
        <v>79</v>
      </c>
      <c r="L907">
        <v>3</v>
      </c>
      <c r="M907">
        <v>36</v>
      </c>
      <c r="N907" t="s">
        <v>121</v>
      </c>
      <c r="O907">
        <v>46</v>
      </c>
      <c r="P907">
        <v>29</v>
      </c>
      <c r="Q907" s="3">
        <v>0.41</v>
      </c>
    </row>
    <row r="908" spans="1:17" x14ac:dyDescent="0.35">
      <c r="A908" t="s">
        <v>371</v>
      </c>
      <c r="B908" t="s">
        <v>75</v>
      </c>
      <c r="C908" t="s">
        <v>2616</v>
      </c>
      <c r="D908" t="s">
        <v>3537</v>
      </c>
      <c r="E908" t="s">
        <v>68</v>
      </c>
      <c r="F908" t="s">
        <v>3538</v>
      </c>
      <c r="G908" t="s">
        <v>3539</v>
      </c>
      <c r="H908" t="s">
        <v>140</v>
      </c>
      <c r="I908" s="1">
        <v>45301</v>
      </c>
      <c r="J908" s="1">
        <v>45360</v>
      </c>
      <c r="K908">
        <v>49</v>
      </c>
      <c r="L908">
        <v>73</v>
      </c>
      <c r="M908">
        <v>48</v>
      </c>
      <c r="N908" t="s">
        <v>42</v>
      </c>
      <c r="O908">
        <v>52</v>
      </c>
      <c r="P908">
        <v>62</v>
      </c>
      <c r="Q908" s="3">
        <v>0.37</v>
      </c>
    </row>
    <row r="909" spans="1:17" x14ac:dyDescent="0.35">
      <c r="A909" t="s">
        <v>296</v>
      </c>
      <c r="B909" t="s">
        <v>27</v>
      </c>
      <c r="C909" t="s">
        <v>1987</v>
      </c>
      <c r="D909" t="s">
        <v>3540</v>
      </c>
      <c r="E909" t="s">
        <v>30</v>
      </c>
      <c r="F909" t="s">
        <v>3541</v>
      </c>
      <c r="G909" t="s">
        <v>3542</v>
      </c>
      <c r="H909" t="s">
        <v>140</v>
      </c>
      <c r="I909" t="s">
        <v>55</v>
      </c>
      <c r="J909" t="s">
        <v>227</v>
      </c>
      <c r="K909">
        <v>35</v>
      </c>
      <c r="L909">
        <v>41</v>
      </c>
      <c r="M909">
        <v>84</v>
      </c>
      <c r="N909" t="s">
        <v>235</v>
      </c>
      <c r="O909">
        <v>62</v>
      </c>
      <c r="P909">
        <v>14</v>
      </c>
      <c r="Q909" s="3">
        <v>-0.19</v>
      </c>
    </row>
    <row r="910" spans="1:17" x14ac:dyDescent="0.35">
      <c r="A910" t="s">
        <v>718</v>
      </c>
      <c r="B910" t="s">
        <v>65</v>
      </c>
      <c r="C910" t="s">
        <v>1771</v>
      </c>
      <c r="D910" t="s">
        <v>3543</v>
      </c>
      <c r="E910" t="s">
        <v>68</v>
      </c>
      <c r="F910" t="s">
        <v>3544</v>
      </c>
      <c r="G910" t="s">
        <v>3545</v>
      </c>
      <c r="H910" t="s">
        <v>140</v>
      </c>
      <c r="I910" s="1">
        <v>45387</v>
      </c>
      <c r="J910" t="s">
        <v>1001</v>
      </c>
      <c r="K910">
        <v>27</v>
      </c>
      <c r="L910">
        <v>64</v>
      </c>
      <c r="M910">
        <v>78</v>
      </c>
      <c r="N910" t="s">
        <v>34</v>
      </c>
      <c r="O910">
        <v>57</v>
      </c>
      <c r="P910">
        <v>4</v>
      </c>
      <c r="Q910" s="3">
        <v>0.77</v>
      </c>
    </row>
    <row r="911" spans="1:17" x14ac:dyDescent="0.35">
      <c r="A911" t="s">
        <v>786</v>
      </c>
      <c r="B911" t="s">
        <v>65</v>
      </c>
      <c r="C911" t="s">
        <v>399</v>
      </c>
      <c r="D911" t="s">
        <v>3546</v>
      </c>
      <c r="E911" t="s">
        <v>21</v>
      </c>
      <c r="F911" t="s">
        <v>3547</v>
      </c>
      <c r="G911" t="s">
        <v>3548</v>
      </c>
      <c r="H911" t="s">
        <v>140</v>
      </c>
      <c r="I911" t="s">
        <v>294</v>
      </c>
      <c r="J911" s="1">
        <v>45538</v>
      </c>
      <c r="K911">
        <v>63</v>
      </c>
      <c r="L911">
        <v>4</v>
      </c>
      <c r="M911">
        <v>46</v>
      </c>
      <c r="N911" t="s">
        <v>128</v>
      </c>
      <c r="O911">
        <v>40</v>
      </c>
      <c r="P911">
        <v>69</v>
      </c>
      <c r="Q911" s="3">
        <v>0.93</v>
      </c>
    </row>
    <row r="912" spans="1:17" x14ac:dyDescent="0.35">
      <c r="A912" t="s">
        <v>129</v>
      </c>
      <c r="B912" t="s">
        <v>18</v>
      </c>
      <c r="C912" t="s">
        <v>1810</v>
      </c>
      <c r="D912" t="s">
        <v>3549</v>
      </c>
      <c r="E912" t="s">
        <v>21</v>
      </c>
      <c r="F912" t="s">
        <v>3550</v>
      </c>
      <c r="G912" t="s">
        <v>3551</v>
      </c>
      <c r="H912" t="s">
        <v>2458</v>
      </c>
      <c r="I912" t="s">
        <v>325</v>
      </c>
      <c r="J912" t="s">
        <v>888</v>
      </c>
      <c r="K912">
        <v>77</v>
      </c>
      <c r="L912">
        <v>20</v>
      </c>
      <c r="M912">
        <v>5</v>
      </c>
      <c r="N912" t="s">
        <v>134</v>
      </c>
      <c r="O912">
        <v>61</v>
      </c>
      <c r="P912">
        <v>62</v>
      </c>
      <c r="Q912" s="3">
        <v>-0.73</v>
      </c>
    </row>
    <row r="913" spans="1:17" x14ac:dyDescent="0.35">
      <c r="A913" t="s">
        <v>222</v>
      </c>
      <c r="B913" t="s">
        <v>65</v>
      </c>
      <c r="C913" t="s">
        <v>1531</v>
      </c>
      <c r="D913" t="s">
        <v>3552</v>
      </c>
      <c r="E913" t="s">
        <v>21</v>
      </c>
      <c r="F913" t="s">
        <v>3553</v>
      </c>
      <c r="G913" t="s">
        <v>3554</v>
      </c>
      <c r="H913" t="s">
        <v>2458</v>
      </c>
      <c r="I913" t="s">
        <v>381</v>
      </c>
      <c r="J913" t="s">
        <v>986</v>
      </c>
      <c r="K913">
        <v>14</v>
      </c>
      <c r="L913">
        <v>74</v>
      </c>
      <c r="M913">
        <v>71</v>
      </c>
      <c r="N913" t="s">
        <v>49</v>
      </c>
      <c r="O913">
        <v>37</v>
      </c>
      <c r="P913">
        <v>22</v>
      </c>
      <c r="Q913" s="3">
        <v>-0.02</v>
      </c>
    </row>
    <row r="914" spans="1:17" x14ac:dyDescent="0.35">
      <c r="A914" t="s">
        <v>1307</v>
      </c>
      <c r="B914" t="s">
        <v>163</v>
      </c>
      <c r="C914" t="s">
        <v>3140</v>
      </c>
      <c r="D914" t="s">
        <v>3555</v>
      </c>
      <c r="E914" t="s">
        <v>68</v>
      </c>
      <c r="F914" t="s">
        <v>3556</v>
      </c>
      <c r="G914" t="s">
        <v>3557</v>
      </c>
      <c r="H914" t="s">
        <v>2458</v>
      </c>
      <c r="I914" s="1">
        <v>45993</v>
      </c>
      <c r="J914" t="s">
        <v>957</v>
      </c>
      <c r="K914">
        <v>63</v>
      </c>
      <c r="L914">
        <v>92</v>
      </c>
      <c r="M914">
        <v>26</v>
      </c>
      <c r="N914" t="s">
        <v>798</v>
      </c>
      <c r="O914">
        <v>93</v>
      </c>
      <c r="P914">
        <v>99</v>
      </c>
      <c r="Q914" s="3">
        <v>0.41</v>
      </c>
    </row>
    <row r="915" spans="1:17" x14ac:dyDescent="0.35">
      <c r="A915" t="s">
        <v>418</v>
      </c>
      <c r="B915" t="s">
        <v>65</v>
      </c>
      <c r="C915" t="s">
        <v>606</v>
      </c>
      <c r="D915" t="s">
        <v>3558</v>
      </c>
      <c r="E915" t="s">
        <v>30</v>
      </c>
      <c r="F915" t="s">
        <v>3559</v>
      </c>
      <c r="G915" t="s">
        <v>3560</v>
      </c>
      <c r="H915" t="s">
        <v>2458</v>
      </c>
      <c r="I915" s="1">
        <v>45355</v>
      </c>
      <c r="J915" s="1">
        <v>45362</v>
      </c>
      <c r="K915">
        <v>85</v>
      </c>
      <c r="L915">
        <v>4</v>
      </c>
      <c r="M915">
        <v>75</v>
      </c>
      <c r="N915" t="s">
        <v>313</v>
      </c>
      <c r="O915">
        <v>95</v>
      </c>
      <c r="P915">
        <v>70</v>
      </c>
      <c r="Q915" s="3">
        <v>-0.06</v>
      </c>
    </row>
    <row r="916" spans="1:17" x14ac:dyDescent="0.35">
      <c r="A916" t="s">
        <v>212</v>
      </c>
      <c r="B916" t="s">
        <v>75</v>
      </c>
      <c r="C916" t="s">
        <v>1129</v>
      </c>
      <c r="D916" t="s">
        <v>3561</v>
      </c>
      <c r="E916" t="s">
        <v>68</v>
      </c>
      <c r="F916" t="s">
        <v>3562</v>
      </c>
      <c r="G916" t="s">
        <v>3563</v>
      </c>
      <c r="H916" t="s">
        <v>2458</v>
      </c>
      <c r="I916" s="1">
        <v>45576</v>
      </c>
      <c r="J916" t="s">
        <v>2032</v>
      </c>
      <c r="K916">
        <v>59</v>
      </c>
      <c r="L916">
        <v>59</v>
      </c>
      <c r="M916">
        <v>10</v>
      </c>
      <c r="N916" t="s">
        <v>57</v>
      </c>
      <c r="O916">
        <v>57</v>
      </c>
      <c r="P916">
        <v>50</v>
      </c>
      <c r="Q916" s="3">
        <v>0.26</v>
      </c>
    </row>
    <row r="917" spans="1:17" x14ac:dyDescent="0.35">
      <c r="A917" t="s">
        <v>842</v>
      </c>
      <c r="B917" t="s">
        <v>75</v>
      </c>
      <c r="C917" t="s">
        <v>1889</v>
      </c>
      <c r="D917" t="s">
        <v>3564</v>
      </c>
      <c r="E917" t="s">
        <v>21</v>
      </c>
      <c r="F917" t="s">
        <v>3565</v>
      </c>
      <c r="G917" t="s">
        <v>3566</v>
      </c>
      <c r="H917" t="s">
        <v>2458</v>
      </c>
      <c r="I917" t="s">
        <v>168</v>
      </c>
      <c r="J917" s="1">
        <v>45931</v>
      </c>
      <c r="K917">
        <v>79</v>
      </c>
      <c r="L917">
        <v>53</v>
      </c>
      <c r="M917">
        <v>12</v>
      </c>
      <c r="N917" t="s">
        <v>88</v>
      </c>
      <c r="O917">
        <v>45</v>
      </c>
      <c r="P917">
        <v>95</v>
      </c>
      <c r="Q917" s="3">
        <v>0.12</v>
      </c>
    </row>
    <row r="918" spans="1:17" x14ac:dyDescent="0.35">
      <c r="A918" t="s">
        <v>35</v>
      </c>
      <c r="B918" t="s">
        <v>36</v>
      </c>
      <c r="C918" t="s">
        <v>3251</v>
      </c>
      <c r="D918" t="s">
        <v>3567</v>
      </c>
      <c r="E918" t="s">
        <v>30</v>
      </c>
      <c r="F918" t="s">
        <v>3568</v>
      </c>
      <c r="G918" t="s">
        <v>3569</v>
      </c>
      <c r="H918" t="s">
        <v>2458</v>
      </c>
      <c r="I918" s="1">
        <v>45636</v>
      </c>
      <c r="J918" s="1">
        <v>45447</v>
      </c>
      <c r="K918">
        <v>80</v>
      </c>
      <c r="L918">
        <v>100</v>
      </c>
      <c r="M918">
        <v>48</v>
      </c>
      <c r="N918" t="s">
        <v>42</v>
      </c>
      <c r="O918">
        <v>100</v>
      </c>
      <c r="P918">
        <v>28</v>
      </c>
      <c r="Q918" s="3">
        <v>-1.1100000000000001</v>
      </c>
    </row>
    <row r="919" spans="1:17" x14ac:dyDescent="0.35">
      <c r="A919" t="s">
        <v>170</v>
      </c>
      <c r="B919" t="s">
        <v>18</v>
      </c>
      <c r="C919" t="s">
        <v>3251</v>
      </c>
      <c r="D919" t="s">
        <v>3570</v>
      </c>
      <c r="E919" t="s">
        <v>30</v>
      </c>
      <c r="F919" t="s">
        <v>3571</v>
      </c>
      <c r="G919" t="s">
        <v>3572</v>
      </c>
      <c r="H919" t="s">
        <v>494</v>
      </c>
      <c r="I919" s="1">
        <v>45301</v>
      </c>
      <c r="J919" s="1">
        <v>45932</v>
      </c>
      <c r="K919">
        <v>100</v>
      </c>
      <c r="L919">
        <v>3</v>
      </c>
      <c r="M919">
        <v>32</v>
      </c>
      <c r="N919" t="s">
        <v>34</v>
      </c>
      <c r="O919">
        <v>98</v>
      </c>
      <c r="P919">
        <v>91</v>
      </c>
      <c r="Q919" s="3">
        <v>0.72</v>
      </c>
    </row>
    <row r="920" spans="1:17" x14ac:dyDescent="0.35">
      <c r="A920" t="s">
        <v>326</v>
      </c>
      <c r="B920" t="s">
        <v>18</v>
      </c>
      <c r="C920" t="s">
        <v>1279</v>
      </c>
      <c r="D920" t="s">
        <v>3573</v>
      </c>
      <c r="E920" t="s">
        <v>30</v>
      </c>
      <c r="F920" t="s">
        <v>3574</v>
      </c>
      <c r="G920" t="s">
        <v>3575</v>
      </c>
      <c r="H920" t="s">
        <v>494</v>
      </c>
      <c r="I920" t="s">
        <v>1296</v>
      </c>
      <c r="J920" s="1">
        <v>45325</v>
      </c>
      <c r="K920">
        <v>90</v>
      </c>
      <c r="L920">
        <v>30</v>
      </c>
      <c r="M920">
        <v>42</v>
      </c>
      <c r="N920" t="s">
        <v>73</v>
      </c>
      <c r="O920">
        <v>76</v>
      </c>
      <c r="P920">
        <v>69</v>
      </c>
      <c r="Q920" s="3">
        <v>7.0000000000000007E-2</v>
      </c>
    </row>
    <row r="921" spans="1:17" x14ac:dyDescent="0.35">
      <c r="A921" t="s">
        <v>1603</v>
      </c>
      <c r="B921" t="s">
        <v>36</v>
      </c>
      <c r="C921" t="s">
        <v>440</v>
      </c>
      <c r="D921" t="s">
        <v>3576</v>
      </c>
      <c r="E921" t="s">
        <v>68</v>
      </c>
      <c r="F921" t="s">
        <v>3577</v>
      </c>
      <c r="G921" t="s">
        <v>3578</v>
      </c>
      <c r="H921" t="s">
        <v>233</v>
      </c>
      <c r="I921" t="s">
        <v>903</v>
      </c>
      <c r="J921" s="1">
        <v>45632</v>
      </c>
      <c r="K921">
        <v>85</v>
      </c>
      <c r="L921">
        <v>28</v>
      </c>
      <c r="M921">
        <v>21</v>
      </c>
      <c r="N921" t="s">
        <v>153</v>
      </c>
      <c r="O921">
        <v>45</v>
      </c>
      <c r="P921">
        <v>89</v>
      </c>
      <c r="Q921" s="3">
        <v>0.09</v>
      </c>
    </row>
    <row r="922" spans="1:17" x14ac:dyDescent="0.35">
      <c r="A922" t="s">
        <v>222</v>
      </c>
      <c r="B922" t="s">
        <v>65</v>
      </c>
      <c r="C922" t="s">
        <v>2822</v>
      </c>
      <c r="D922" t="s">
        <v>3579</v>
      </c>
      <c r="E922" t="s">
        <v>68</v>
      </c>
      <c r="F922" t="s">
        <v>3580</v>
      </c>
      <c r="G922" t="s">
        <v>3581</v>
      </c>
      <c r="H922" t="s">
        <v>233</v>
      </c>
      <c r="I922" t="s">
        <v>517</v>
      </c>
      <c r="J922" s="1">
        <v>45516</v>
      </c>
      <c r="K922">
        <v>63</v>
      </c>
      <c r="L922">
        <v>43</v>
      </c>
      <c r="M922">
        <v>8</v>
      </c>
      <c r="N922" t="s">
        <v>49</v>
      </c>
      <c r="O922">
        <v>55</v>
      </c>
      <c r="P922">
        <v>72</v>
      </c>
      <c r="Q922" s="3">
        <v>-0.98</v>
      </c>
    </row>
    <row r="923" spans="1:17" x14ac:dyDescent="0.35">
      <c r="A923" t="s">
        <v>690</v>
      </c>
      <c r="B923" t="s">
        <v>36</v>
      </c>
      <c r="C923" t="s">
        <v>3582</v>
      </c>
      <c r="D923" t="s">
        <v>3583</v>
      </c>
      <c r="E923" t="s">
        <v>21</v>
      </c>
      <c r="F923" t="s">
        <v>3584</v>
      </c>
      <c r="G923" t="s">
        <v>3585</v>
      </c>
      <c r="H923" t="s">
        <v>3112</v>
      </c>
      <c r="I923" s="1">
        <v>45718</v>
      </c>
      <c r="J923" s="1">
        <v>45576</v>
      </c>
      <c r="K923">
        <v>97</v>
      </c>
      <c r="L923">
        <v>26</v>
      </c>
      <c r="M923">
        <v>15</v>
      </c>
      <c r="N923" t="s">
        <v>128</v>
      </c>
      <c r="O923">
        <v>33</v>
      </c>
      <c r="P923">
        <v>58</v>
      </c>
      <c r="Q923" s="3">
        <v>-0.31</v>
      </c>
    </row>
    <row r="924" spans="1:17" x14ac:dyDescent="0.35">
      <c r="A924" t="s">
        <v>1415</v>
      </c>
      <c r="B924" t="s">
        <v>114</v>
      </c>
      <c r="C924" t="s">
        <v>899</v>
      </c>
      <c r="D924" t="s">
        <v>3586</v>
      </c>
      <c r="E924" t="s">
        <v>30</v>
      </c>
      <c r="F924" t="s">
        <v>3587</v>
      </c>
      <c r="G924" t="s">
        <v>3588</v>
      </c>
      <c r="H924" t="s">
        <v>81</v>
      </c>
      <c r="I924" s="1">
        <v>45360</v>
      </c>
      <c r="J924" t="s">
        <v>1407</v>
      </c>
      <c r="K924">
        <v>56</v>
      </c>
      <c r="L924">
        <v>62</v>
      </c>
      <c r="M924">
        <v>64</v>
      </c>
      <c r="N924" t="s">
        <v>128</v>
      </c>
      <c r="O924">
        <v>56</v>
      </c>
      <c r="P924">
        <v>73</v>
      </c>
      <c r="Q924" s="3">
        <v>-0.76</v>
      </c>
    </row>
    <row r="925" spans="1:17" x14ac:dyDescent="0.35">
      <c r="A925" t="s">
        <v>371</v>
      </c>
      <c r="B925" t="s">
        <v>75</v>
      </c>
      <c r="C925" t="s">
        <v>1619</v>
      </c>
      <c r="D925" t="s">
        <v>3589</v>
      </c>
      <c r="E925" t="s">
        <v>21</v>
      </c>
      <c r="F925" t="s">
        <v>3590</v>
      </c>
      <c r="G925" t="s">
        <v>3591</v>
      </c>
      <c r="H925" t="s">
        <v>81</v>
      </c>
      <c r="I925" s="1">
        <v>45510</v>
      </c>
      <c r="J925" t="s">
        <v>897</v>
      </c>
      <c r="K925">
        <v>19</v>
      </c>
      <c r="L925">
        <v>94</v>
      </c>
      <c r="M925">
        <v>17</v>
      </c>
      <c r="N925" t="s">
        <v>1535</v>
      </c>
      <c r="O925">
        <v>96</v>
      </c>
      <c r="P925">
        <v>74</v>
      </c>
      <c r="Q925" s="3">
        <v>-0.3</v>
      </c>
    </row>
    <row r="926" spans="1:17" x14ac:dyDescent="0.35">
      <c r="A926" t="s">
        <v>308</v>
      </c>
      <c r="B926" t="s">
        <v>27</v>
      </c>
      <c r="C926" t="s">
        <v>1084</v>
      </c>
      <c r="D926" t="s">
        <v>3592</v>
      </c>
      <c r="E926" t="s">
        <v>21</v>
      </c>
      <c r="F926" t="s">
        <v>3593</v>
      </c>
      <c r="G926" t="s">
        <v>3594</v>
      </c>
      <c r="H926" t="s">
        <v>81</v>
      </c>
      <c r="I926" s="1">
        <v>45992</v>
      </c>
      <c r="J926" t="s">
        <v>398</v>
      </c>
      <c r="K926">
        <v>15</v>
      </c>
      <c r="L926">
        <v>34</v>
      </c>
      <c r="M926">
        <v>57</v>
      </c>
      <c r="N926" t="s">
        <v>313</v>
      </c>
      <c r="O926">
        <v>49</v>
      </c>
      <c r="P926">
        <v>96</v>
      </c>
      <c r="Q926" s="3">
        <v>0.23</v>
      </c>
    </row>
    <row r="927" spans="1:17" x14ac:dyDescent="0.35">
      <c r="A927" t="s">
        <v>356</v>
      </c>
      <c r="B927" t="s">
        <v>18</v>
      </c>
      <c r="C927" t="s">
        <v>3595</v>
      </c>
      <c r="D927" t="s">
        <v>3596</v>
      </c>
      <c r="E927" t="s">
        <v>30</v>
      </c>
      <c r="F927" t="s">
        <v>3597</v>
      </c>
      <c r="G927" t="s">
        <v>3598</v>
      </c>
      <c r="H927" t="s">
        <v>1492</v>
      </c>
      <c r="I927" t="s">
        <v>808</v>
      </c>
      <c r="J927" t="s">
        <v>433</v>
      </c>
      <c r="K927">
        <v>18</v>
      </c>
      <c r="L927">
        <v>52</v>
      </c>
      <c r="M927">
        <v>22</v>
      </c>
      <c r="N927" t="s">
        <v>282</v>
      </c>
      <c r="O927">
        <v>42</v>
      </c>
      <c r="P927">
        <v>32</v>
      </c>
      <c r="Q927" s="3">
        <v>-0.96</v>
      </c>
    </row>
    <row r="928" spans="1:17" x14ac:dyDescent="0.35">
      <c r="A928" t="s">
        <v>1307</v>
      </c>
      <c r="B928" t="s">
        <v>163</v>
      </c>
      <c r="C928" t="s">
        <v>3353</v>
      </c>
      <c r="D928" t="s">
        <v>3599</v>
      </c>
      <c r="E928" t="s">
        <v>21</v>
      </c>
      <c r="F928" t="s">
        <v>3600</v>
      </c>
      <c r="G928" t="s">
        <v>3601</v>
      </c>
      <c r="H928" t="s">
        <v>1492</v>
      </c>
      <c r="I928" t="s">
        <v>336</v>
      </c>
      <c r="J928" s="1">
        <v>45362</v>
      </c>
      <c r="K928">
        <v>88</v>
      </c>
      <c r="L928">
        <v>50</v>
      </c>
      <c r="M928">
        <v>88</v>
      </c>
      <c r="N928" t="s">
        <v>798</v>
      </c>
      <c r="O928">
        <v>78</v>
      </c>
      <c r="P928">
        <v>28</v>
      </c>
      <c r="Q928" s="3">
        <v>0.24</v>
      </c>
    </row>
    <row r="929" spans="1:17" x14ac:dyDescent="0.35">
      <c r="A929" t="s">
        <v>695</v>
      </c>
      <c r="B929" t="s">
        <v>65</v>
      </c>
      <c r="C929" t="s">
        <v>1653</v>
      </c>
      <c r="D929" t="s">
        <v>3602</v>
      </c>
      <c r="E929" t="s">
        <v>21</v>
      </c>
      <c r="F929" t="s">
        <v>3603</v>
      </c>
      <c r="G929" t="s">
        <v>3604</v>
      </c>
      <c r="H929" t="s">
        <v>1492</v>
      </c>
      <c r="I929" t="s">
        <v>764</v>
      </c>
      <c r="J929" t="s">
        <v>651</v>
      </c>
      <c r="K929">
        <v>44</v>
      </c>
      <c r="L929">
        <v>48</v>
      </c>
      <c r="M929">
        <v>77</v>
      </c>
      <c r="N929" t="s">
        <v>128</v>
      </c>
      <c r="O929">
        <v>67</v>
      </c>
      <c r="P929">
        <v>79</v>
      </c>
      <c r="Q929" s="3">
        <v>0.64</v>
      </c>
    </row>
    <row r="930" spans="1:17" x14ac:dyDescent="0.35">
      <c r="A930" t="s">
        <v>1307</v>
      </c>
      <c r="B930" t="s">
        <v>163</v>
      </c>
      <c r="C930" t="s">
        <v>1893</v>
      </c>
      <c r="D930" t="s">
        <v>3605</v>
      </c>
      <c r="E930" t="s">
        <v>68</v>
      </c>
      <c r="F930" t="s">
        <v>3606</v>
      </c>
      <c r="G930" t="s">
        <v>3607</v>
      </c>
      <c r="H930" t="s">
        <v>281</v>
      </c>
      <c r="I930" t="s">
        <v>1186</v>
      </c>
      <c r="J930" t="s">
        <v>1558</v>
      </c>
      <c r="K930">
        <v>80</v>
      </c>
      <c r="L930">
        <v>54</v>
      </c>
      <c r="M930">
        <v>21</v>
      </c>
      <c r="N930" t="s">
        <v>3608</v>
      </c>
      <c r="O930">
        <v>81</v>
      </c>
      <c r="P930">
        <v>37</v>
      </c>
      <c r="Q930" s="3">
        <v>-0.18</v>
      </c>
    </row>
    <row r="931" spans="1:17" x14ac:dyDescent="0.35">
      <c r="A931" t="s">
        <v>423</v>
      </c>
      <c r="B931" t="s">
        <v>65</v>
      </c>
      <c r="C931" t="s">
        <v>1164</v>
      </c>
      <c r="D931" t="s">
        <v>3609</v>
      </c>
      <c r="E931" t="s">
        <v>68</v>
      </c>
      <c r="F931" t="s">
        <v>3610</v>
      </c>
      <c r="G931" t="s">
        <v>3611</v>
      </c>
      <c r="H931" t="s">
        <v>281</v>
      </c>
      <c r="I931" t="s">
        <v>803</v>
      </c>
      <c r="J931" t="s">
        <v>294</v>
      </c>
      <c r="K931">
        <v>58</v>
      </c>
      <c r="L931">
        <v>24</v>
      </c>
      <c r="M931">
        <v>25</v>
      </c>
      <c r="N931" t="s">
        <v>82</v>
      </c>
      <c r="O931">
        <v>75</v>
      </c>
      <c r="P931">
        <v>26</v>
      </c>
      <c r="Q931" s="3">
        <v>0.54</v>
      </c>
    </row>
    <row r="932" spans="1:17" x14ac:dyDescent="0.35">
      <c r="A932" t="s">
        <v>222</v>
      </c>
      <c r="B932" t="s">
        <v>65</v>
      </c>
      <c r="C932" t="s">
        <v>908</v>
      </c>
      <c r="D932" t="s">
        <v>3612</v>
      </c>
      <c r="E932" t="s">
        <v>21</v>
      </c>
      <c r="F932" t="s">
        <v>3613</v>
      </c>
      <c r="G932" t="s">
        <v>3614</v>
      </c>
      <c r="H932" t="s">
        <v>993</v>
      </c>
      <c r="I932" t="s">
        <v>1029</v>
      </c>
      <c r="J932" t="s">
        <v>206</v>
      </c>
      <c r="K932">
        <v>57</v>
      </c>
      <c r="L932">
        <v>63</v>
      </c>
      <c r="M932">
        <v>41</v>
      </c>
      <c r="N932" t="s">
        <v>49</v>
      </c>
      <c r="O932">
        <v>53</v>
      </c>
      <c r="P932">
        <v>94</v>
      </c>
      <c r="Q932" s="3">
        <v>0.65</v>
      </c>
    </row>
    <row r="933" spans="1:17" x14ac:dyDescent="0.35">
      <c r="A933" t="s">
        <v>388</v>
      </c>
      <c r="B933" t="s">
        <v>75</v>
      </c>
      <c r="C933" t="s">
        <v>1411</v>
      </c>
      <c r="D933" t="s">
        <v>3615</v>
      </c>
      <c r="E933" t="s">
        <v>68</v>
      </c>
      <c r="F933" t="s">
        <v>3616</v>
      </c>
      <c r="G933" t="s">
        <v>3617</v>
      </c>
      <c r="H933" t="s">
        <v>993</v>
      </c>
      <c r="I933" t="s">
        <v>55</v>
      </c>
      <c r="J933" t="s">
        <v>24</v>
      </c>
      <c r="K933">
        <v>30</v>
      </c>
      <c r="L933">
        <v>55</v>
      </c>
      <c r="M933">
        <v>4</v>
      </c>
      <c r="N933" t="s">
        <v>344</v>
      </c>
      <c r="O933">
        <v>56</v>
      </c>
      <c r="P933">
        <v>31</v>
      </c>
      <c r="Q933" s="3">
        <v>-0.77</v>
      </c>
    </row>
    <row r="934" spans="1:17" x14ac:dyDescent="0.35">
      <c r="A934" t="s">
        <v>567</v>
      </c>
      <c r="B934" t="s">
        <v>65</v>
      </c>
      <c r="C934" t="s">
        <v>1657</v>
      </c>
      <c r="D934" t="s">
        <v>3618</v>
      </c>
      <c r="E934" t="s">
        <v>68</v>
      </c>
      <c r="F934" t="s">
        <v>3619</v>
      </c>
      <c r="G934" t="s">
        <v>3620</v>
      </c>
      <c r="H934" t="s">
        <v>993</v>
      </c>
      <c r="I934" t="s">
        <v>1790</v>
      </c>
      <c r="J934" t="s">
        <v>2012</v>
      </c>
      <c r="K934">
        <v>74</v>
      </c>
      <c r="L934">
        <v>22</v>
      </c>
      <c r="M934">
        <v>91</v>
      </c>
      <c r="N934" t="s">
        <v>572</v>
      </c>
      <c r="O934">
        <v>24</v>
      </c>
      <c r="P934">
        <v>12</v>
      </c>
      <c r="Q934" s="3">
        <v>0.45</v>
      </c>
    </row>
    <row r="935" spans="1:17" x14ac:dyDescent="0.35">
      <c r="A935" t="s">
        <v>1311</v>
      </c>
      <c r="B935" t="s">
        <v>36</v>
      </c>
      <c r="C935" t="s">
        <v>1133</v>
      </c>
      <c r="D935" t="s">
        <v>3621</v>
      </c>
      <c r="E935" t="s">
        <v>68</v>
      </c>
      <c r="F935" t="s">
        <v>3622</v>
      </c>
      <c r="G935" t="s">
        <v>3623</v>
      </c>
      <c r="H935" t="s">
        <v>312</v>
      </c>
      <c r="I935" t="s">
        <v>1324</v>
      </c>
      <c r="J935" s="1">
        <v>45545</v>
      </c>
      <c r="K935">
        <v>80</v>
      </c>
      <c r="L935">
        <v>9</v>
      </c>
      <c r="M935">
        <v>29</v>
      </c>
      <c r="N935" t="s">
        <v>3624</v>
      </c>
      <c r="O935">
        <v>54</v>
      </c>
      <c r="P935">
        <v>62</v>
      </c>
      <c r="Q935" s="3">
        <v>0.5</v>
      </c>
    </row>
    <row r="936" spans="1:17" x14ac:dyDescent="0.35">
      <c r="A936" t="s">
        <v>228</v>
      </c>
      <c r="B936" t="s">
        <v>18</v>
      </c>
      <c r="C936" t="s">
        <v>1599</v>
      </c>
      <c r="D936" t="s">
        <v>3625</v>
      </c>
      <c r="E936" t="s">
        <v>68</v>
      </c>
      <c r="F936" t="s">
        <v>3626</v>
      </c>
      <c r="G936" t="s">
        <v>3627</v>
      </c>
      <c r="H936" t="s">
        <v>312</v>
      </c>
      <c r="I936" s="1">
        <v>45483</v>
      </c>
      <c r="J936" s="1">
        <v>45394</v>
      </c>
      <c r="K936">
        <v>31</v>
      </c>
      <c r="L936">
        <v>98</v>
      </c>
      <c r="M936">
        <v>72</v>
      </c>
      <c r="N936" t="s">
        <v>235</v>
      </c>
      <c r="O936">
        <v>91</v>
      </c>
      <c r="P936">
        <v>29</v>
      </c>
      <c r="Q936" s="3">
        <v>-0.15</v>
      </c>
    </row>
    <row r="937" spans="1:17" x14ac:dyDescent="0.35">
      <c r="A937" t="s">
        <v>1292</v>
      </c>
      <c r="B937" t="s">
        <v>18</v>
      </c>
      <c r="C937" t="s">
        <v>760</v>
      </c>
      <c r="D937" t="s">
        <v>3628</v>
      </c>
      <c r="E937" t="s">
        <v>21</v>
      </c>
      <c r="F937" t="s">
        <v>3629</v>
      </c>
      <c r="G937" t="s">
        <v>3630</v>
      </c>
      <c r="H937" t="s">
        <v>312</v>
      </c>
      <c r="I937" s="1">
        <v>45485</v>
      </c>
      <c r="J937" t="s">
        <v>561</v>
      </c>
      <c r="K937">
        <v>31</v>
      </c>
      <c r="L937">
        <v>89</v>
      </c>
      <c r="M937">
        <v>7</v>
      </c>
      <c r="N937" t="s">
        <v>1297</v>
      </c>
      <c r="O937">
        <v>46</v>
      </c>
      <c r="P937">
        <v>54</v>
      </c>
      <c r="Q937" s="3">
        <v>0.68</v>
      </c>
    </row>
    <row r="938" spans="1:17" x14ac:dyDescent="0.35">
      <c r="A938" t="s">
        <v>567</v>
      </c>
      <c r="B938" t="s">
        <v>65</v>
      </c>
      <c r="C938" t="s">
        <v>19</v>
      </c>
      <c r="D938" t="s">
        <v>3631</v>
      </c>
      <c r="E938" t="s">
        <v>30</v>
      </c>
      <c r="F938" t="s">
        <v>3632</v>
      </c>
      <c r="G938" t="s">
        <v>3633</v>
      </c>
      <c r="H938" t="s">
        <v>312</v>
      </c>
      <c r="I938" t="s">
        <v>1186</v>
      </c>
      <c r="J938" t="s">
        <v>1079</v>
      </c>
      <c r="K938">
        <v>75</v>
      </c>
      <c r="L938">
        <v>46</v>
      </c>
      <c r="M938">
        <v>75</v>
      </c>
      <c r="N938" t="s">
        <v>572</v>
      </c>
      <c r="O938">
        <v>43</v>
      </c>
      <c r="P938">
        <v>77</v>
      </c>
      <c r="Q938" s="3">
        <v>-0.17</v>
      </c>
    </row>
    <row r="939" spans="1:17" x14ac:dyDescent="0.35">
      <c r="A939" t="s">
        <v>170</v>
      </c>
      <c r="B939" t="s">
        <v>18</v>
      </c>
      <c r="C939" t="s">
        <v>1117</v>
      </c>
      <c r="D939" t="s">
        <v>3634</v>
      </c>
      <c r="E939" t="s">
        <v>30</v>
      </c>
      <c r="F939" t="s">
        <v>3635</v>
      </c>
      <c r="G939" t="s">
        <v>3636</v>
      </c>
      <c r="H939" t="s">
        <v>1738</v>
      </c>
      <c r="I939" s="1">
        <v>45993</v>
      </c>
      <c r="J939" s="1">
        <v>45509</v>
      </c>
      <c r="K939">
        <v>65</v>
      </c>
      <c r="L939">
        <v>10</v>
      </c>
      <c r="M939">
        <v>81</v>
      </c>
      <c r="N939" t="s">
        <v>34</v>
      </c>
      <c r="O939">
        <v>71</v>
      </c>
      <c r="P939">
        <v>61</v>
      </c>
      <c r="Q939" s="3">
        <v>-0.79</v>
      </c>
    </row>
    <row r="940" spans="1:17" x14ac:dyDescent="0.35">
      <c r="A940" t="s">
        <v>122</v>
      </c>
      <c r="B940" t="s">
        <v>18</v>
      </c>
      <c r="C940" t="s">
        <v>481</v>
      </c>
      <c r="D940" t="s">
        <v>3637</v>
      </c>
      <c r="E940" t="s">
        <v>21</v>
      </c>
      <c r="F940" t="s">
        <v>3638</v>
      </c>
      <c r="G940" t="s">
        <v>3639</v>
      </c>
      <c r="H940" t="s">
        <v>1738</v>
      </c>
      <c r="I940" t="s">
        <v>664</v>
      </c>
      <c r="J940" t="s">
        <v>629</v>
      </c>
      <c r="K940">
        <v>33</v>
      </c>
      <c r="L940">
        <v>89</v>
      </c>
      <c r="M940">
        <v>15</v>
      </c>
      <c r="N940" t="s">
        <v>128</v>
      </c>
      <c r="O940">
        <v>90</v>
      </c>
      <c r="P940">
        <v>52</v>
      </c>
      <c r="Q940" s="3">
        <v>0.14000000000000001</v>
      </c>
    </row>
    <row r="941" spans="1:17" x14ac:dyDescent="0.35">
      <c r="A941" t="s">
        <v>89</v>
      </c>
      <c r="B941" t="s">
        <v>36</v>
      </c>
      <c r="C941" t="s">
        <v>3640</v>
      </c>
      <c r="D941" t="s">
        <v>3641</v>
      </c>
      <c r="E941" t="s">
        <v>30</v>
      </c>
      <c r="F941" t="s">
        <v>3642</v>
      </c>
      <c r="G941" t="s">
        <v>3643</v>
      </c>
      <c r="H941" t="s">
        <v>1738</v>
      </c>
      <c r="I941" s="1">
        <v>45356</v>
      </c>
      <c r="J941" t="s">
        <v>1125</v>
      </c>
      <c r="K941">
        <v>80</v>
      </c>
      <c r="L941">
        <v>69</v>
      </c>
      <c r="M941">
        <v>71</v>
      </c>
      <c r="N941" t="s">
        <v>370</v>
      </c>
      <c r="O941">
        <v>41</v>
      </c>
      <c r="P941">
        <v>43</v>
      </c>
      <c r="Q941" s="3">
        <v>0.42</v>
      </c>
    </row>
    <row r="942" spans="1:17" x14ac:dyDescent="0.35">
      <c r="A942" t="s">
        <v>135</v>
      </c>
      <c r="B942" t="s">
        <v>36</v>
      </c>
      <c r="C942" t="s">
        <v>383</v>
      </c>
      <c r="D942" t="s">
        <v>3644</v>
      </c>
      <c r="E942" t="s">
        <v>21</v>
      </c>
      <c r="F942" t="s">
        <v>3645</v>
      </c>
      <c r="G942" t="s">
        <v>3646</v>
      </c>
      <c r="H942" t="s">
        <v>1738</v>
      </c>
      <c r="I942" s="1">
        <v>45332</v>
      </c>
      <c r="J942" t="s">
        <v>722</v>
      </c>
      <c r="K942">
        <v>92</v>
      </c>
      <c r="L942">
        <v>1</v>
      </c>
      <c r="M942">
        <v>23</v>
      </c>
      <c r="N942" t="s">
        <v>128</v>
      </c>
      <c r="O942">
        <v>78</v>
      </c>
      <c r="P942">
        <v>36</v>
      </c>
      <c r="Q942" s="3">
        <v>-0.05</v>
      </c>
    </row>
    <row r="943" spans="1:17" x14ac:dyDescent="0.35">
      <c r="A943" t="s">
        <v>893</v>
      </c>
      <c r="B943" t="s">
        <v>65</v>
      </c>
      <c r="C943" t="s">
        <v>1420</v>
      </c>
      <c r="D943" t="s">
        <v>3647</v>
      </c>
      <c r="E943" t="s">
        <v>21</v>
      </c>
      <c r="F943" t="s">
        <v>3648</v>
      </c>
      <c r="G943" t="s">
        <v>3649</v>
      </c>
      <c r="H943" t="s">
        <v>1738</v>
      </c>
      <c r="I943" t="s">
        <v>511</v>
      </c>
      <c r="J943" t="s">
        <v>1905</v>
      </c>
      <c r="K943">
        <v>71</v>
      </c>
      <c r="L943">
        <v>60</v>
      </c>
      <c r="M943">
        <v>62</v>
      </c>
      <c r="N943" t="s">
        <v>134</v>
      </c>
      <c r="O943">
        <v>60</v>
      </c>
      <c r="P943">
        <v>63</v>
      </c>
      <c r="Q943" s="3">
        <v>0.54</v>
      </c>
    </row>
    <row r="944" spans="1:17" x14ac:dyDescent="0.35">
      <c r="A944" t="s">
        <v>253</v>
      </c>
      <c r="B944" t="s">
        <v>65</v>
      </c>
      <c r="C944" t="s">
        <v>2225</v>
      </c>
      <c r="D944" t="s">
        <v>3650</v>
      </c>
      <c r="E944" t="s">
        <v>30</v>
      </c>
      <c r="F944" t="s">
        <v>3651</v>
      </c>
      <c r="G944" t="s">
        <v>3652</v>
      </c>
      <c r="H944" t="s">
        <v>288</v>
      </c>
      <c r="I944" t="s">
        <v>2299</v>
      </c>
      <c r="J944" t="s">
        <v>670</v>
      </c>
      <c r="K944">
        <v>52</v>
      </c>
      <c r="L944">
        <v>81</v>
      </c>
      <c r="M944">
        <v>53</v>
      </c>
      <c r="N944" t="s">
        <v>34</v>
      </c>
      <c r="O944">
        <v>95</v>
      </c>
      <c r="P944">
        <v>88</v>
      </c>
      <c r="Q944" s="3">
        <v>-0.05</v>
      </c>
    </row>
    <row r="945" spans="1:17" x14ac:dyDescent="0.35">
      <c r="A945" t="s">
        <v>1704</v>
      </c>
      <c r="B945" t="s">
        <v>18</v>
      </c>
      <c r="C945" t="s">
        <v>1837</v>
      </c>
      <c r="D945" t="s">
        <v>3653</v>
      </c>
      <c r="E945" t="s">
        <v>21</v>
      </c>
      <c r="F945" t="s">
        <v>3654</v>
      </c>
      <c r="G945" t="s">
        <v>3655</v>
      </c>
      <c r="H945" t="s">
        <v>288</v>
      </c>
      <c r="I945" s="1">
        <v>45602</v>
      </c>
      <c r="J945" t="s">
        <v>301</v>
      </c>
      <c r="K945">
        <v>40</v>
      </c>
      <c r="L945">
        <v>61</v>
      </c>
      <c r="M945">
        <v>47</v>
      </c>
      <c r="N945" t="s">
        <v>82</v>
      </c>
      <c r="O945">
        <v>76</v>
      </c>
      <c r="P945">
        <v>10</v>
      </c>
      <c r="Q945" s="3">
        <v>7.0000000000000007E-2</v>
      </c>
    </row>
    <row r="946" spans="1:17" x14ac:dyDescent="0.35">
      <c r="A946" t="s">
        <v>331</v>
      </c>
      <c r="B946" t="s">
        <v>27</v>
      </c>
      <c r="C946" t="s">
        <v>1213</v>
      </c>
      <c r="D946" t="s">
        <v>3656</v>
      </c>
      <c r="E946" t="s">
        <v>68</v>
      </c>
      <c r="F946" t="s">
        <v>3657</v>
      </c>
      <c r="G946" t="s">
        <v>3658</v>
      </c>
      <c r="H946" t="s">
        <v>1016</v>
      </c>
      <c r="I946" t="s">
        <v>398</v>
      </c>
      <c r="J946" t="s">
        <v>488</v>
      </c>
      <c r="K946">
        <v>60</v>
      </c>
      <c r="L946">
        <v>88</v>
      </c>
      <c r="M946">
        <v>65</v>
      </c>
      <c r="N946" t="s">
        <v>121</v>
      </c>
      <c r="O946">
        <v>94</v>
      </c>
      <c r="P946">
        <v>15</v>
      </c>
      <c r="Q946" s="3">
        <v>0.87</v>
      </c>
    </row>
    <row r="947" spans="1:17" x14ac:dyDescent="0.35">
      <c r="A947" t="s">
        <v>1900</v>
      </c>
      <c r="B947" t="s">
        <v>75</v>
      </c>
      <c r="C947" t="s">
        <v>1743</v>
      </c>
      <c r="D947" t="s">
        <v>3659</v>
      </c>
      <c r="E947" t="s">
        <v>30</v>
      </c>
      <c r="F947" t="s">
        <v>3660</v>
      </c>
      <c r="G947" t="s">
        <v>3661</v>
      </c>
      <c r="H947" t="s">
        <v>1016</v>
      </c>
      <c r="I947" s="1">
        <v>45334</v>
      </c>
      <c r="J947" s="1">
        <v>45391</v>
      </c>
      <c r="K947">
        <v>71</v>
      </c>
      <c r="L947">
        <v>7</v>
      </c>
      <c r="M947">
        <v>6</v>
      </c>
      <c r="N947" t="s">
        <v>1906</v>
      </c>
      <c r="O947">
        <v>52</v>
      </c>
      <c r="P947">
        <v>68</v>
      </c>
      <c r="Q947" s="3">
        <v>0.84</v>
      </c>
    </row>
    <row r="948" spans="1:17" x14ac:dyDescent="0.35">
      <c r="A948" t="s">
        <v>356</v>
      </c>
      <c r="B948" t="s">
        <v>18</v>
      </c>
      <c r="C948" t="s">
        <v>1420</v>
      </c>
      <c r="D948" t="s">
        <v>3662</v>
      </c>
      <c r="E948" t="s">
        <v>21</v>
      </c>
      <c r="F948" t="s">
        <v>3663</v>
      </c>
      <c r="G948" t="s">
        <v>3664</v>
      </c>
      <c r="H948" t="s">
        <v>464</v>
      </c>
      <c r="I948" t="s">
        <v>199</v>
      </c>
      <c r="J948" s="1">
        <v>45415</v>
      </c>
      <c r="K948">
        <v>44</v>
      </c>
      <c r="L948">
        <v>80</v>
      </c>
      <c r="M948">
        <v>84</v>
      </c>
      <c r="N948" t="s">
        <v>3665</v>
      </c>
      <c r="O948">
        <v>96</v>
      </c>
      <c r="P948">
        <v>68</v>
      </c>
      <c r="Q948" s="3">
        <v>-0.31</v>
      </c>
    </row>
    <row r="949" spans="1:17" x14ac:dyDescent="0.35">
      <c r="A949" t="s">
        <v>413</v>
      </c>
      <c r="B949" t="s">
        <v>65</v>
      </c>
      <c r="C949" t="s">
        <v>968</v>
      </c>
      <c r="D949" t="s">
        <v>3666</v>
      </c>
      <c r="E949" t="s">
        <v>68</v>
      </c>
      <c r="F949" t="s">
        <v>3667</v>
      </c>
      <c r="G949" t="s">
        <v>3668</v>
      </c>
      <c r="H949" t="s">
        <v>464</v>
      </c>
      <c r="I949" t="s">
        <v>1328</v>
      </c>
      <c r="J949" s="1">
        <v>45568</v>
      </c>
      <c r="K949">
        <v>19</v>
      </c>
      <c r="L949">
        <v>17</v>
      </c>
      <c r="M949">
        <v>14</v>
      </c>
      <c r="N949" t="s">
        <v>1686</v>
      </c>
      <c r="O949">
        <v>58</v>
      </c>
      <c r="P949">
        <v>23</v>
      </c>
      <c r="Q949" s="3">
        <v>0.28999999999999998</v>
      </c>
    </row>
    <row r="950" spans="1:17" x14ac:dyDescent="0.35">
      <c r="A950" t="s">
        <v>893</v>
      </c>
      <c r="B950" t="s">
        <v>65</v>
      </c>
      <c r="C950" t="s">
        <v>290</v>
      </c>
      <c r="D950" t="s">
        <v>3669</v>
      </c>
      <c r="E950" t="s">
        <v>68</v>
      </c>
      <c r="F950" t="s">
        <v>3670</v>
      </c>
      <c r="G950" t="s">
        <v>3671</v>
      </c>
      <c r="H950" t="s">
        <v>464</v>
      </c>
      <c r="I950" s="1">
        <v>45510</v>
      </c>
      <c r="J950" s="1">
        <v>45418</v>
      </c>
      <c r="K950">
        <v>11</v>
      </c>
      <c r="L950">
        <v>87</v>
      </c>
      <c r="M950">
        <v>64</v>
      </c>
      <c r="N950" t="s">
        <v>134</v>
      </c>
      <c r="O950">
        <v>29</v>
      </c>
      <c r="P950">
        <v>6</v>
      </c>
      <c r="Q950" s="3">
        <v>0.6</v>
      </c>
    </row>
    <row r="951" spans="1:17" x14ac:dyDescent="0.35">
      <c r="A951" t="s">
        <v>435</v>
      </c>
      <c r="B951" t="s">
        <v>18</v>
      </c>
      <c r="C951" t="s">
        <v>332</v>
      </c>
      <c r="D951" t="s">
        <v>3672</v>
      </c>
      <c r="E951" t="s">
        <v>68</v>
      </c>
      <c r="F951" t="s">
        <v>3673</v>
      </c>
      <c r="G951" t="s">
        <v>3674</v>
      </c>
      <c r="H951" t="s">
        <v>464</v>
      </c>
      <c r="I951" t="s">
        <v>1738</v>
      </c>
      <c r="J951" t="s">
        <v>1079</v>
      </c>
      <c r="K951">
        <v>22</v>
      </c>
      <c r="L951">
        <v>35</v>
      </c>
      <c r="M951">
        <v>55</v>
      </c>
      <c r="N951" t="s">
        <v>344</v>
      </c>
      <c r="O951">
        <v>41</v>
      </c>
      <c r="P951">
        <v>27</v>
      </c>
      <c r="Q951" s="3">
        <v>0.79</v>
      </c>
    </row>
    <row r="952" spans="1:17" x14ac:dyDescent="0.35">
      <c r="A952" t="s">
        <v>106</v>
      </c>
      <c r="B952" t="s">
        <v>18</v>
      </c>
      <c r="C952" t="s">
        <v>229</v>
      </c>
      <c r="D952" t="s">
        <v>3675</v>
      </c>
      <c r="E952" t="s">
        <v>21</v>
      </c>
      <c r="F952" t="s">
        <v>3676</v>
      </c>
      <c r="G952" t="s">
        <v>3677</v>
      </c>
      <c r="H952" t="s">
        <v>855</v>
      </c>
      <c r="I952" t="s">
        <v>822</v>
      </c>
      <c r="J952" t="s">
        <v>1221</v>
      </c>
      <c r="K952">
        <v>15</v>
      </c>
      <c r="L952">
        <v>44</v>
      </c>
      <c r="M952">
        <v>88</v>
      </c>
      <c r="N952" t="s">
        <v>153</v>
      </c>
      <c r="O952">
        <v>56</v>
      </c>
      <c r="P952">
        <v>12</v>
      </c>
      <c r="Q952" s="3">
        <v>0.34</v>
      </c>
    </row>
    <row r="953" spans="1:17" x14ac:dyDescent="0.35">
      <c r="A953" t="s">
        <v>435</v>
      </c>
      <c r="B953" t="s">
        <v>18</v>
      </c>
      <c r="C953" t="s">
        <v>1870</v>
      </c>
      <c r="D953" t="s">
        <v>3678</v>
      </c>
      <c r="E953" t="s">
        <v>68</v>
      </c>
      <c r="F953" t="s">
        <v>3679</v>
      </c>
      <c r="G953" t="s">
        <v>3680</v>
      </c>
      <c r="H953" t="s">
        <v>855</v>
      </c>
      <c r="I953" t="s">
        <v>2092</v>
      </c>
      <c r="J953" t="s">
        <v>428</v>
      </c>
      <c r="K953">
        <v>52</v>
      </c>
      <c r="L953">
        <v>8</v>
      </c>
      <c r="M953">
        <v>37</v>
      </c>
      <c r="N953" t="s">
        <v>344</v>
      </c>
      <c r="O953">
        <v>38</v>
      </c>
      <c r="P953">
        <v>81</v>
      </c>
      <c r="Q953" s="3">
        <v>0.79</v>
      </c>
    </row>
    <row r="954" spans="1:17" x14ac:dyDescent="0.35">
      <c r="A954" t="s">
        <v>83</v>
      </c>
      <c r="B954" t="s">
        <v>36</v>
      </c>
      <c r="C954" t="s">
        <v>1088</v>
      </c>
      <c r="D954" t="s">
        <v>3681</v>
      </c>
      <c r="E954" t="s">
        <v>30</v>
      </c>
      <c r="F954" t="s">
        <v>3682</v>
      </c>
      <c r="G954" t="s">
        <v>3683</v>
      </c>
      <c r="H954" t="s">
        <v>792</v>
      </c>
      <c r="I954" s="1">
        <v>45809</v>
      </c>
      <c r="J954" t="s">
        <v>850</v>
      </c>
      <c r="K954">
        <v>100</v>
      </c>
      <c r="L954">
        <v>31</v>
      </c>
      <c r="M954">
        <v>43</v>
      </c>
      <c r="N954" t="s">
        <v>88</v>
      </c>
      <c r="O954">
        <v>88</v>
      </c>
      <c r="P954">
        <v>52</v>
      </c>
      <c r="Q954" s="3">
        <v>-1.1299999999999999</v>
      </c>
    </row>
    <row r="955" spans="1:17" x14ac:dyDescent="0.35">
      <c r="A955" t="s">
        <v>240</v>
      </c>
      <c r="B955" t="s">
        <v>36</v>
      </c>
      <c r="C955" t="s">
        <v>3433</v>
      </c>
      <c r="D955" t="s">
        <v>3684</v>
      </c>
      <c r="E955" t="s">
        <v>68</v>
      </c>
      <c r="F955" t="s">
        <v>3685</v>
      </c>
      <c r="G955" t="s">
        <v>3686</v>
      </c>
      <c r="H955" t="s">
        <v>792</v>
      </c>
      <c r="I955" s="1">
        <v>45541</v>
      </c>
      <c r="J955" s="1">
        <v>45546</v>
      </c>
      <c r="K955">
        <v>18</v>
      </c>
      <c r="L955">
        <v>64</v>
      </c>
      <c r="M955">
        <v>86</v>
      </c>
      <c r="N955" t="s">
        <v>355</v>
      </c>
      <c r="O955">
        <v>73</v>
      </c>
      <c r="P955">
        <v>38</v>
      </c>
      <c r="Q955" s="3">
        <v>0.41</v>
      </c>
    </row>
    <row r="956" spans="1:17" x14ac:dyDescent="0.35">
      <c r="A956" t="s">
        <v>503</v>
      </c>
      <c r="B956" t="s">
        <v>27</v>
      </c>
      <c r="C956" t="s">
        <v>475</v>
      </c>
      <c r="D956" t="s">
        <v>3687</v>
      </c>
      <c r="E956" t="s">
        <v>68</v>
      </c>
      <c r="F956" t="s">
        <v>3688</v>
      </c>
      <c r="G956" t="s">
        <v>3689</v>
      </c>
      <c r="H956" t="s">
        <v>792</v>
      </c>
      <c r="I956" t="s">
        <v>465</v>
      </c>
      <c r="J956" t="s">
        <v>1905</v>
      </c>
      <c r="K956">
        <v>39</v>
      </c>
      <c r="L956">
        <v>13</v>
      </c>
      <c r="M956">
        <v>13</v>
      </c>
      <c r="N956" t="s">
        <v>128</v>
      </c>
      <c r="O956">
        <v>84</v>
      </c>
      <c r="P956">
        <v>93</v>
      </c>
      <c r="Q956" s="3">
        <v>0.48</v>
      </c>
    </row>
    <row r="957" spans="1:17" x14ac:dyDescent="0.35">
      <c r="A957" t="s">
        <v>640</v>
      </c>
      <c r="B957" t="s">
        <v>163</v>
      </c>
      <c r="C957" t="s">
        <v>3690</v>
      </c>
      <c r="D957" t="s">
        <v>3691</v>
      </c>
      <c r="E957" t="s">
        <v>68</v>
      </c>
      <c r="F957" t="s">
        <v>3692</v>
      </c>
      <c r="G957" t="s">
        <v>3693</v>
      </c>
      <c r="H957" t="s">
        <v>160</v>
      </c>
      <c r="I957" t="s">
        <v>1514</v>
      </c>
      <c r="J957" t="s">
        <v>1820</v>
      </c>
      <c r="K957">
        <v>46</v>
      </c>
      <c r="L957">
        <v>27</v>
      </c>
      <c r="M957">
        <v>76</v>
      </c>
      <c r="N957" t="s">
        <v>73</v>
      </c>
      <c r="O957">
        <v>64</v>
      </c>
      <c r="P957">
        <v>96</v>
      </c>
      <c r="Q957" s="3">
        <v>-0.11</v>
      </c>
    </row>
    <row r="958" spans="1:17" x14ac:dyDescent="0.35">
      <c r="A958" t="s">
        <v>1440</v>
      </c>
      <c r="B958" t="s">
        <v>18</v>
      </c>
      <c r="C958" t="s">
        <v>1187</v>
      </c>
      <c r="D958" t="s">
        <v>3694</v>
      </c>
      <c r="E958" t="s">
        <v>21</v>
      </c>
      <c r="F958" t="s">
        <v>3695</v>
      </c>
      <c r="G958" t="s">
        <v>3696</v>
      </c>
      <c r="H958" t="s">
        <v>160</v>
      </c>
      <c r="I958" t="s">
        <v>455</v>
      </c>
      <c r="J958" t="s">
        <v>127</v>
      </c>
      <c r="K958">
        <v>71</v>
      </c>
      <c r="L958">
        <v>4</v>
      </c>
      <c r="M958">
        <v>37</v>
      </c>
      <c r="N958" t="s">
        <v>153</v>
      </c>
      <c r="O958">
        <v>81</v>
      </c>
      <c r="P958">
        <v>25</v>
      </c>
      <c r="Q958" s="3">
        <v>-0.5</v>
      </c>
    </row>
    <row r="959" spans="1:17" x14ac:dyDescent="0.35">
      <c r="A959" t="s">
        <v>154</v>
      </c>
      <c r="B959" t="s">
        <v>65</v>
      </c>
      <c r="C959" t="s">
        <v>735</v>
      </c>
      <c r="D959" t="s">
        <v>3697</v>
      </c>
      <c r="E959" t="s">
        <v>30</v>
      </c>
      <c r="F959" t="s">
        <v>3698</v>
      </c>
      <c r="G959" t="s">
        <v>3699</v>
      </c>
      <c r="H959" t="s">
        <v>160</v>
      </c>
      <c r="I959" t="s">
        <v>517</v>
      </c>
      <c r="J959" s="1">
        <v>45449</v>
      </c>
      <c r="K959">
        <v>41</v>
      </c>
      <c r="L959">
        <v>76</v>
      </c>
      <c r="M959">
        <v>47</v>
      </c>
      <c r="N959" t="s">
        <v>3700</v>
      </c>
      <c r="O959">
        <v>50</v>
      </c>
      <c r="P959">
        <v>50</v>
      </c>
      <c r="Q959" s="3">
        <v>0.69</v>
      </c>
    </row>
    <row r="960" spans="1:17" x14ac:dyDescent="0.35">
      <c r="A960" t="s">
        <v>283</v>
      </c>
      <c r="B960" t="s">
        <v>163</v>
      </c>
      <c r="C960" t="s">
        <v>3438</v>
      </c>
      <c r="D960" t="s">
        <v>3701</v>
      </c>
      <c r="E960" t="s">
        <v>68</v>
      </c>
      <c r="F960" t="s">
        <v>3702</v>
      </c>
      <c r="G960" t="s">
        <v>3703</v>
      </c>
      <c r="H960" t="s">
        <v>160</v>
      </c>
      <c r="I960" t="s">
        <v>785</v>
      </c>
      <c r="J960" t="s">
        <v>387</v>
      </c>
      <c r="K960">
        <v>59</v>
      </c>
      <c r="L960">
        <v>31</v>
      </c>
      <c r="M960">
        <v>3</v>
      </c>
      <c r="N960" t="s">
        <v>82</v>
      </c>
      <c r="O960">
        <v>48</v>
      </c>
      <c r="P960">
        <v>51</v>
      </c>
      <c r="Q960" s="3">
        <v>0</v>
      </c>
    </row>
    <row r="961" spans="1:17" x14ac:dyDescent="0.35">
      <c r="A961" t="s">
        <v>1196</v>
      </c>
      <c r="B961" t="s">
        <v>75</v>
      </c>
      <c r="C961" t="s">
        <v>3704</v>
      </c>
      <c r="D961" t="s">
        <v>3705</v>
      </c>
      <c r="E961" t="s">
        <v>68</v>
      </c>
      <c r="F961" t="s">
        <v>3706</v>
      </c>
      <c r="G961" t="s">
        <v>3707</v>
      </c>
      <c r="H961" t="s">
        <v>160</v>
      </c>
      <c r="I961" s="1">
        <v>45510</v>
      </c>
      <c r="J961" t="s">
        <v>501</v>
      </c>
      <c r="K961">
        <v>73</v>
      </c>
      <c r="L961">
        <v>12</v>
      </c>
      <c r="M961">
        <v>28</v>
      </c>
      <c r="N961" t="s">
        <v>713</v>
      </c>
      <c r="O961">
        <v>89</v>
      </c>
      <c r="P961">
        <v>92</v>
      </c>
      <c r="Q961" s="3">
        <v>-0.06</v>
      </c>
    </row>
    <row r="962" spans="1:17" x14ac:dyDescent="0.35">
      <c r="A962" t="s">
        <v>1196</v>
      </c>
      <c r="B962" t="s">
        <v>75</v>
      </c>
      <c r="C962" t="s">
        <v>1870</v>
      </c>
      <c r="D962" t="s">
        <v>3708</v>
      </c>
      <c r="E962" t="s">
        <v>68</v>
      </c>
      <c r="F962" t="s">
        <v>3709</v>
      </c>
      <c r="G962" t="s">
        <v>3710</v>
      </c>
      <c r="H962" t="s">
        <v>605</v>
      </c>
      <c r="I962" t="s">
        <v>306</v>
      </c>
      <c r="J962" t="s">
        <v>1506</v>
      </c>
      <c r="K962">
        <v>49</v>
      </c>
      <c r="L962">
        <v>48</v>
      </c>
      <c r="M962">
        <v>62</v>
      </c>
      <c r="N962" t="s">
        <v>713</v>
      </c>
      <c r="O962">
        <v>96</v>
      </c>
      <c r="P962">
        <v>37</v>
      </c>
      <c r="Q962" s="3">
        <v>-0.03</v>
      </c>
    </row>
    <row r="963" spans="1:17" x14ac:dyDescent="0.35">
      <c r="A963" t="s">
        <v>450</v>
      </c>
      <c r="B963" t="s">
        <v>18</v>
      </c>
      <c r="C963" t="s">
        <v>2960</v>
      </c>
      <c r="D963" t="s">
        <v>3711</v>
      </c>
      <c r="E963" t="s">
        <v>30</v>
      </c>
      <c r="F963" t="s">
        <v>3712</v>
      </c>
      <c r="G963" t="s">
        <v>3713</v>
      </c>
      <c r="H963" t="s">
        <v>605</v>
      </c>
      <c r="I963" s="1">
        <v>45423</v>
      </c>
      <c r="J963" t="s">
        <v>455</v>
      </c>
      <c r="K963">
        <v>83</v>
      </c>
      <c r="L963">
        <v>61</v>
      </c>
      <c r="M963">
        <v>4</v>
      </c>
      <c r="N963" t="s">
        <v>355</v>
      </c>
      <c r="O963">
        <v>35</v>
      </c>
      <c r="P963">
        <v>7</v>
      </c>
      <c r="Q963" s="3">
        <v>0.61</v>
      </c>
    </row>
    <row r="964" spans="1:17" x14ac:dyDescent="0.35">
      <c r="A964" t="s">
        <v>549</v>
      </c>
      <c r="B964" t="s">
        <v>18</v>
      </c>
      <c r="C964" t="s">
        <v>213</v>
      </c>
      <c r="D964" t="s">
        <v>3714</v>
      </c>
      <c r="E964" t="s">
        <v>68</v>
      </c>
      <c r="F964" t="s">
        <v>3715</v>
      </c>
      <c r="G964" t="s">
        <v>3716</v>
      </c>
      <c r="H964" t="s">
        <v>764</v>
      </c>
      <c r="I964" t="s">
        <v>1738</v>
      </c>
      <c r="J964" s="1">
        <v>45690</v>
      </c>
      <c r="K964">
        <v>56</v>
      </c>
      <c r="L964">
        <v>12</v>
      </c>
      <c r="M964">
        <v>59</v>
      </c>
      <c r="N964" t="s">
        <v>3717</v>
      </c>
      <c r="O964">
        <v>35</v>
      </c>
      <c r="P964">
        <v>16</v>
      </c>
      <c r="Q964" s="3">
        <v>0.8</v>
      </c>
    </row>
    <row r="965" spans="1:17" x14ac:dyDescent="0.35">
      <c r="A965" t="s">
        <v>1008</v>
      </c>
      <c r="B965" t="s">
        <v>18</v>
      </c>
      <c r="C965" t="s">
        <v>3718</v>
      </c>
      <c r="D965" t="s">
        <v>3719</v>
      </c>
      <c r="E965" t="s">
        <v>68</v>
      </c>
      <c r="F965" t="s">
        <v>3720</v>
      </c>
      <c r="G965" t="s">
        <v>3721</v>
      </c>
      <c r="H965" t="s">
        <v>245</v>
      </c>
      <c r="I965" s="1">
        <v>45631</v>
      </c>
      <c r="J965" t="s">
        <v>903</v>
      </c>
      <c r="K965">
        <v>48</v>
      </c>
      <c r="L965">
        <v>72</v>
      </c>
      <c r="M965">
        <v>55</v>
      </c>
      <c r="N965" t="s">
        <v>153</v>
      </c>
      <c r="O965">
        <v>51</v>
      </c>
      <c r="P965">
        <v>41</v>
      </c>
      <c r="Q965" s="3">
        <v>0.54</v>
      </c>
    </row>
    <row r="966" spans="1:17" x14ac:dyDescent="0.35">
      <c r="A966" t="s">
        <v>786</v>
      </c>
      <c r="B966" t="s">
        <v>65</v>
      </c>
      <c r="C966" t="s">
        <v>1771</v>
      </c>
      <c r="D966" t="s">
        <v>3722</v>
      </c>
      <c r="E966" t="s">
        <v>68</v>
      </c>
      <c r="F966" t="s">
        <v>3723</v>
      </c>
      <c r="G966" t="s">
        <v>3724</v>
      </c>
      <c r="H966" t="s">
        <v>245</v>
      </c>
      <c r="I966" s="1">
        <v>45482</v>
      </c>
      <c r="J966" s="1">
        <v>45297</v>
      </c>
      <c r="K966">
        <v>66</v>
      </c>
      <c r="L966">
        <v>19</v>
      </c>
      <c r="M966">
        <v>20</v>
      </c>
      <c r="N966" t="s">
        <v>63</v>
      </c>
      <c r="O966">
        <v>30</v>
      </c>
      <c r="P966">
        <v>49</v>
      </c>
      <c r="Q966" s="3">
        <v>0.2</v>
      </c>
    </row>
    <row r="967" spans="1:17" x14ac:dyDescent="0.35">
      <c r="A967" t="s">
        <v>253</v>
      </c>
      <c r="B967" t="s">
        <v>65</v>
      </c>
      <c r="C967" t="s">
        <v>1884</v>
      </c>
      <c r="D967" t="s">
        <v>3725</v>
      </c>
      <c r="E967" t="s">
        <v>68</v>
      </c>
      <c r="F967" t="s">
        <v>3726</v>
      </c>
      <c r="G967" t="s">
        <v>3727</v>
      </c>
      <c r="H967" t="s">
        <v>1291</v>
      </c>
      <c r="I967" t="s">
        <v>1888</v>
      </c>
      <c r="J967" t="s">
        <v>542</v>
      </c>
      <c r="K967">
        <v>42</v>
      </c>
      <c r="L967">
        <v>3</v>
      </c>
      <c r="M967">
        <v>21</v>
      </c>
      <c r="N967" t="s">
        <v>34</v>
      </c>
      <c r="O967">
        <v>35</v>
      </c>
      <c r="P967">
        <v>22</v>
      </c>
      <c r="Q967" s="3">
        <v>-0.63</v>
      </c>
    </row>
    <row r="968" spans="1:17" x14ac:dyDescent="0.35">
      <c r="A968" t="s">
        <v>418</v>
      </c>
      <c r="B968" t="s">
        <v>65</v>
      </c>
      <c r="C968" t="s">
        <v>2862</v>
      </c>
      <c r="D968" t="s">
        <v>3728</v>
      </c>
      <c r="E968" t="s">
        <v>30</v>
      </c>
      <c r="F968" t="s">
        <v>3729</v>
      </c>
      <c r="G968" t="s">
        <v>3730</v>
      </c>
      <c r="H968" t="s">
        <v>1291</v>
      </c>
      <c r="I968" t="s">
        <v>1121</v>
      </c>
      <c r="J968" t="s">
        <v>1648</v>
      </c>
      <c r="K968">
        <v>49</v>
      </c>
      <c r="L968">
        <v>3</v>
      </c>
      <c r="M968">
        <v>7</v>
      </c>
      <c r="N968" t="s">
        <v>2361</v>
      </c>
      <c r="O968">
        <v>75</v>
      </c>
      <c r="P968">
        <v>46</v>
      </c>
      <c r="Q968" s="3">
        <v>0.37</v>
      </c>
    </row>
    <row r="969" spans="1:17" x14ac:dyDescent="0.35">
      <c r="A969" t="s">
        <v>212</v>
      </c>
      <c r="B969" t="s">
        <v>75</v>
      </c>
      <c r="C969" t="s">
        <v>195</v>
      </c>
      <c r="D969" t="s">
        <v>3731</v>
      </c>
      <c r="E969" t="s">
        <v>21</v>
      </c>
      <c r="F969" t="s">
        <v>3732</v>
      </c>
      <c r="G969" t="s">
        <v>3733</v>
      </c>
      <c r="H969" t="s">
        <v>1291</v>
      </c>
      <c r="I969" s="1">
        <v>45479</v>
      </c>
      <c r="J969" t="s">
        <v>1869</v>
      </c>
      <c r="K969">
        <v>46</v>
      </c>
      <c r="L969">
        <v>80</v>
      </c>
      <c r="M969">
        <v>88</v>
      </c>
      <c r="N969" t="s">
        <v>57</v>
      </c>
      <c r="O969">
        <v>62</v>
      </c>
      <c r="P969">
        <v>22</v>
      </c>
      <c r="Q969" s="3">
        <v>0.39</v>
      </c>
    </row>
    <row r="970" spans="1:17" x14ac:dyDescent="0.35">
      <c r="A970" t="s">
        <v>217</v>
      </c>
      <c r="B970" t="s">
        <v>65</v>
      </c>
      <c r="C970" t="s">
        <v>164</v>
      </c>
      <c r="D970" t="s">
        <v>3734</v>
      </c>
      <c r="E970" t="s">
        <v>21</v>
      </c>
      <c r="F970" t="s">
        <v>3735</v>
      </c>
      <c r="G970" t="s">
        <v>3736</v>
      </c>
      <c r="H970" t="s">
        <v>610</v>
      </c>
      <c r="I970" t="s">
        <v>455</v>
      </c>
      <c r="J970" t="s">
        <v>307</v>
      </c>
      <c r="K970">
        <v>20</v>
      </c>
      <c r="L970">
        <v>34</v>
      </c>
      <c r="M970">
        <v>74</v>
      </c>
      <c r="N970" t="s">
        <v>134</v>
      </c>
      <c r="O970">
        <v>50</v>
      </c>
      <c r="P970">
        <v>83</v>
      </c>
      <c r="Q970" s="3">
        <v>0.65</v>
      </c>
    </row>
    <row r="971" spans="1:17" x14ac:dyDescent="0.35">
      <c r="A971" t="s">
        <v>382</v>
      </c>
      <c r="B971" t="s">
        <v>36</v>
      </c>
      <c r="C971" t="s">
        <v>178</v>
      </c>
      <c r="D971" t="s">
        <v>3737</v>
      </c>
      <c r="E971" t="s">
        <v>21</v>
      </c>
      <c r="F971" t="s">
        <v>3738</v>
      </c>
      <c r="G971" t="s">
        <v>3739</v>
      </c>
      <c r="H971" t="s">
        <v>610</v>
      </c>
      <c r="I971" t="s">
        <v>488</v>
      </c>
      <c r="J971" t="s">
        <v>160</v>
      </c>
      <c r="K971">
        <v>29</v>
      </c>
      <c r="L971">
        <v>32</v>
      </c>
      <c r="M971">
        <v>26</v>
      </c>
      <c r="N971" t="s">
        <v>128</v>
      </c>
      <c r="O971">
        <v>64</v>
      </c>
      <c r="P971">
        <v>85</v>
      </c>
      <c r="Q971" s="3">
        <v>-0.66</v>
      </c>
    </row>
    <row r="972" spans="1:17" x14ac:dyDescent="0.35">
      <c r="A972" t="s">
        <v>382</v>
      </c>
      <c r="B972" t="s">
        <v>36</v>
      </c>
      <c r="C972" t="s">
        <v>3740</v>
      </c>
      <c r="D972" t="s">
        <v>3741</v>
      </c>
      <c r="E972" t="s">
        <v>21</v>
      </c>
      <c r="F972" t="s">
        <v>3742</v>
      </c>
      <c r="G972" t="s">
        <v>3743</v>
      </c>
      <c r="H972" t="s">
        <v>610</v>
      </c>
      <c r="I972" t="s">
        <v>2750</v>
      </c>
      <c r="J972" s="1">
        <v>45516</v>
      </c>
      <c r="K972">
        <v>62</v>
      </c>
      <c r="L972">
        <v>91</v>
      </c>
      <c r="M972">
        <v>14</v>
      </c>
      <c r="N972" t="s">
        <v>128</v>
      </c>
      <c r="O972">
        <v>41</v>
      </c>
      <c r="P972">
        <v>77</v>
      </c>
      <c r="Q972" s="3">
        <v>-0.33</v>
      </c>
    </row>
    <row r="973" spans="1:17" x14ac:dyDescent="0.35">
      <c r="A973" t="s">
        <v>212</v>
      </c>
      <c r="B973" t="s">
        <v>75</v>
      </c>
      <c r="C973" t="s">
        <v>3582</v>
      </c>
      <c r="D973" t="s">
        <v>3744</v>
      </c>
      <c r="E973" t="s">
        <v>30</v>
      </c>
      <c r="F973" t="s">
        <v>3745</v>
      </c>
      <c r="G973" t="s">
        <v>3746</v>
      </c>
      <c r="H973" t="s">
        <v>610</v>
      </c>
      <c r="I973" t="s">
        <v>1336</v>
      </c>
      <c r="J973" t="s">
        <v>1471</v>
      </c>
      <c r="K973">
        <v>100</v>
      </c>
      <c r="L973">
        <v>61</v>
      </c>
      <c r="M973">
        <v>21</v>
      </c>
      <c r="N973" t="s">
        <v>57</v>
      </c>
      <c r="O973">
        <v>85</v>
      </c>
      <c r="P973">
        <v>79</v>
      </c>
      <c r="Q973" s="3">
        <v>-0.88</v>
      </c>
    </row>
    <row r="974" spans="1:17" x14ac:dyDescent="0.35">
      <c r="A974" t="s">
        <v>786</v>
      </c>
      <c r="B974" t="s">
        <v>65</v>
      </c>
      <c r="C974" t="s">
        <v>1226</v>
      </c>
      <c r="D974" t="s">
        <v>3747</v>
      </c>
      <c r="E974" t="s">
        <v>21</v>
      </c>
      <c r="F974" t="s">
        <v>3748</v>
      </c>
      <c r="G974" t="s">
        <v>3749</v>
      </c>
      <c r="H974" t="s">
        <v>422</v>
      </c>
      <c r="I974" s="1">
        <v>45631</v>
      </c>
      <c r="J974" s="1">
        <v>45542</v>
      </c>
      <c r="K974">
        <v>28</v>
      </c>
      <c r="L974">
        <v>24</v>
      </c>
      <c r="M974">
        <v>97</v>
      </c>
      <c r="N974" t="s">
        <v>128</v>
      </c>
      <c r="O974">
        <v>82</v>
      </c>
      <c r="P974">
        <v>5</v>
      </c>
      <c r="Q974" s="3">
        <v>7.0000000000000007E-2</v>
      </c>
    </row>
    <row r="975" spans="1:17" x14ac:dyDescent="0.35">
      <c r="A975" t="s">
        <v>671</v>
      </c>
      <c r="B975" t="s">
        <v>65</v>
      </c>
      <c r="C975" t="s">
        <v>218</v>
      </c>
      <c r="D975" t="s">
        <v>3750</v>
      </c>
      <c r="E975" t="s">
        <v>68</v>
      </c>
      <c r="F975" t="s">
        <v>3751</v>
      </c>
      <c r="G975" t="s">
        <v>3752</v>
      </c>
      <c r="H975" t="s">
        <v>1514</v>
      </c>
      <c r="I975" s="1">
        <v>45572</v>
      </c>
      <c r="J975" t="s">
        <v>72</v>
      </c>
      <c r="K975">
        <v>26</v>
      </c>
      <c r="L975">
        <v>82</v>
      </c>
      <c r="M975">
        <v>19</v>
      </c>
      <c r="N975" t="s">
        <v>49</v>
      </c>
      <c r="O975">
        <v>76</v>
      </c>
      <c r="P975">
        <v>88</v>
      </c>
      <c r="Q975" s="3">
        <v>0.94</v>
      </c>
    </row>
    <row r="976" spans="1:17" x14ac:dyDescent="0.35">
      <c r="A976" t="s">
        <v>43</v>
      </c>
      <c r="B976" t="s">
        <v>18</v>
      </c>
      <c r="C976" t="s">
        <v>490</v>
      </c>
      <c r="D976" t="s">
        <v>3753</v>
      </c>
      <c r="E976" t="s">
        <v>21</v>
      </c>
      <c r="F976" t="s">
        <v>3754</v>
      </c>
      <c r="G976" t="s">
        <v>3755</v>
      </c>
      <c r="H976" t="s">
        <v>1514</v>
      </c>
      <c r="I976" t="s">
        <v>645</v>
      </c>
      <c r="J976" s="1">
        <v>45539</v>
      </c>
      <c r="K976">
        <v>67</v>
      </c>
      <c r="L976">
        <v>68</v>
      </c>
      <c r="M976">
        <v>50</v>
      </c>
      <c r="N976" t="s">
        <v>49</v>
      </c>
      <c r="O976">
        <v>67</v>
      </c>
      <c r="P976">
        <v>82</v>
      </c>
      <c r="Q976" s="3">
        <v>-0.16</v>
      </c>
    </row>
    <row r="977" spans="1:17" x14ac:dyDescent="0.35">
      <c r="A977" t="s">
        <v>1704</v>
      </c>
      <c r="B977" t="s">
        <v>18</v>
      </c>
      <c r="C977" t="s">
        <v>862</v>
      </c>
      <c r="D977" t="s">
        <v>3756</v>
      </c>
      <c r="E977" t="s">
        <v>68</v>
      </c>
      <c r="F977" t="s">
        <v>3757</v>
      </c>
      <c r="G977" t="s">
        <v>3758</v>
      </c>
      <c r="H977" t="s">
        <v>1514</v>
      </c>
      <c r="I977" s="1">
        <v>45391</v>
      </c>
      <c r="J977" t="s">
        <v>888</v>
      </c>
      <c r="K977">
        <v>53</v>
      </c>
      <c r="L977">
        <v>98</v>
      </c>
      <c r="M977">
        <v>25</v>
      </c>
      <c r="N977" t="s">
        <v>82</v>
      </c>
      <c r="O977">
        <v>55</v>
      </c>
      <c r="P977">
        <v>51</v>
      </c>
      <c r="Q977" s="3">
        <v>-0.22</v>
      </c>
    </row>
    <row r="978" spans="1:17" x14ac:dyDescent="0.35">
      <c r="A978" t="s">
        <v>331</v>
      </c>
      <c r="B978" t="s">
        <v>27</v>
      </c>
      <c r="C978" t="s">
        <v>1360</v>
      </c>
      <c r="D978" t="s">
        <v>3759</v>
      </c>
      <c r="E978" t="s">
        <v>21</v>
      </c>
      <c r="F978" t="s">
        <v>3760</v>
      </c>
      <c r="G978" t="s">
        <v>3761</v>
      </c>
      <c r="H978" t="s">
        <v>1514</v>
      </c>
      <c r="I978" t="s">
        <v>1682</v>
      </c>
      <c r="J978" t="s">
        <v>2299</v>
      </c>
      <c r="K978">
        <v>49</v>
      </c>
      <c r="L978">
        <v>17</v>
      </c>
      <c r="M978">
        <v>54</v>
      </c>
      <c r="N978" t="s">
        <v>121</v>
      </c>
      <c r="O978">
        <v>45</v>
      </c>
      <c r="P978">
        <v>96</v>
      </c>
      <c r="Q978" s="3">
        <v>7.0000000000000007E-2</v>
      </c>
    </row>
    <row r="979" spans="1:17" x14ac:dyDescent="0.35">
      <c r="A979" t="s">
        <v>89</v>
      </c>
      <c r="B979" t="s">
        <v>36</v>
      </c>
      <c r="C979" t="s">
        <v>284</v>
      </c>
      <c r="D979" t="s">
        <v>3762</v>
      </c>
      <c r="E979" t="s">
        <v>30</v>
      </c>
      <c r="F979" t="s">
        <v>3763</v>
      </c>
      <c r="G979" t="s">
        <v>3764</v>
      </c>
      <c r="H979" t="s">
        <v>1514</v>
      </c>
      <c r="I979" s="1">
        <v>45298</v>
      </c>
      <c r="J979" t="s">
        <v>1001</v>
      </c>
      <c r="K979">
        <v>63</v>
      </c>
      <c r="L979">
        <v>12</v>
      </c>
      <c r="M979">
        <v>82</v>
      </c>
      <c r="N979" t="s">
        <v>95</v>
      </c>
      <c r="O979">
        <v>56</v>
      </c>
      <c r="P979">
        <v>31</v>
      </c>
      <c r="Q979" s="3">
        <v>-1.1299999999999999</v>
      </c>
    </row>
    <row r="980" spans="1:17" x14ac:dyDescent="0.35">
      <c r="A980" t="s">
        <v>1201</v>
      </c>
      <c r="B980" t="s">
        <v>18</v>
      </c>
      <c r="C980" t="s">
        <v>1728</v>
      </c>
      <c r="D980" t="s">
        <v>3765</v>
      </c>
      <c r="E980" t="s">
        <v>21</v>
      </c>
      <c r="F980" t="s">
        <v>3766</v>
      </c>
      <c r="G980" t="s">
        <v>3767</v>
      </c>
      <c r="H980" t="s">
        <v>1983</v>
      </c>
      <c r="I980" t="s">
        <v>444</v>
      </c>
      <c r="J980" s="1">
        <v>45601</v>
      </c>
      <c r="K980">
        <v>73</v>
      </c>
      <c r="L980">
        <v>87</v>
      </c>
      <c r="M980">
        <v>46</v>
      </c>
      <c r="N980" t="s">
        <v>121</v>
      </c>
      <c r="O980">
        <v>47</v>
      </c>
      <c r="P980">
        <v>67</v>
      </c>
      <c r="Q980" s="3">
        <v>0.45</v>
      </c>
    </row>
    <row r="981" spans="1:17" x14ac:dyDescent="0.35">
      <c r="A981" t="s">
        <v>532</v>
      </c>
      <c r="B981" t="s">
        <v>75</v>
      </c>
      <c r="C981" t="s">
        <v>696</v>
      </c>
      <c r="D981" t="s">
        <v>3768</v>
      </c>
      <c r="E981" t="s">
        <v>21</v>
      </c>
      <c r="F981" t="s">
        <v>3769</v>
      </c>
      <c r="G981" t="s">
        <v>3770</v>
      </c>
      <c r="H981" t="s">
        <v>1983</v>
      </c>
      <c r="I981" s="1">
        <v>45450</v>
      </c>
      <c r="J981" t="s">
        <v>548</v>
      </c>
      <c r="K981">
        <v>89</v>
      </c>
      <c r="L981">
        <v>95</v>
      </c>
      <c r="M981">
        <v>41</v>
      </c>
      <c r="N981" t="s">
        <v>537</v>
      </c>
      <c r="O981">
        <v>76</v>
      </c>
      <c r="P981">
        <v>96</v>
      </c>
      <c r="Q981" s="3">
        <v>-0.43</v>
      </c>
    </row>
    <row r="982" spans="1:17" x14ac:dyDescent="0.35">
      <c r="A982" t="s">
        <v>1292</v>
      </c>
      <c r="B982" t="s">
        <v>18</v>
      </c>
      <c r="C982" t="s">
        <v>143</v>
      </c>
      <c r="D982" t="s">
        <v>3771</v>
      </c>
      <c r="E982" t="s">
        <v>21</v>
      </c>
      <c r="F982" t="s">
        <v>3772</v>
      </c>
      <c r="G982" t="s">
        <v>3773</v>
      </c>
      <c r="H982" t="s">
        <v>542</v>
      </c>
      <c r="I982" t="s">
        <v>1482</v>
      </c>
      <c r="J982" s="1">
        <v>45632</v>
      </c>
      <c r="K982">
        <v>26</v>
      </c>
      <c r="L982">
        <v>97</v>
      </c>
      <c r="M982">
        <v>12</v>
      </c>
      <c r="N982" t="s">
        <v>344</v>
      </c>
      <c r="O982">
        <v>94</v>
      </c>
      <c r="P982">
        <v>58</v>
      </c>
      <c r="Q982" s="3">
        <v>-0.26</v>
      </c>
    </row>
    <row r="983" spans="1:17" x14ac:dyDescent="0.35">
      <c r="A983" t="s">
        <v>101</v>
      </c>
      <c r="B983" t="s">
        <v>27</v>
      </c>
      <c r="C983" t="s">
        <v>404</v>
      </c>
      <c r="D983" t="s">
        <v>3774</v>
      </c>
      <c r="E983" t="s">
        <v>21</v>
      </c>
      <c r="F983" t="s">
        <v>3775</v>
      </c>
      <c r="G983" t="s">
        <v>3776</v>
      </c>
      <c r="H983" t="s">
        <v>48</v>
      </c>
      <c r="I983" s="1">
        <v>45631</v>
      </c>
      <c r="J983" s="1">
        <v>45388</v>
      </c>
      <c r="K983">
        <v>50</v>
      </c>
      <c r="L983">
        <v>36</v>
      </c>
      <c r="M983">
        <v>81</v>
      </c>
      <c r="N983" t="s">
        <v>82</v>
      </c>
      <c r="O983">
        <v>27</v>
      </c>
      <c r="P983">
        <v>6</v>
      </c>
      <c r="Q983" s="3">
        <v>0.38</v>
      </c>
    </row>
    <row r="984" spans="1:17" x14ac:dyDescent="0.35">
      <c r="A984" t="s">
        <v>842</v>
      </c>
      <c r="B984" t="s">
        <v>75</v>
      </c>
      <c r="C984" t="s">
        <v>2304</v>
      </c>
      <c r="D984" t="s">
        <v>3777</v>
      </c>
      <c r="E984" t="s">
        <v>68</v>
      </c>
      <c r="F984" t="s">
        <v>3778</v>
      </c>
      <c r="G984" t="s">
        <v>3779</v>
      </c>
      <c r="H984" t="s">
        <v>48</v>
      </c>
      <c r="I984" t="s">
        <v>892</v>
      </c>
      <c r="J984" s="1">
        <v>45507</v>
      </c>
      <c r="K984">
        <v>43</v>
      </c>
      <c r="L984">
        <v>7</v>
      </c>
      <c r="M984">
        <v>63</v>
      </c>
      <c r="N984" t="s">
        <v>88</v>
      </c>
      <c r="O984">
        <v>66</v>
      </c>
      <c r="P984">
        <v>71</v>
      </c>
      <c r="Q984" s="3">
        <v>0.78</v>
      </c>
    </row>
    <row r="985" spans="1:17" x14ac:dyDescent="0.35">
      <c r="A985" t="s">
        <v>320</v>
      </c>
      <c r="B985" t="s">
        <v>36</v>
      </c>
      <c r="C985" t="s">
        <v>44</v>
      </c>
      <c r="D985" t="s">
        <v>3780</v>
      </c>
      <c r="E985" t="s">
        <v>68</v>
      </c>
      <c r="F985" t="s">
        <v>3781</v>
      </c>
      <c r="G985" t="s">
        <v>3782</v>
      </c>
      <c r="H985" t="s">
        <v>676</v>
      </c>
      <c r="I985" t="s">
        <v>1016</v>
      </c>
      <c r="J985" s="1">
        <v>45810</v>
      </c>
      <c r="K985">
        <v>97</v>
      </c>
      <c r="L985">
        <v>57</v>
      </c>
      <c r="M985">
        <v>84</v>
      </c>
      <c r="N985" t="s">
        <v>57</v>
      </c>
      <c r="O985">
        <v>95</v>
      </c>
      <c r="P985">
        <v>28</v>
      </c>
      <c r="Q985" s="3">
        <v>-0.08</v>
      </c>
    </row>
    <row r="986" spans="1:17" x14ac:dyDescent="0.35">
      <c r="A986" t="s">
        <v>371</v>
      </c>
      <c r="B986" t="s">
        <v>75</v>
      </c>
      <c r="C986" t="s">
        <v>1507</v>
      </c>
      <c r="D986" t="s">
        <v>3783</v>
      </c>
      <c r="E986" t="s">
        <v>68</v>
      </c>
      <c r="F986" t="s">
        <v>3784</v>
      </c>
      <c r="G986" t="s">
        <v>3785</v>
      </c>
      <c r="H986" t="s">
        <v>676</v>
      </c>
      <c r="I986" t="s">
        <v>295</v>
      </c>
      <c r="J986" t="s">
        <v>495</v>
      </c>
      <c r="K986">
        <v>98</v>
      </c>
      <c r="L986">
        <v>65</v>
      </c>
      <c r="M986">
        <v>76</v>
      </c>
      <c r="N986" t="s">
        <v>42</v>
      </c>
      <c r="O986">
        <v>62</v>
      </c>
      <c r="P986">
        <v>47</v>
      </c>
      <c r="Q986" s="3">
        <v>0.71</v>
      </c>
    </row>
    <row r="987" spans="1:17" x14ac:dyDescent="0.35">
      <c r="A987" t="s">
        <v>35</v>
      </c>
      <c r="B987" t="s">
        <v>36</v>
      </c>
      <c r="C987" t="s">
        <v>3786</v>
      </c>
      <c r="D987" t="s">
        <v>3787</v>
      </c>
      <c r="E987" t="s">
        <v>30</v>
      </c>
      <c r="F987" t="s">
        <v>3788</v>
      </c>
      <c r="G987" t="s">
        <v>3789</v>
      </c>
      <c r="H987" t="s">
        <v>676</v>
      </c>
      <c r="I987" s="1">
        <v>45392</v>
      </c>
      <c r="J987" t="s">
        <v>55</v>
      </c>
      <c r="K987">
        <v>52</v>
      </c>
      <c r="L987">
        <v>56</v>
      </c>
      <c r="M987">
        <v>34</v>
      </c>
      <c r="N987" t="s">
        <v>42</v>
      </c>
      <c r="O987">
        <v>31</v>
      </c>
      <c r="P987">
        <v>69</v>
      </c>
      <c r="Q987" s="3">
        <v>0.24</v>
      </c>
    </row>
    <row r="988" spans="1:17" x14ac:dyDescent="0.35">
      <c r="A988" t="s">
        <v>2946</v>
      </c>
      <c r="B988" t="s">
        <v>65</v>
      </c>
      <c r="C988" t="s">
        <v>1129</v>
      </c>
      <c r="D988" t="s">
        <v>3790</v>
      </c>
      <c r="E988" t="s">
        <v>68</v>
      </c>
      <c r="F988" t="s">
        <v>3791</v>
      </c>
      <c r="G988" t="s">
        <v>3792</v>
      </c>
      <c r="H988" t="s">
        <v>275</v>
      </c>
      <c r="I988" t="s">
        <v>732</v>
      </c>
      <c r="J988" t="s">
        <v>803</v>
      </c>
      <c r="K988">
        <v>72</v>
      </c>
      <c r="L988">
        <v>72</v>
      </c>
      <c r="M988">
        <v>68</v>
      </c>
      <c r="N988" t="s">
        <v>49</v>
      </c>
      <c r="O988">
        <v>39</v>
      </c>
      <c r="P988">
        <v>78</v>
      </c>
      <c r="Q988" s="3">
        <v>-1.23</v>
      </c>
    </row>
    <row r="989" spans="1:17" x14ac:dyDescent="0.35">
      <c r="A989" t="s">
        <v>450</v>
      </c>
      <c r="B989" t="s">
        <v>18</v>
      </c>
      <c r="C989" t="s">
        <v>573</v>
      </c>
      <c r="D989" t="s">
        <v>3793</v>
      </c>
      <c r="E989" t="s">
        <v>21</v>
      </c>
      <c r="F989" t="s">
        <v>3794</v>
      </c>
      <c r="G989" t="s">
        <v>3795</v>
      </c>
      <c r="H989" t="s">
        <v>275</v>
      </c>
      <c r="I989" t="s">
        <v>1869</v>
      </c>
      <c r="J989" s="1">
        <v>45329</v>
      </c>
      <c r="K989">
        <v>24</v>
      </c>
      <c r="L989">
        <v>32</v>
      </c>
      <c r="M989">
        <v>17</v>
      </c>
      <c r="N989" t="s">
        <v>355</v>
      </c>
      <c r="O989">
        <v>55</v>
      </c>
      <c r="P989">
        <v>72</v>
      </c>
      <c r="Q989" s="3">
        <v>-1</v>
      </c>
    </row>
    <row r="990" spans="1:17" x14ac:dyDescent="0.35">
      <c r="A990" t="s">
        <v>975</v>
      </c>
      <c r="B990" t="s">
        <v>18</v>
      </c>
      <c r="C990" t="s">
        <v>3181</v>
      </c>
      <c r="D990" t="s">
        <v>3796</v>
      </c>
      <c r="E990" t="s">
        <v>21</v>
      </c>
      <c r="F990" t="s">
        <v>3797</v>
      </c>
      <c r="G990" t="s">
        <v>3798</v>
      </c>
      <c r="H990" t="s">
        <v>1186</v>
      </c>
      <c r="I990" t="s">
        <v>755</v>
      </c>
      <c r="J990" t="s">
        <v>1747</v>
      </c>
      <c r="K990">
        <v>81</v>
      </c>
      <c r="L990">
        <v>99</v>
      </c>
      <c r="M990">
        <v>28</v>
      </c>
      <c r="N990" t="s">
        <v>34</v>
      </c>
      <c r="O990">
        <v>20</v>
      </c>
      <c r="P990">
        <v>85</v>
      </c>
      <c r="Q990" s="3">
        <v>-0.31</v>
      </c>
    </row>
    <row r="991" spans="1:17" x14ac:dyDescent="0.35">
      <c r="A991" t="s">
        <v>1292</v>
      </c>
      <c r="B991" t="s">
        <v>18</v>
      </c>
      <c r="C991" t="s">
        <v>66</v>
      </c>
      <c r="D991" t="s">
        <v>3799</v>
      </c>
      <c r="E991" t="s">
        <v>21</v>
      </c>
      <c r="F991" t="s">
        <v>3800</v>
      </c>
      <c r="G991" t="s">
        <v>3801</v>
      </c>
      <c r="H991" t="s">
        <v>1186</v>
      </c>
      <c r="I991" t="s">
        <v>664</v>
      </c>
      <c r="J991" t="s">
        <v>2612</v>
      </c>
      <c r="K991">
        <v>94</v>
      </c>
      <c r="L991">
        <v>77</v>
      </c>
      <c r="M991">
        <v>89</v>
      </c>
      <c r="N991" t="s">
        <v>344</v>
      </c>
      <c r="O991">
        <v>40</v>
      </c>
      <c r="P991">
        <v>84</v>
      </c>
      <c r="Q991" s="3">
        <v>-3.25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6C44-182B-42DD-8ED1-3C4DE6EA92A6}">
  <dimension ref="A1:J18"/>
  <sheetViews>
    <sheetView zoomScale="69" zoomScaleNormal="100" workbookViewId="0">
      <pane ySplit="1" topLeftCell="A2" activePane="bottomLeft" state="frozen"/>
      <selection pane="bottomLeft" activeCell="I7" sqref="I7"/>
    </sheetView>
  </sheetViews>
  <sheetFormatPr defaultRowHeight="14.5" x14ac:dyDescent="0.35"/>
  <cols>
    <col min="1" max="1" width="15.90625" bestFit="1" customWidth="1"/>
    <col min="2" max="2" width="5.26953125" bestFit="1" customWidth="1"/>
    <col min="3" max="3" width="8.08984375" bestFit="1" customWidth="1"/>
    <col min="4" max="4" width="22.453125" bestFit="1" customWidth="1"/>
    <col min="5" max="5" width="49.453125" bestFit="1" customWidth="1"/>
    <col min="6" max="6" width="6.26953125" bestFit="1" customWidth="1"/>
    <col min="7" max="7" width="31.1796875" bestFit="1" customWidth="1"/>
    <col min="8" max="8" width="42.26953125" bestFit="1" customWidth="1"/>
    <col min="9" max="9" width="20.453125" bestFit="1" customWidth="1"/>
    <col min="10" max="10" width="40.90625" customWidth="1"/>
  </cols>
  <sheetData>
    <row r="1" spans="1:10" s="4" customFormat="1" x14ac:dyDescent="0.35">
      <c r="A1" s="11" t="s">
        <v>3802</v>
      </c>
      <c r="B1" s="11" t="s">
        <v>3803</v>
      </c>
      <c r="C1" s="11" t="s">
        <v>3804</v>
      </c>
      <c r="D1" s="11" t="s">
        <v>3806</v>
      </c>
      <c r="E1" s="11" t="s">
        <v>3817</v>
      </c>
      <c r="F1" s="11" t="s">
        <v>3805</v>
      </c>
      <c r="G1" s="11" t="s">
        <v>3807</v>
      </c>
      <c r="H1" s="11" t="s">
        <v>3813</v>
      </c>
      <c r="I1" s="11" t="s">
        <v>3812</v>
      </c>
      <c r="J1" s="11" t="s">
        <v>3816</v>
      </c>
    </row>
    <row r="2" spans="1:10" x14ac:dyDescent="0.35">
      <c r="A2" s="9" t="s">
        <v>3808</v>
      </c>
      <c r="B2" s="9">
        <v>991</v>
      </c>
      <c r="C2" s="9">
        <v>17</v>
      </c>
      <c r="D2" s="9" t="s">
        <v>0</v>
      </c>
      <c r="E2" s="9" t="s">
        <v>3818</v>
      </c>
      <c r="F2" s="9">
        <v>0</v>
      </c>
      <c r="G2" s="9" t="s">
        <v>3905</v>
      </c>
      <c r="H2" s="9" t="s">
        <v>3905</v>
      </c>
      <c r="I2" s="9" t="s">
        <v>3814</v>
      </c>
      <c r="J2" s="9" t="s">
        <v>3815</v>
      </c>
    </row>
    <row r="3" spans="1:10" x14ac:dyDescent="0.35">
      <c r="A3" s="9"/>
      <c r="B3" s="9"/>
      <c r="C3" s="9"/>
      <c r="D3" s="9" t="s">
        <v>3809</v>
      </c>
      <c r="E3" s="9" t="s">
        <v>3809</v>
      </c>
      <c r="F3" s="9">
        <v>1</v>
      </c>
      <c r="G3" s="10" t="s">
        <v>3848</v>
      </c>
      <c r="H3" s="10" t="s">
        <v>3847</v>
      </c>
      <c r="I3" s="9" t="s">
        <v>3828</v>
      </c>
      <c r="J3" s="9" t="s">
        <v>3829</v>
      </c>
    </row>
    <row r="4" spans="1:10" x14ac:dyDescent="0.35">
      <c r="A4" s="9"/>
      <c r="B4" s="9"/>
      <c r="C4" s="9"/>
      <c r="D4" s="9" t="s">
        <v>2</v>
      </c>
      <c r="E4" s="9" t="s">
        <v>3819</v>
      </c>
      <c r="F4" s="9">
        <v>0</v>
      </c>
      <c r="G4" s="9"/>
      <c r="H4" s="9" t="s">
        <v>3905</v>
      </c>
      <c r="I4" s="9" t="s">
        <v>3830</v>
      </c>
      <c r="J4" s="12" t="s">
        <v>3849</v>
      </c>
    </row>
    <row r="5" spans="1:10" ht="58" x14ac:dyDescent="0.35">
      <c r="A5" s="9"/>
      <c r="B5" s="9"/>
      <c r="C5" s="9"/>
      <c r="D5" s="9" t="s">
        <v>3</v>
      </c>
      <c r="E5" s="9" t="s">
        <v>3822</v>
      </c>
      <c r="F5" s="9">
        <v>0</v>
      </c>
      <c r="G5" s="9" t="s">
        <v>3905</v>
      </c>
      <c r="H5" s="9" t="s">
        <v>3905</v>
      </c>
      <c r="I5" s="9" t="s">
        <v>3831</v>
      </c>
      <c r="J5" s="12" t="s">
        <v>3851</v>
      </c>
    </row>
    <row r="6" spans="1:10" ht="87" x14ac:dyDescent="0.35">
      <c r="A6" s="9"/>
      <c r="B6" s="9"/>
      <c r="C6" s="9"/>
      <c r="D6" s="9" t="s">
        <v>4</v>
      </c>
      <c r="E6" s="10" t="s">
        <v>3840</v>
      </c>
      <c r="F6" s="9">
        <v>0</v>
      </c>
      <c r="G6" s="9" t="s">
        <v>3905</v>
      </c>
      <c r="H6" s="9" t="s">
        <v>3905</v>
      </c>
      <c r="I6" s="9" t="s">
        <v>3839</v>
      </c>
      <c r="J6" s="10" t="s">
        <v>3850</v>
      </c>
    </row>
    <row r="7" spans="1:10" x14ac:dyDescent="0.35">
      <c r="A7" s="9"/>
      <c r="B7" s="9"/>
      <c r="C7" s="9"/>
      <c r="D7" s="9" t="s">
        <v>5</v>
      </c>
      <c r="E7" s="9" t="s">
        <v>3820</v>
      </c>
      <c r="F7" s="9">
        <v>0</v>
      </c>
      <c r="G7" s="9" t="s">
        <v>3905</v>
      </c>
      <c r="H7" s="9" t="s">
        <v>3905</v>
      </c>
      <c r="J7" s="9"/>
    </row>
    <row r="8" spans="1:10" x14ac:dyDescent="0.35">
      <c r="A8" s="9"/>
      <c r="B8" s="9"/>
      <c r="C8" s="9"/>
      <c r="D8" s="9" t="s">
        <v>6</v>
      </c>
      <c r="E8" s="9" t="s">
        <v>3821</v>
      </c>
      <c r="F8" s="9">
        <v>0</v>
      </c>
      <c r="G8" s="9" t="s">
        <v>3905</v>
      </c>
      <c r="H8" s="9" t="s">
        <v>3905</v>
      </c>
    </row>
    <row r="9" spans="1:10" ht="43.5" x14ac:dyDescent="0.35">
      <c r="A9" s="9"/>
      <c r="B9" s="9"/>
      <c r="C9" s="9"/>
      <c r="D9" s="9" t="s">
        <v>7</v>
      </c>
      <c r="E9" s="10" t="s">
        <v>3841</v>
      </c>
      <c r="F9" s="9">
        <v>0</v>
      </c>
      <c r="G9" s="9" t="s">
        <v>3905</v>
      </c>
      <c r="H9" s="10" t="s">
        <v>3845</v>
      </c>
    </row>
    <row r="10" spans="1:10" ht="29" x14ac:dyDescent="0.35">
      <c r="A10" s="9"/>
      <c r="B10" s="9"/>
      <c r="C10" s="9"/>
      <c r="D10" s="9" t="s">
        <v>8</v>
      </c>
      <c r="E10" s="10" t="s">
        <v>3854</v>
      </c>
      <c r="F10" s="9">
        <v>0</v>
      </c>
      <c r="G10" s="10" t="s">
        <v>3852</v>
      </c>
      <c r="H10" s="10" t="s">
        <v>3853</v>
      </c>
    </row>
    <row r="11" spans="1:10" ht="43.5" x14ac:dyDescent="0.35">
      <c r="A11" s="9"/>
      <c r="B11" s="9"/>
      <c r="C11" s="9"/>
      <c r="D11" s="9" t="s">
        <v>9</v>
      </c>
      <c r="E11" s="10" t="s">
        <v>3823</v>
      </c>
      <c r="F11" s="9">
        <v>0</v>
      </c>
      <c r="G11" s="10" t="s">
        <v>3832</v>
      </c>
      <c r="H11" s="10" t="s">
        <v>3845</v>
      </c>
    </row>
    <row r="12" spans="1:10" x14ac:dyDescent="0.35">
      <c r="A12" s="9"/>
      <c r="B12" s="9"/>
      <c r="C12" s="9"/>
      <c r="D12" s="9" t="s">
        <v>10</v>
      </c>
      <c r="E12" s="10" t="s">
        <v>3824</v>
      </c>
      <c r="F12" s="9">
        <v>0</v>
      </c>
      <c r="G12" s="9" t="s">
        <v>3905</v>
      </c>
      <c r="H12" s="9" t="s">
        <v>3905</v>
      </c>
    </row>
    <row r="13" spans="1:10" x14ac:dyDescent="0.35">
      <c r="A13" s="9"/>
      <c r="B13" s="9"/>
      <c r="C13" s="9"/>
      <c r="D13" s="9" t="s">
        <v>3810</v>
      </c>
      <c r="E13" s="10" t="s">
        <v>3842</v>
      </c>
      <c r="F13" s="9">
        <v>0</v>
      </c>
      <c r="G13" s="9" t="s">
        <v>3905</v>
      </c>
      <c r="H13" s="9" t="s">
        <v>3905</v>
      </c>
    </row>
    <row r="14" spans="1:10" x14ac:dyDescent="0.35">
      <c r="A14" s="9"/>
      <c r="B14" s="9"/>
      <c r="C14" s="9"/>
      <c r="D14" s="9" t="s">
        <v>3811</v>
      </c>
      <c r="E14" s="10" t="s">
        <v>3843</v>
      </c>
      <c r="F14" s="9">
        <v>0</v>
      </c>
      <c r="G14" s="9" t="s">
        <v>3905</v>
      </c>
      <c r="H14" s="9" t="s">
        <v>3905</v>
      </c>
    </row>
    <row r="15" spans="1:10" x14ac:dyDescent="0.35">
      <c r="A15" s="9"/>
      <c r="B15" s="9"/>
      <c r="C15" s="9"/>
      <c r="D15" s="9" t="s">
        <v>13</v>
      </c>
      <c r="E15" s="10" t="s">
        <v>3825</v>
      </c>
      <c r="F15" s="9">
        <v>0</v>
      </c>
      <c r="G15" s="9" t="s">
        <v>3905</v>
      </c>
      <c r="H15" s="10" t="s">
        <v>3846</v>
      </c>
    </row>
    <row r="16" spans="1:10" x14ac:dyDescent="0.35">
      <c r="A16" s="9"/>
      <c r="B16" s="9"/>
      <c r="C16" s="9"/>
      <c r="D16" s="9" t="s">
        <v>14</v>
      </c>
      <c r="E16" s="10" t="s">
        <v>3826</v>
      </c>
      <c r="F16" s="9">
        <v>0</v>
      </c>
      <c r="G16" s="9" t="s">
        <v>3905</v>
      </c>
      <c r="H16" s="9" t="s">
        <v>3905</v>
      </c>
    </row>
    <row r="17" spans="1:8" ht="58" x14ac:dyDescent="0.35">
      <c r="A17" s="9"/>
      <c r="B17" s="9"/>
      <c r="C17" s="9"/>
      <c r="D17" s="9" t="s">
        <v>15</v>
      </c>
      <c r="E17" s="10" t="s">
        <v>3844</v>
      </c>
      <c r="F17" s="9">
        <v>0</v>
      </c>
      <c r="G17" s="9" t="s">
        <v>3905</v>
      </c>
      <c r="H17" s="9" t="s">
        <v>3905</v>
      </c>
    </row>
    <row r="18" spans="1:8" ht="29" x14ac:dyDescent="0.35">
      <c r="A18" s="9"/>
      <c r="B18" s="9"/>
      <c r="C18" s="9"/>
      <c r="D18" s="9" t="s">
        <v>16</v>
      </c>
      <c r="E18" s="10" t="s">
        <v>3827</v>
      </c>
      <c r="F18" s="9">
        <v>0</v>
      </c>
      <c r="G18" s="10" t="s">
        <v>3855</v>
      </c>
      <c r="H18" s="9" t="s">
        <v>3905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7D23-09E1-4D33-9114-99A491719190}">
  <dimension ref="A1:X991"/>
  <sheetViews>
    <sheetView topLeftCell="M1" zoomScale="75" workbookViewId="0">
      <pane ySplit="1" topLeftCell="A2" activePane="bottomLeft" state="frozen"/>
      <selection pane="bottomLeft" activeCell="X2" sqref="X2:Z9"/>
    </sheetView>
  </sheetViews>
  <sheetFormatPr defaultRowHeight="14.5" x14ac:dyDescent="0.35"/>
  <cols>
    <col min="1" max="1" width="17.81640625" bestFit="1" customWidth="1"/>
    <col min="2" max="2" width="16.81640625" bestFit="1" customWidth="1"/>
    <col min="3" max="3" width="15.54296875" customWidth="1"/>
    <col min="4" max="4" width="28" bestFit="1" customWidth="1"/>
    <col min="5" max="5" width="11.7265625" bestFit="1" customWidth="1"/>
    <col min="6" max="6" width="12.26953125" customWidth="1"/>
    <col min="7" max="7" width="12.453125" customWidth="1"/>
    <col min="8" max="8" width="15.1796875" customWidth="1"/>
    <col min="9" max="9" width="17.08984375" style="7" customWidth="1"/>
    <col min="10" max="10" width="17" style="6" customWidth="1"/>
    <col min="11" max="11" width="15.7265625" customWidth="1"/>
    <col min="12" max="12" width="14.7265625" customWidth="1"/>
    <col min="13" max="13" width="17.90625" customWidth="1"/>
    <col min="14" max="14" width="11.453125" customWidth="1"/>
    <col min="15" max="15" width="14.453125" customWidth="1"/>
    <col min="16" max="16" width="24.36328125" customWidth="1"/>
    <col min="17" max="17" width="12.1796875" customWidth="1"/>
    <col min="18" max="18" width="13.08984375" customWidth="1"/>
    <col min="19" max="19" width="10" customWidth="1"/>
    <col min="20" max="20" width="13.81640625" customWidth="1"/>
    <col min="21" max="21" width="16.7265625" customWidth="1"/>
    <col min="22" max="22" width="24.36328125" style="14" bestFit="1" customWidth="1"/>
    <col min="23" max="23" width="16.7265625" style="14" customWidth="1"/>
    <col min="24" max="24" width="11" bestFit="1" customWidth="1"/>
  </cols>
  <sheetData>
    <row r="1" spans="1:24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3" t="s">
        <v>3833</v>
      </c>
      <c r="I1" s="5" t="s">
        <v>8</v>
      </c>
      <c r="J1" s="13" t="s">
        <v>3834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3814</v>
      </c>
      <c r="S1" s="4" t="s">
        <v>3828</v>
      </c>
      <c r="T1" s="4" t="s">
        <v>3830</v>
      </c>
      <c r="U1" s="4" t="s">
        <v>3835</v>
      </c>
      <c r="V1" s="4" t="s">
        <v>3839</v>
      </c>
      <c r="W1" s="15"/>
    </row>
    <row r="2" spans="1:24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46025</v>
      </c>
      <c r="I2" s="6">
        <v>45663</v>
      </c>
      <c r="J2" s="6">
        <v>46418</v>
      </c>
      <c r="K2">
        <v>46</v>
      </c>
      <c r="L2">
        <v>64</v>
      </c>
      <c r="M2">
        <v>17</v>
      </c>
      <c r="N2" s="8">
        <v>4.5999999999999996</v>
      </c>
      <c r="O2">
        <v>96</v>
      </c>
      <c r="P2">
        <v>55</v>
      </c>
      <c r="Q2" s="2">
        <v>1.9599999999999999E-2</v>
      </c>
      <c r="R2">
        <f>Inventory_Table[[#This Row],[Stock_Quantity]]*Inventory_Table[[#This Row],[Unit_Price]]</f>
        <v>211.6</v>
      </c>
      <c r="S2">
        <f>Inventory_Table[[#This Row],[Sales_Volume]]*Inventory_Table[[#This Row],[Unit_Price]]</f>
        <v>441.59999999999997</v>
      </c>
      <c r="T2" t="str">
        <f>IF(Inventory_Table[[#This Row],[Stock_Quantity]]&lt;=Inventory_Table[[#This Row],[Reorder_Level]],"REORDER","OK")</f>
        <v>REORDER</v>
      </c>
      <c r="U2" t="s">
        <v>3836</v>
      </c>
      <c r="V2" s="14">
        <f ca="1">TODAY()-Inventory_Table[[#This Row],[Last_Order_Date]]</f>
        <v>513</v>
      </c>
      <c r="X2" s="1"/>
    </row>
    <row r="3" spans="1:24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s="1">
        <v>46026</v>
      </c>
      <c r="I3" s="6">
        <v>45431</v>
      </c>
      <c r="J3" s="6">
        <v>46184</v>
      </c>
      <c r="K3">
        <v>51</v>
      </c>
      <c r="L3">
        <v>87</v>
      </c>
      <c r="M3">
        <v>86</v>
      </c>
      <c r="N3" s="8">
        <v>2</v>
      </c>
      <c r="O3">
        <v>24</v>
      </c>
      <c r="P3">
        <v>83</v>
      </c>
      <c r="Q3" s="2">
        <v>9.1000000000000004E-3</v>
      </c>
      <c r="R3">
        <f>Inventory_Table[[#This Row],[Stock_Quantity]]*Inventory_Table[[#This Row],[Unit_Price]]</f>
        <v>102</v>
      </c>
      <c r="S3">
        <f>Inventory_Table[[#This Row],[Sales_Volume]]*Inventory_Table[[#This Row],[Unit_Price]]</f>
        <v>48</v>
      </c>
      <c r="T3" t="str">
        <f>IF(Inventory_Table[[#This Row],[Stock_Quantity]]&lt;=Inventory_Table[[#This Row],[Reorder_Level]],"REORDER","OK")</f>
        <v>REORDER</v>
      </c>
      <c r="U3" t="s">
        <v>3837</v>
      </c>
      <c r="V3" s="14">
        <f ca="1">TODAY()-Inventory_Table[[#This Row],[Last_Order_Date]]</f>
        <v>745</v>
      </c>
      <c r="X3" s="1"/>
    </row>
    <row r="4" spans="1:24" x14ac:dyDescent="0.35">
      <c r="A4" t="s">
        <v>35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s="1">
        <v>46026</v>
      </c>
      <c r="I4" s="6">
        <v>45647</v>
      </c>
      <c r="J4" s="6">
        <v>46120</v>
      </c>
      <c r="K4">
        <v>38</v>
      </c>
      <c r="L4">
        <v>67</v>
      </c>
      <c r="M4">
        <v>66</v>
      </c>
      <c r="N4" s="8">
        <v>12</v>
      </c>
      <c r="O4">
        <v>35</v>
      </c>
      <c r="P4">
        <v>24</v>
      </c>
      <c r="Q4" s="2">
        <v>1.3599999999999999E-2</v>
      </c>
      <c r="R4">
        <f>Inventory_Table[[#This Row],[Stock_Quantity]]*Inventory_Table[[#This Row],[Unit_Price]]</f>
        <v>456</v>
      </c>
      <c r="S4">
        <f>Inventory_Table[[#This Row],[Sales_Volume]]*Inventory_Table[[#This Row],[Unit_Price]]</f>
        <v>420</v>
      </c>
      <c r="T4" t="str">
        <f>IF(Inventory_Table[[#This Row],[Stock_Quantity]]&lt;=Inventory_Table[[#This Row],[Reorder_Level]],"REORDER","OK")</f>
        <v>REORDER</v>
      </c>
      <c r="U4" t="s">
        <v>3838</v>
      </c>
      <c r="V4" s="14">
        <f ca="1">TODAY()-Inventory_Table[[#This Row],[Last_Order_Date]]</f>
        <v>529</v>
      </c>
      <c r="X4" s="1"/>
    </row>
    <row r="5" spans="1:24" x14ac:dyDescent="0.35">
      <c r="A5" t="s">
        <v>43</v>
      </c>
      <c r="B5" t="s">
        <v>18</v>
      </c>
      <c r="C5" t="s">
        <v>44</v>
      </c>
      <c r="D5" t="s">
        <v>45</v>
      </c>
      <c r="E5" t="s">
        <v>21</v>
      </c>
      <c r="F5" t="s">
        <v>46</v>
      </c>
      <c r="G5" t="s">
        <v>47</v>
      </c>
      <c r="H5" s="1">
        <v>46027</v>
      </c>
      <c r="I5" s="6">
        <v>45638</v>
      </c>
      <c r="J5" s="6">
        <v>46291</v>
      </c>
      <c r="K5">
        <v>51</v>
      </c>
      <c r="L5">
        <v>60</v>
      </c>
      <c r="M5">
        <v>98</v>
      </c>
      <c r="N5" s="8">
        <v>1.5</v>
      </c>
      <c r="O5">
        <v>44</v>
      </c>
      <c r="P5">
        <v>95</v>
      </c>
      <c r="Q5" s="2">
        <v>1.3599999999999999E-2</v>
      </c>
      <c r="R5">
        <f>Inventory_Table[[#This Row],[Stock_Quantity]]*Inventory_Table[[#This Row],[Unit_Price]]</f>
        <v>76.5</v>
      </c>
      <c r="S5">
        <f>Inventory_Table[[#This Row],[Sales_Volume]]*Inventory_Table[[#This Row],[Unit_Price]]</f>
        <v>66</v>
      </c>
      <c r="T5" t="str">
        <f>IF(Inventory_Table[[#This Row],[Stock_Quantity]]&lt;=Inventory_Table[[#This Row],[Reorder_Level]],"REORDER","OK")</f>
        <v>REORDER</v>
      </c>
      <c r="U5" t="s">
        <v>3836</v>
      </c>
      <c r="V5" s="14">
        <f ca="1">TODAY()-Inventory_Table[[#This Row],[Last_Order_Date]]</f>
        <v>538</v>
      </c>
    </row>
    <row r="6" spans="1:24" x14ac:dyDescent="0.35">
      <c r="A6" t="s">
        <v>50</v>
      </c>
      <c r="B6" t="s">
        <v>18</v>
      </c>
      <c r="C6" t="s">
        <v>51</v>
      </c>
      <c r="D6" t="s">
        <v>52</v>
      </c>
      <c r="E6" t="s">
        <v>21</v>
      </c>
      <c r="F6" t="s">
        <v>53</v>
      </c>
      <c r="G6" t="s">
        <v>54</v>
      </c>
      <c r="H6" s="1">
        <v>46027</v>
      </c>
      <c r="I6" s="6">
        <v>45501</v>
      </c>
      <c r="J6" s="6">
        <v>46162</v>
      </c>
      <c r="K6">
        <v>27</v>
      </c>
      <c r="L6">
        <v>22</v>
      </c>
      <c r="M6">
        <v>89</v>
      </c>
      <c r="N6" s="8">
        <v>7</v>
      </c>
      <c r="O6">
        <v>91</v>
      </c>
      <c r="P6">
        <v>77</v>
      </c>
      <c r="Q6" s="2">
        <v>2.1700000000000001E-2</v>
      </c>
      <c r="R6">
        <f>Inventory_Table[[#This Row],[Stock_Quantity]]*Inventory_Table[[#This Row],[Unit_Price]]</f>
        <v>189</v>
      </c>
      <c r="S6">
        <f>Inventory_Table[[#This Row],[Sales_Volume]]*Inventory_Table[[#This Row],[Unit_Price]]</f>
        <v>637</v>
      </c>
      <c r="T6" t="str">
        <f>IF(Inventory_Table[[#This Row],[Stock_Quantity]]&lt;=Inventory_Table[[#This Row],[Reorder_Level]],"REORDER","OK")</f>
        <v>OK</v>
      </c>
      <c r="U6" t="s">
        <v>3838</v>
      </c>
      <c r="V6" s="14">
        <f ca="1">TODAY()-Inventory_Table[[#This Row],[Last_Order_Date]]</f>
        <v>675</v>
      </c>
    </row>
    <row r="7" spans="1:24" x14ac:dyDescent="0.35">
      <c r="A7" t="s">
        <v>58</v>
      </c>
      <c r="B7" t="s">
        <v>18</v>
      </c>
      <c r="C7" t="s">
        <v>59</v>
      </c>
      <c r="D7" t="s">
        <v>60</v>
      </c>
      <c r="E7" t="s">
        <v>30</v>
      </c>
      <c r="F7" t="s">
        <v>61</v>
      </c>
      <c r="G7" t="s">
        <v>62</v>
      </c>
      <c r="H7" s="1">
        <v>46027</v>
      </c>
      <c r="I7" s="6">
        <v>45511</v>
      </c>
      <c r="J7" s="6">
        <v>46240</v>
      </c>
      <c r="K7">
        <v>91</v>
      </c>
      <c r="L7">
        <v>6</v>
      </c>
      <c r="M7">
        <v>37</v>
      </c>
      <c r="N7" s="8">
        <v>2.4</v>
      </c>
      <c r="O7">
        <v>38</v>
      </c>
      <c r="P7">
        <v>70</v>
      </c>
      <c r="Q7" s="2">
        <v>2.5600000000000001E-2</v>
      </c>
      <c r="R7">
        <f>Inventory_Table[[#This Row],[Stock_Quantity]]*Inventory_Table[[#This Row],[Unit_Price]]</f>
        <v>218.4</v>
      </c>
      <c r="S7">
        <f>Inventory_Table[[#This Row],[Sales_Volume]]*Inventory_Table[[#This Row],[Unit_Price]]</f>
        <v>91.2</v>
      </c>
      <c r="T7" t="str">
        <f>IF(Inventory_Table[[#This Row],[Stock_Quantity]]&lt;=Inventory_Table[[#This Row],[Reorder_Level]],"REORDER","OK")</f>
        <v>OK</v>
      </c>
      <c r="U7" t="s">
        <v>3836</v>
      </c>
      <c r="V7" s="14">
        <f ca="1">TODAY()-Inventory_Table[[#This Row],[Last_Order_Date]]</f>
        <v>665</v>
      </c>
    </row>
    <row r="8" spans="1:24" x14ac:dyDescent="0.3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s="1">
        <v>46027</v>
      </c>
      <c r="I8" s="6">
        <v>45686</v>
      </c>
      <c r="J8" s="6">
        <v>46111</v>
      </c>
      <c r="K8">
        <v>17</v>
      </c>
      <c r="L8">
        <v>85</v>
      </c>
      <c r="M8">
        <v>74</v>
      </c>
      <c r="N8" s="8">
        <v>5</v>
      </c>
      <c r="O8">
        <v>76</v>
      </c>
      <c r="P8">
        <v>89</v>
      </c>
      <c r="Q8" s="2">
        <v>2.3400000000000001E-2</v>
      </c>
      <c r="R8">
        <f>Inventory_Table[[#This Row],[Stock_Quantity]]*Inventory_Table[[#This Row],[Unit_Price]]</f>
        <v>85</v>
      </c>
      <c r="S8">
        <f>Inventory_Table[[#This Row],[Sales_Volume]]*Inventory_Table[[#This Row],[Unit_Price]]</f>
        <v>380</v>
      </c>
      <c r="T8" t="str">
        <f>IF(Inventory_Table[[#This Row],[Stock_Quantity]]&lt;=Inventory_Table[[#This Row],[Reorder_Level]],"REORDER","OK")</f>
        <v>REORDER</v>
      </c>
      <c r="U8" t="s">
        <v>3838</v>
      </c>
      <c r="V8" s="14">
        <f ca="1">TODAY()-Inventory_Table[[#This Row],[Last_Order_Date]]</f>
        <v>490</v>
      </c>
      <c r="X8" s="1"/>
    </row>
    <row r="9" spans="1:24" x14ac:dyDescent="0.35">
      <c r="A9" t="s">
        <v>74</v>
      </c>
      <c r="B9" t="s">
        <v>75</v>
      </c>
      <c r="C9" t="s">
        <v>76</v>
      </c>
      <c r="D9" t="s">
        <v>77</v>
      </c>
      <c r="E9" t="s">
        <v>21</v>
      </c>
      <c r="F9" t="s">
        <v>78</v>
      </c>
      <c r="G9" t="s">
        <v>79</v>
      </c>
      <c r="H9" s="1">
        <v>46028</v>
      </c>
      <c r="I9" s="6">
        <v>45711</v>
      </c>
      <c r="J9" s="6">
        <v>46256</v>
      </c>
      <c r="K9">
        <v>81</v>
      </c>
      <c r="L9">
        <v>22</v>
      </c>
      <c r="M9">
        <v>20</v>
      </c>
      <c r="N9" s="8">
        <v>10</v>
      </c>
      <c r="O9">
        <v>95</v>
      </c>
      <c r="P9">
        <v>77</v>
      </c>
      <c r="Q9" s="2">
        <v>2.1299999999999999E-2</v>
      </c>
      <c r="R9">
        <f>Inventory_Table[[#This Row],[Stock_Quantity]]*Inventory_Table[[#This Row],[Unit_Price]]</f>
        <v>810</v>
      </c>
      <c r="S9">
        <f>Inventory_Table[[#This Row],[Sales_Volume]]*Inventory_Table[[#This Row],[Unit_Price]]</f>
        <v>950</v>
      </c>
      <c r="T9" t="str">
        <f>IF(Inventory_Table[[#This Row],[Stock_Quantity]]&lt;=Inventory_Table[[#This Row],[Reorder_Level]],"REORDER","OK")</f>
        <v>OK</v>
      </c>
      <c r="U9" t="s">
        <v>3836</v>
      </c>
      <c r="V9" s="14">
        <f ca="1">TODAY()-Inventory_Table[[#This Row],[Last_Order_Date]]</f>
        <v>465</v>
      </c>
      <c r="X9" s="1"/>
    </row>
    <row r="10" spans="1:24" x14ac:dyDescent="0.35">
      <c r="A10" t="s">
        <v>83</v>
      </c>
      <c r="B10" t="s">
        <v>36</v>
      </c>
      <c r="C10" t="s">
        <v>84</v>
      </c>
      <c r="D10" t="s">
        <v>85</v>
      </c>
      <c r="E10" t="s">
        <v>68</v>
      </c>
      <c r="F10" t="s">
        <v>86</v>
      </c>
      <c r="G10" t="s">
        <v>87</v>
      </c>
      <c r="H10" s="1">
        <v>46028</v>
      </c>
      <c r="I10" s="6">
        <v>45446</v>
      </c>
      <c r="J10" s="6">
        <v>46088</v>
      </c>
      <c r="K10">
        <v>78</v>
      </c>
      <c r="L10">
        <v>24</v>
      </c>
      <c r="M10">
        <v>31</v>
      </c>
      <c r="N10" s="8">
        <v>9</v>
      </c>
      <c r="O10">
        <v>60</v>
      </c>
      <c r="P10">
        <v>41</v>
      </c>
      <c r="Q10" s="2">
        <v>2.7400000000000001E-2</v>
      </c>
      <c r="R10">
        <f>Inventory_Table[[#This Row],[Stock_Quantity]]*Inventory_Table[[#This Row],[Unit_Price]]</f>
        <v>702</v>
      </c>
      <c r="S10">
        <f>Inventory_Table[[#This Row],[Sales_Volume]]*Inventory_Table[[#This Row],[Unit_Price]]</f>
        <v>540</v>
      </c>
      <c r="T10" t="str">
        <f>IF(Inventory_Table[[#This Row],[Stock_Quantity]]&lt;=Inventory_Table[[#This Row],[Reorder_Level]],"REORDER","OK")</f>
        <v>OK</v>
      </c>
      <c r="U10" t="s">
        <v>3838</v>
      </c>
      <c r="V10" s="14">
        <f ca="1">TODAY()-Inventory_Table[[#This Row],[Last_Order_Date]]</f>
        <v>730</v>
      </c>
    </row>
    <row r="11" spans="1:24" x14ac:dyDescent="0.35">
      <c r="A11" t="s">
        <v>89</v>
      </c>
      <c r="B11" t="s">
        <v>36</v>
      </c>
      <c r="C11" t="s">
        <v>90</v>
      </c>
      <c r="D11" t="s">
        <v>91</v>
      </c>
      <c r="E11" t="s">
        <v>30</v>
      </c>
      <c r="F11" t="s">
        <v>92</v>
      </c>
      <c r="G11" t="s">
        <v>93</v>
      </c>
      <c r="H11" s="1">
        <v>46028</v>
      </c>
      <c r="I11" s="6">
        <v>45605</v>
      </c>
      <c r="J11" s="6">
        <v>46320</v>
      </c>
      <c r="K11">
        <v>55</v>
      </c>
      <c r="L11">
        <v>50</v>
      </c>
      <c r="M11">
        <v>56</v>
      </c>
      <c r="N11" s="8">
        <v>1.7</v>
      </c>
      <c r="O11">
        <v>62</v>
      </c>
      <c r="P11">
        <v>26</v>
      </c>
      <c r="Q11" s="2">
        <v>2.5600000000000001E-2</v>
      </c>
      <c r="R11">
        <f>Inventory_Table[[#This Row],[Stock_Quantity]]*Inventory_Table[[#This Row],[Unit_Price]]</f>
        <v>93.5</v>
      </c>
      <c r="S11">
        <f>Inventory_Table[[#This Row],[Sales_Volume]]*Inventory_Table[[#This Row],[Unit_Price]]</f>
        <v>105.39999999999999</v>
      </c>
      <c r="T11" t="str">
        <f>IF(Inventory_Table[[#This Row],[Stock_Quantity]]&lt;=Inventory_Table[[#This Row],[Reorder_Level]],"REORDER","OK")</f>
        <v>OK</v>
      </c>
      <c r="U11" t="s">
        <v>3836</v>
      </c>
      <c r="V11" s="14">
        <f ca="1">TODAY()-Inventory_Table[[#This Row],[Last_Order_Date]]</f>
        <v>571</v>
      </c>
    </row>
    <row r="12" spans="1:24" x14ac:dyDescent="0.35">
      <c r="A12" t="s">
        <v>96</v>
      </c>
      <c r="B12" t="s">
        <v>36</v>
      </c>
      <c r="C12" t="s">
        <v>97</v>
      </c>
      <c r="D12" t="s">
        <v>98</v>
      </c>
      <c r="E12" t="s">
        <v>68</v>
      </c>
      <c r="F12" t="s">
        <v>99</v>
      </c>
      <c r="G12" t="s">
        <v>100</v>
      </c>
      <c r="H12" s="1">
        <v>46028</v>
      </c>
      <c r="I12" s="6">
        <v>45445</v>
      </c>
      <c r="J12" s="6">
        <v>46300</v>
      </c>
      <c r="K12">
        <v>60</v>
      </c>
      <c r="L12">
        <v>9</v>
      </c>
      <c r="M12">
        <v>89</v>
      </c>
      <c r="N12" s="8">
        <v>9</v>
      </c>
      <c r="O12">
        <v>95</v>
      </c>
      <c r="P12">
        <v>63</v>
      </c>
      <c r="Q12" s="2">
        <v>2.8299999999999999E-2</v>
      </c>
      <c r="R12">
        <f>Inventory_Table[[#This Row],[Stock_Quantity]]*Inventory_Table[[#This Row],[Unit_Price]]</f>
        <v>540</v>
      </c>
      <c r="S12">
        <f>Inventory_Table[[#This Row],[Sales_Volume]]*Inventory_Table[[#This Row],[Unit_Price]]</f>
        <v>855</v>
      </c>
      <c r="T12" t="str">
        <f>IF(Inventory_Table[[#This Row],[Stock_Quantity]]&lt;=Inventory_Table[[#This Row],[Reorder_Level]],"REORDER","OK")</f>
        <v>OK</v>
      </c>
      <c r="U12" t="s">
        <v>3836</v>
      </c>
      <c r="V12" s="14">
        <f ca="1">TODAY()-Inventory_Table[[#This Row],[Last_Order_Date]]</f>
        <v>731</v>
      </c>
    </row>
    <row r="13" spans="1:24" x14ac:dyDescent="0.35">
      <c r="A13" t="s">
        <v>101</v>
      </c>
      <c r="B13" t="s">
        <v>27</v>
      </c>
      <c r="C13" t="s">
        <v>102</v>
      </c>
      <c r="D13" t="s">
        <v>103</v>
      </c>
      <c r="E13" t="s">
        <v>30</v>
      </c>
      <c r="F13" t="s">
        <v>104</v>
      </c>
      <c r="G13" t="s">
        <v>105</v>
      </c>
      <c r="H13" s="1">
        <v>46029</v>
      </c>
      <c r="I13" s="6">
        <v>45388</v>
      </c>
      <c r="J13" s="6">
        <v>46301</v>
      </c>
      <c r="K13">
        <v>53</v>
      </c>
      <c r="L13">
        <v>89</v>
      </c>
      <c r="M13">
        <v>100</v>
      </c>
      <c r="N13" s="8">
        <v>10</v>
      </c>
      <c r="O13">
        <v>22</v>
      </c>
      <c r="P13">
        <v>83</v>
      </c>
      <c r="Q13" s="2">
        <v>2.7900000000000001E-2</v>
      </c>
      <c r="R13">
        <f>Inventory_Table[[#This Row],[Stock_Quantity]]*Inventory_Table[[#This Row],[Unit_Price]]</f>
        <v>530</v>
      </c>
      <c r="S13">
        <f>Inventory_Table[[#This Row],[Sales_Volume]]*Inventory_Table[[#This Row],[Unit_Price]]</f>
        <v>220</v>
      </c>
      <c r="T13" t="str">
        <f>IF(Inventory_Table[[#This Row],[Stock_Quantity]]&lt;=Inventory_Table[[#This Row],[Reorder_Level]],"REORDER","OK")</f>
        <v>REORDER</v>
      </c>
      <c r="U13" t="s">
        <v>3836</v>
      </c>
      <c r="V13" s="14">
        <f ca="1">TODAY()-Inventory_Table[[#This Row],[Last_Order_Date]]</f>
        <v>788</v>
      </c>
    </row>
    <row r="14" spans="1:24" x14ac:dyDescent="0.35">
      <c r="A14" t="s">
        <v>106</v>
      </c>
      <c r="B14" t="s">
        <v>18</v>
      </c>
      <c r="C14" t="s">
        <v>107</v>
      </c>
      <c r="D14" t="s">
        <v>108</v>
      </c>
      <c r="E14" t="s">
        <v>30</v>
      </c>
      <c r="F14" t="s">
        <v>109</v>
      </c>
      <c r="G14" t="s">
        <v>110</v>
      </c>
      <c r="H14" s="1">
        <v>46030</v>
      </c>
      <c r="I14" s="6">
        <v>45478</v>
      </c>
      <c r="J14" s="6">
        <v>46375</v>
      </c>
      <c r="K14">
        <v>94</v>
      </c>
      <c r="L14">
        <v>58</v>
      </c>
      <c r="M14">
        <v>17</v>
      </c>
      <c r="N14" s="8">
        <v>2.9</v>
      </c>
      <c r="O14">
        <v>57</v>
      </c>
      <c r="P14">
        <v>74</v>
      </c>
      <c r="Q14" s="2">
        <v>2.3599999999999999E-2</v>
      </c>
      <c r="R14">
        <f>Inventory_Table[[#This Row],[Stock_Quantity]]*Inventory_Table[[#This Row],[Unit_Price]]</f>
        <v>272.59999999999997</v>
      </c>
      <c r="S14">
        <f>Inventory_Table[[#This Row],[Sales_Volume]]*Inventory_Table[[#This Row],[Unit_Price]]</f>
        <v>165.29999999999998</v>
      </c>
      <c r="T14" t="str">
        <f>IF(Inventory_Table[[#This Row],[Stock_Quantity]]&lt;=Inventory_Table[[#This Row],[Reorder_Level]],"REORDER","OK")</f>
        <v>OK</v>
      </c>
      <c r="U14" t="s">
        <v>3836</v>
      </c>
      <c r="V14" s="14">
        <f ca="1">TODAY()-Inventory_Table[[#This Row],[Last_Order_Date]]</f>
        <v>698</v>
      </c>
    </row>
    <row r="15" spans="1:24" x14ac:dyDescent="0.35">
      <c r="A15" t="s">
        <v>113</v>
      </c>
      <c r="B15" t="s">
        <v>114</v>
      </c>
      <c r="C15" t="s">
        <v>115</v>
      </c>
      <c r="D15" t="s">
        <v>116</v>
      </c>
      <c r="E15" t="s">
        <v>30</v>
      </c>
      <c r="F15" t="s">
        <v>117</v>
      </c>
      <c r="G15" t="s">
        <v>118</v>
      </c>
      <c r="H15" s="1">
        <v>46031</v>
      </c>
      <c r="I15" s="6">
        <v>45368</v>
      </c>
      <c r="J15" s="6">
        <v>46234</v>
      </c>
      <c r="K15">
        <v>77</v>
      </c>
      <c r="L15">
        <v>79</v>
      </c>
      <c r="M15">
        <v>65</v>
      </c>
      <c r="N15" s="8">
        <v>4</v>
      </c>
      <c r="O15">
        <v>62</v>
      </c>
      <c r="P15">
        <v>75</v>
      </c>
      <c r="Q15" s="2">
        <v>2.69E-2</v>
      </c>
      <c r="R15">
        <f>Inventory_Table[[#This Row],[Stock_Quantity]]*Inventory_Table[[#This Row],[Unit_Price]]</f>
        <v>308</v>
      </c>
      <c r="S15">
        <f>Inventory_Table[[#This Row],[Sales_Volume]]*Inventory_Table[[#This Row],[Unit_Price]]</f>
        <v>248</v>
      </c>
      <c r="T15" t="str">
        <f>IF(Inventory_Table[[#This Row],[Stock_Quantity]]&lt;=Inventory_Table[[#This Row],[Reorder_Level]],"REORDER","OK")</f>
        <v>REORDER</v>
      </c>
      <c r="U15" t="s">
        <v>3836</v>
      </c>
      <c r="V15" s="14">
        <f ca="1">TODAY()-Inventory_Table[[#This Row],[Last_Order_Date]]</f>
        <v>808</v>
      </c>
    </row>
    <row r="16" spans="1:24" x14ac:dyDescent="0.35">
      <c r="A16" t="s">
        <v>122</v>
      </c>
      <c r="B16" t="s">
        <v>18</v>
      </c>
      <c r="C16" t="s">
        <v>123</v>
      </c>
      <c r="D16" t="s">
        <v>124</v>
      </c>
      <c r="E16" t="s">
        <v>68</v>
      </c>
      <c r="F16" t="s">
        <v>125</v>
      </c>
      <c r="G16" t="s">
        <v>126</v>
      </c>
      <c r="H16" s="1">
        <v>46031</v>
      </c>
      <c r="I16" s="6">
        <v>45392</v>
      </c>
      <c r="J16" s="6">
        <v>46383</v>
      </c>
      <c r="K16">
        <v>34</v>
      </c>
      <c r="L16">
        <v>92</v>
      </c>
      <c r="M16">
        <v>26</v>
      </c>
      <c r="N16" s="8">
        <v>2.5</v>
      </c>
      <c r="O16">
        <v>28</v>
      </c>
      <c r="P16">
        <v>71</v>
      </c>
      <c r="Q16" s="2">
        <v>2.6100000000000002E-2</v>
      </c>
      <c r="R16">
        <f>Inventory_Table[[#This Row],[Stock_Quantity]]*Inventory_Table[[#This Row],[Unit_Price]]</f>
        <v>85</v>
      </c>
      <c r="S16">
        <f>Inventory_Table[[#This Row],[Sales_Volume]]*Inventory_Table[[#This Row],[Unit_Price]]</f>
        <v>70</v>
      </c>
      <c r="T16" t="str">
        <f>IF(Inventory_Table[[#This Row],[Stock_Quantity]]&lt;=Inventory_Table[[#This Row],[Reorder_Level]],"REORDER","OK")</f>
        <v>REORDER</v>
      </c>
      <c r="U16" t="s">
        <v>3836</v>
      </c>
      <c r="V16" s="14">
        <f ca="1">TODAY()-Inventory_Table[[#This Row],[Last_Order_Date]]</f>
        <v>784</v>
      </c>
    </row>
    <row r="17" spans="1:22" x14ac:dyDescent="0.35">
      <c r="A17" t="s">
        <v>129</v>
      </c>
      <c r="B17" t="s">
        <v>18</v>
      </c>
      <c r="C17" t="s">
        <v>130</v>
      </c>
      <c r="D17" t="s">
        <v>131</v>
      </c>
      <c r="E17" t="s">
        <v>21</v>
      </c>
      <c r="F17" t="s">
        <v>132</v>
      </c>
      <c r="G17" t="s">
        <v>133</v>
      </c>
      <c r="H17" s="1">
        <v>46031</v>
      </c>
      <c r="I17" s="6">
        <v>45353</v>
      </c>
      <c r="J17" s="6">
        <v>46111</v>
      </c>
      <c r="K17">
        <v>79</v>
      </c>
      <c r="L17">
        <v>37</v>
      </c>
      <c r="M17">
        <v>98</v>
      </c>
      <c r="N17" s="8">
        <v>4.5</v>
      </c>
      <c r="O17">
        <v>33</v>
      </c>
      <c r="P17">
        <v>20</v>
      </c>
      <c r="Q17" s="2">
        <v>2.5399999999999999E-2</v>
      </c>
      <c r="R17">
        <f>Inventory_Table[[#This Row],[Stock_Quantity]]*Inventory_Table[[#This Row],[Unit_Price]]</f>
        <v>355.5</v>
      </c>
      <c r="S17">
        <f>Inventory_Table[[#This Row],[Sales_Volume]]*Inventory_Table[[#This Row],[Unit_Price]]</f>
        <v>148.5</v>
      </c>
      <c r="T17" t="str">
        <f>IF(Inventory_Table[[#This Row],[Stock_Quantity]]&lt;=Inventory_Table[[#This Row],[Reorder_Level]],"REORDER","OK")</f>
        <v>OK</v>
      </c>
      <c r="U17" t="s">
        <v>3838</v>
      </c>
      <c r="V17" s="14">
        <f ca="1">TODAY()-Inventory_Table[[#This Row],[Last_Order_Date]]</f>
        <v>823</v>
      </c>
    </row>
    <row r="18" spans="1:22" x14ac:dyDescent="0.35">
      <c r="A18" t="s">
        <v>135</v>
      </c>
      <c r="B18" t="s">
        <v>36</v>
      </c>
      <c r="C18" t="s">
        <v>136</v>
      </c>
      <c r="D18" t="s">
        <v>137</v>
      </c>
      <c r="E18" t="s">
        <v>30</v>
      </c>
      <c r="F18" t="s">
        <v>138</v>
      </c>
      <c r="G18" t="s">
        <v>139</v>
      </c>
      <c r="H18" s="1">
        <v>46032</v>
      </c>
      <c r="I18" s="6">
        <v>45521</v>
      </c>
      <c r="J18" s="6">
        <v>46168</v>
      </c>
      <c r="K18">
        <v>76</v>
      </c>
      <c r="L18">
        <v>54</v>
      </c>
      <c r="M18">
        <v>76</v>
      </c>
      <c r="N18" s="8">
        <v>2.5</v>
      </c>
      <c r="O18">
        <v>69</v>
      </c>
      <c r="P18">
        <v>27</v>
      </c>
      <c r="Q18" s="2">
        <v>2.58E-2</v>
      </c>
      <c r="R18">
        <f>Inventory_Table[[#This Row],[Stock_Quantity]]*Inventory_Table[[#This Row],[Unit_Price]]</f>
        <v>190</v>
      </c>
      <c r="S18">
        <f>Inventory_Table[[#This Row],[Sales_Volume]]*Inventory_Table[[#This Row],[Unit_Price]]</f>
        <v>172.5</v>
      </c>
      <c r="T18" t="str">
        <f>IF(Inventory_Table[[#This Row],[Stock_Quantity]]&lt;=Inventory_Table[[#This Row],[Reorder_Level]],"REORDER","OK")</f>
        <v>OK</v>
      </c>
      <c r="U18" t="s">
        <v>3838</v>
      </c>
      <c r="V18" s="14">
        <f ca="1">TODAY()-Inventory_Table[[#This Row],[Last_Order_Date]]</f>
        <v>655</v>
      </c>
    </row>
    <row r="19" spans="1:22" x14ac:dyDescent="0.35">
      <c r="A19" t="s">
        <v>142</v>
      </c>
      <c r="B19" t="s">
        <v>36</v>
      </c>
      <c r="C19" t="s">
        <v>143</v>
      </c>
      <c r="D19" t="s">
        <v>144</v>
      </c>
      <c r="E19" t="s">
        <v>68</v>
      </c>
      <c r="F19" t="s">
        <v>145</v>
      </c>
      <c r="G19" t="s">
        <v>146</v>
      </c>
      <c r="H19" s="1">
        <v>46032</v>
      </c>
      <c r="I19" s="6">
        <v>45476</v>
      </c>
      <c r="J19" s="6">
        <v>46234</v>
      </c>
      <c r="K19">
        <v>50</v>
      </c>
      <c r="L19">
        <v>46</v>
      </c>
      <c r="M19">
        <v>38</v>
      </c>
      <c r="N19" s="8">
        <v>6.2</v>
      </c>
      <c r="O19">
        <v>88</v>
      </c>
      <c r="P19">
        <v>70</v>
      </c>
      <c r="Q19" s="2">
        <v>2.3199999999999998E-2</v>
      </c>
      <c r="R19">
        <f>Inventory_Table[[#This Row],[Stock_Quantity]]*Inventory_Table[[#This Row],[Unit_Price]]</f>
        <v>310</v>
      </c>
      <c r="S19">
        <f>Inventory_Table[[#This Row],[Sales_Volume]]*Inventory_Table[[#This Row],[Unit_Price]]</f>
        <v>545.6</v>
      </c>
      <c r="T19" t="str">
        <f>IF(Inventory_Table[[#This Row],[Stock_Quantity]]&lt;=Inventory_Table[[#This Row],[Reorder_Level]],"REORDER","OK")</f>
        <v>OK</v>
      </c>
      <c r="U19" t="s">
        <v>3836</v>
      </c>
      <c r="V19" s="14">
        <f ca="1">TODAY()-Inventory_Table[[#This Row],[Last_Order_Date]]</f>
        <v>700</v>
      </c>
    </row>
    <row r="20" spans="1:22" x14ac:dyDescent="0.35">
      <c r="A20" t="s">
        <v>148</v>
      </c>
      <c r="B20" t="s">
        <v>18</v>
      </c>
      <c r="C20" t="s">
        <v>149</v>
      </c>
      <c r="D20" t="s">
        <v>150</v>
      </c>
      <c r="E20" t="s">
        <v>30</v>
      </c>
      <c r="F20" t="s">
        <v>151</v>
      </c>
      <c r="G20" t="s">
        <v>152</v>
      </c>
      <c r="H20" s="1">
        <v>46032</v>
      </c>
      <c r="I20" s="6">
        <v>45627</v>
      </c>
      <c r="J20" s="6">
        <v>46272</v>
      </c>
      <c r="K20">
        <v>25</v>
      </c>
      <c r="L20">
        <v>62</v>
      </c>
      <c r="M20">
        <v>11</v>
      </c>
      <c r="N20" s="8">
        <v>3</v>
      </c>
      <c r="O20">
        <v>57</v>
      </c>
      <c r="P20">
        <v>98</v>
      </c>
      <c r="Q20" s="2">
        <v>2.6700000000000002E-2</v>
      </c>
      <c r="R20">
        <f>Inventory_Table[[#This Row],[Stock_Quantity]]*Inventory_Table[[#This Row],[Unit_Price]]</f>
        <v>75</v>
      </c>
      <c r="S20">
        <f>Inventory_Table[[#This Row],[Sales_Volume]]*Inventory_Table[[#This Row],[Unit_Price]]</f>
        <v>171</v>
      </c>
      <c r="T20" t="str">
        <f>IF(Inventory_Table[[#This Row],[Stock_Quantity]]&lt;=Inventory_Table[[#This Row],[Reorder_Level]],"REORDER","OK")</f>
        <v>REORDER</v>
      </c>
      <c r="U20" t="s">
        <v>3836</v>
      </c>
      <c r="V20" s="14">
        <f ca="1">TODAY()-Inventory_Table[[#This Row],[Last_Order_Date]]</f>
        <v>549</v>
      </c>
    </row>
    <row r="21" spans="1:22" x14ac:dyDescent="0.35">
      <c r="A21" t="s">
        <v>154</v>
      </c>
      <c r="B21" t="s">
        <v>65</v>
      </c>
      <c r="C21" t="s">
        <v>155</v>
      </c>
      <c r="D21" t="s">
        <v>156</v>
      </c>
      <c r="E21" t="s">
        <v>30</v>
      </c>
      <c r="F21" t="s">
        <v>157</v>
      </c>
      <c r="G21" t="s">
        <v>158</v>
      </c>
      <c r="H21" s="1">
        <v>46032</v>
      </c>
      <c r="I21" s="6">
        <v>45499</v>
      </c>
      <c r="J21" s="6">
        <v>46280</v>
      </c>
      <c r="K21">
        <v>38</v>
      </c>
      <c r="L21">
        <v>43</v>
      </c>
      <c r="M21">
        <v>28</v>
      </c>
      <c r="N21" s="8">
        <v>2.7</v>
      </c>
      <c r="O21">
        <v>34</v>
      </c>
      <c r="P21">
        <v>54</v>
      </c>
      <c r="Q21" s="2">
        <v>2.6100000000000002E-2</v>
      </c>
      <c r="R21">
        <f>Inventory_Table[[#This Row],[Stock_Quantity]]*Inventory_Table[[#This Row],[Unit_Price]]</f>
        <v>102.60000000000001</v>
      </c>
      <c r="S21">
        <f>Inventory_Table[[#This Row],[Sales_Volume]]*Inventory_Table[[#This Row],[Unit_Price]]</f>
        <v>91.800000000000011</v>
      </c>
      <c r="T21" t="str">
        <f>IF(Inventory_Table[[#This Row],[Stock_Quantity]]&lt;=Inventory_Table[[#This Row],[Reorder_Level]],"REORDER","OK")</f>
        <v>REORDER</v>
      </c>
      <c r="U21" t="s">
        <v>3836</v>
      </c>
      <c r="V21" s="14">
        <f ca="1">TODAY()-Inventory_Table[[#This Row],[Last_Order_Date]]</f>
        <v>677</v>
      </c>
    </row>
    <row r="22" spans="1:22" x14ac:dyDescent="0.35">
      <c r="A22" t="s">
        <v>162</v>
      </c>
      <c r="B22" t="s">
        <v>163</v>
      </c>
      <c r="C22" t="s">
        <v>164</v>
      </c>
      <c r="D22" t="s">
        <v>165</v>
      </c>
      <c r="E22" t="s">
        <v>21</v>
      </c>
      <c r="F22" t="s">
        <v>166</v>
      </c>
      <c r="G22" t="s">
        <v>167</v>
      </c>
      <c r="H22" s="1">
        <v>46033</v>
      </c>
      <c r="I22" s="6">
        <v>45441</v>
      </c>
      <c r="J22" s="6">
        <v>46150</v>
      </c>
      <c r="K22">
        <v>45</v>
      </c>
      <c r="L22">
        <v>77</v>
      </c>
      <c r="M22">
        <v>2</v>
      </c>
      <c r="N22" s="8">
        <v>20</v>
      </c>
      <c r="O22">
        <v>85</v>
      </c>
      <c r="P22">
        <v>1</v>
      </c>
      <c r="Q22" s="2">
        <v>2.5499999999999998E-2</v>
      </c>
      <c r="R22">
        <f>Inventory_Table[[#This Row],[Stock_Quantity]]*Inventory_Table[[#This Row],[Unit_Price]]</f>
        <v>900</v>
      </c>
      <c r="S22">
        <f>Inventory_Table[[#This Row],[Sales_Volume]]*Inventory_Table[[#This Row],[Unit_Price]]</f>
        <v>1700</v>
      </c>
      <c r="T22" t="str">
        <f>IF(Inventory_Table[[#This Row],[Stock_Quantity]]&lt;=Inventory_Table[[#This Row],[Reorder_Level]],"REORDER","OK")</f>
        <v>REORDER</v>
      </c>
      <c r="U22" t="s">
        <v>3838</v>
      </c>
      <c r="V22" s="14">
        <f ca="1">TODAY()-Inventory_Table[[#This Row],[Last_Order_Date]]</f>
        <v>735</v>
      </c>
    </row>
    <row r="23" spans="1:22" x14ac:dyDescent="0.35">
      <c r="A23" t="s">
        <v>170</v>
      </c>
      <c r="B23" t="s">
        <v>18</v>
      </c>
      <c r="C23" t="s">
        <v>171</v>
      </c>
      <c r="D23" t="s">
        <v>172</v>
      </c>
      <c r="E23" t="s">
        <v>68</v>
      </c>
      <c r="F23" t="s">
        <v>173</v>
      </c>
      <c r="G23" t="s">
        <v>174</v>
      </c>
      <c r="H23" s="1">
        <v>46034</v>
      </c>
      <c r="I23" s="6">
        <v>45649</v>
      </c>
      <c r="J23" s="6">
        <v>46344</v>
      </c>
      <c r="K23">
        <v>49</v>
      </c>
      <c r="L23">
        <v>1</v>
      </c>
      <c r="M23">
        <v>28</v>
      </c>
      <c r="N23" s="8">
        <v>2</v>
      </c>
      <c r="O23">
        <v>97</v>
      </c>
      <c r="P23">
        <v>95</v>
      </c>
      <c r="Q23" s="2">
        <v>2.5600000000000001E-2</v>
      </c>
      <c r="R23">
        <f>Inventory_Table[[#This Row],[Stock_Quantity]]*Inventory_Table[[#This Row],[Unit_Price]]</f>
        <v>98</v>
      </c>
      <c r="S23">
        <f>Inventory_Table[[#This Row],[Sales_Volume]]*Inventory_Table[[#This Row],[Unit_Price]]</f>
        <v>194</v>
      </c>
      <c r="T23" t="str">
        <f>IF(Inventory_Table[[#This Row],[Stock_Quantity]]&lt;=Inventory_Table[[#This Row],[Reorder_Level]],"REORDER","OK")</f>
        <v>OK</v>
      </c>
      <c r="U23" t="s">
        <v>3836</v>
      </c>
      <c r="V23" s="14">
        <f ca="1">TODAY()-Inventory_Table[[#This Row],[Last_Order_Date]]</f>
        <v>527</v>
      </c>
    </row>
    <row r="24" spans="1:22" x14ac:dyDescent="0.35">
      <c r="A24" t="s">
        <v>177</v>
      </c>
      <c r="B24" t="s">
        <v>18</v>
      </c>
      <c r="C24" t="s">
        <v>178</v>
      </c>
      <c r="D24" t="s">
        <v>179</v>
      </c>
      <c r="E24" t="s">
        <v>30</v>
      </c>
      <c r="F24" t="s">
        <v>180</v>
      </c>
      <c r="G24" t="s">
        <v>181</v>
      </c>
      <c r="H24" s="1">
        <v>46056</v>
      </c>
      <c r="I24" s="6">
        <v>45481</v>
      </c>
      <c r="J24" s="6">
        <v>46337</v>
      </c>
      <c r="K24">
        <v>89</v>
      </c>
      <c r="L24">
        <v>92</v>
      </c>
      <c r="M24">
        <v>62</v>
      </c>
      <c r="N24" s="8">
        <v>4.8</v>
      </c>
      <c r="O24">
        <v>46</v>
      </c>
      <c r="P24">
        <v>11</v>
      </c>
      <c r="Q24" s="2">
        <v>2.5700000000000001E-2</v>
      </c>
      <c r="R24">
        <f>Inventory_Table[[#This Row],[Stock_Quantity]]*Inventory_Table[[#This Row],[Unit_Price]]</f>
        <v>427.2</v>
      </c>
      <c r="S24">
        <f>Inventory_Table[[#This Row],[Sales_Volume]]*Inventory_Table[[#This Row],[Unit_Price]]</f>
        <v>220.79999999999998</v>
      </c>
      <c r="T24" t="str">
        <f>IF(Inventory_Table[[#This Row],[Stock_Quantity]]&lt;=Inventory_Table[[#This Row],[Reorder_Level]],"REORDER","OK")</f>
        <v>REORDER</v>
      </c>
      <c r="U24" t="s">
        <v>3836</v>
      </c>
      <c r="V24" s="14">
        <f ca="1">TODAY()-Inventory_Table[[#This Row],[Last_Order_Date]]</f>
        <v>695</v>
      </c>
    </row>
    <row r="25" spans="1:22" x14ac:dyDescent="0.35">
      <c r="A25" t="s">
        <v>183</v>
      </c>
      <c r="B25" t="s">
        <v>18</v>
      </c>
      <c r="C25" t="s">
        <v>149</v>
      </c>
      <c r="D25" t="s">
        <v>184</v>
      </c>
      <c r="E25" t="s">
        <v>30</v>
      </c>
      <c r="F25" t="s">
        <v>185</v>
      </c>
      <c r="G25" t="s">
        <v>186</v>
      </c>
      <c r="H25" s="1">
        <v>46056</v>
      </c>
      <c r="I25" s="6">
        <v>45487</v>
      </c>
      <c r="J25" s="6">
        <v>46176</v>
      </c>
      <c r="K25">
        <v>47</v>
      </c>
      <c r="L25">
        <v>22</v>
      </c>
      <c r="M25">
        <v>69</v>
      </c>
      <c r="N25" s="8">
        <v>4</v>
      </c>
      <c r="O25">
        <v>26</v>
      </c>
      <c r="P25">
        <v>59</v>
      </c>
      <c r="Q25" s="2">
        <v>2.6200000000000001E-2</v>
      </c>
      <c r="R25">
        <f>Inventory_Table[[#This Row],[Stock_Quantity]]*Inventory_Table[[#This Row],[Unit_Price]]</f>
        <v>188</v>
      </c>
      <c r="S25">
        <f>Inventory_Table[[#This Row],[Sales_Volume]]*Inventory_Table[[#This Row],[Unit_Price]]</f>
        <v>104</v>
      </c>
      <c r="T25" t="str">
        <f>IF(Inventory_Table[[#This Row],[Stock_Quantity]]&lt;=Inventory_Table[[#This Row],[Reorder_Level]],"REORDER","OK")</f>
        <v>OK</v>
      </c>
      <c r="U25" t="s">
        <v>3837</v>
      </c>
      <c r="V25" s="14">
        <f ca="1">TODAY()-Inventory_Table[[#This Row],[Last_Order_Date]]</f>
        <v>689</v>
      </c>
    </row>
    <row r="26" spans="1:22" x14ac:dyDescent="0.35">
      <c r="A26" t="s">
        <v>188</v>
      </c>
      <c r="B26" t="s">
        <v>65</v>
      </c>
      <c r="C26" t="s">
        <v>189</v>
      </c>
      <c r="D26" t="s">
        <v>190</v>
      </c>
      <c r="E26" t="s">
        <v>68</v>
      </c>
      <c r="F26" t="s">
        <v>191</v>
      </c>
      <c r="G26" t="s">
        <v>192</v>
      </c>
      <c r="H26" s="1">
        <v>46056</v>
      </c>
      <c r="I26" s="6">
        <v>45477</v>
      </c>
      <c r="J26" s="6">
        <v>46087</v>
      </c>
      <c r="K26">
        <v>53</v>
      </c>
      <c r="L26">
        <v>26</v>
      </c>
      <c r="M26">
        <v>3</v>
      </c>
      <c r="N26" s="8">
        <v>4.75</v>
      </c>
      <c r="O26">
        <v>100</v>
      </c>
      <c r="P26">
        <v>94</v>
      </c>
      <c r="Q26" s="2">
        <v>2.53E-2</v>
      </c>
      <c r="R26">
        <f>Inventory_Table[[#This Row],[Stock_Quantity]]*Inventory_Table[[#This Row],[Unit_Price]]</f>
        <v>251.75</v>
      </c>
      <c r="S26">
        <f>Inventory_Table[[#This Row],[Sales_Volume]]*Inventory_Table[[#This Row],[Unit_Price]]</f>
        <v>475</v>
      </c>
      <c r="T26" t="str">
        <f>IF(Inventory_Table[[#This Row],[Stock_Quantity]]&lt;=Inventory_Table[[#This Row],[Reorder_Level]],"REORDER","OK")</f>
        <v>OK</v>
      </c>
      <c r="U26" t="s">
        <v>3838</v>
      </c>
      <c r="V26" s="14">
        <f ca="1">TODAY()-Inventory_Table[[#This Row],[Last_Order_Date]]</f>
        <v>699</v>
      </c>
    </row>
    <row r="27" spans="1:22" x14ac:dyDescent="0.35">
      <c r="A27" t="s">
        <v>194</v>
      </c>
      <c r="B27" t="s">
        <v>114</v>
      </c>
      <c r="C27" t="s">
        <v>195</v>
      </c>
      <c r="D27" t="s">
        <v>196</v>
      </c>
      <c r="E27" t="s">
        <v>21</v>
      </c>
      <c r="F27" t="s">
        <v>197</v>
      </c>
      <c r="G27" t="s">
        <v>198</v>
      </c>
      <c r="H27" s="1">
        <v>46057</v>
      </c>
      <c r="I27" s="6">
        <v>45453</v>
      </c>
      <c r="J27" s="6">
        <v>46312</v>
      </c>
      <c r="K27">
        <v>65</v>
      </c>
      <c r="L27">
        <v>79</v>
      </c>
      <c r="M27">
        <v>49</v>
      </c>
      <c r="N27" s="8">
        <v>4</v>
      </c>
      <c r="O27">
        <v>100</v>
      </c>
      <c r="P27">
        <v>9</v>
      </c>
      <c r="Q27" s="2">
        <v>2.5000000000000001E-2</v>
      </c>
      <c r="R27">
        <f>Inventory_Table[[#This Row],[Stock_Quantity]]*Inventory_Table[[#This Row],[Unit_Price]]</f>
        <v>260</v>
      </c>
      <c r="S27">
        <f>Inventory_Table[[#This Row],[Sales_Volume]]*Inventory_Table[[#This Row],[Unit_Price]]</f>
        <v>400</v>
      </c>
      <c r="T27" t="str">
        <f>IF(Inventory_Table[[#This Row],[Stock_Quantity]]&lt;=Inventory_Table[[#This Row],[Reorder_Level]],"REORDER","OK")</f>
        <v>REORDER</v>
      </c>
      <c r="U27" t="s">
        <v>3836</v>
      </c>
      <c r="V27" s="14">
        <f ca="1">TODAY()-Inventory_Table[[#This Row],[Last_Order_Date]]</f>
        <v>723</v>
      </c>
    </row>
    <row r="28" spans="1:22" x14ac:dyDescent="0.35">
      <c r="A28" t="s">
        <v>200</v>
      </c>
      <c r="B28" t="s">
        <v>163</v>
      </c>
      <c r="C28" t="s">
        <v>201</v>
      </c>
      <c r="D28" t="s">
        <v>202</v>
      </c>
      <c r="E28" t="s">
        <v>30</v>
      </c>
      <c r="F28" t="s">
        <v>203</v>
      </c>
      <c r="G28" t="s">
        <v>204</v>
      </c>
      <c r="H28" s="1">
        <v>46057</v>
      </c>
      <c r="I28" s="6">
        <v>45622</v>
      </c>
      <c r="J28" s="6">
        <v>46325</v>
      </c>
      <c r="K28">
        <v>90</v>
      </c>
      <c r="L28">
        <v>68</v>
      </c>
      <c r="M28">
        <v>74</v>
      </c>
      <c r="N28" s="8">
        <v>12</v>
      </c>
      <c r="O28">
        <v>81</v>
      </c>
      <c r="P28">
        <v>26</v>
      </c>
      <c r="Q28" s="2">
        <v>2.4299999999999999E-2</v>
      </c>
      <c r="R28">
        <f>Inventory_Table[[#This Row],[Stock_Quantity]]*Inventory_Table[[#This Row],[Unit_Price]]</f>
        <v>1080</v>
      </c>
      <c r="S28">
        <f>Inventory_Table[[#This Row],[Sales_Volume]]*Inventory_Table[[#This Row],[Unit_Price]]</f>
        <v>972</v>
      </c>
      <c r="T28" t="str">
        <f>IF(Inventory_Table[[#This Row],[Stock_Quantity]]&lt;=Inventory_Table[[#This Row],[Reorder_Level]],"REORDER","OK")</f>
        <v>OK</v>
      </c>
      <c r="U28" t="s">
        <v>3836</v>
      </c>
      <c r="V28" s="14">
        <f ca="1">TODAY()-Inventory_Table[[#This Row],[Last_Order_Date]]</f>
        <v>554</v>
      </c>
    </row>
    <row r="29" spans="1:22" x14ac:dyDescent="0.35">
      <c r="A29" t="s">
        <v>162</v>
      </c>
      <c r="B29" t="s">
        <v>163</v>
      </c>
      <c r="C29" t="s">
        <v>207</v>
      </c>
      <c r="D29" t="s">
        <v>208</v>
      </c>
      <c r="E29" t="s">
        <v>30</v>
      </c>
      <c r="F29" t="s">
        <v>209</v>
      </c>
      <c r="G29" t="s">
        <v>210</v>
      </c>
      <c r="H29" s="1">
        <v>46057</v>
      </c>
      <c r="I29" s="6">
        <v>45664</v>
      </c>
      <c r="J29" s="6">
        <v>46110</v>
      </c>
      <c r="K29">
        <v>65</v>
      </c>
      <c r="L29">
        <v>63</v>
      </c>
      <c r="M29">
        <v>41</v>
      </c>
      <c r="N29" s="8">
        <v>20</v>
      </c>
      <c r="O29">
        <v>28</v>
      </c>
      <c r="P29">
        <v>26</v>
      </c>
      <c r="Q29" s="2">
        <v>2.58E-2</v>
      </c>
      <c r="R29">
        <f>Inventory_Table[[#This Row],[Stock_Quantity]]*Inventory_Table[[#This Row],[Unit_Price]]</f>
        <v>1300</v>
      </c>
      <c r="S29">
        <f>Inventory_Table[[#This Row],[Sales_Volume]]*Inventory_Table[[#This Row],[Unit_Price]]</f>
        <v>560</v>
      </c>
      <c r="T29" t="str">
        <f>IF(Inventory_Table[[#This Row],[Stock_Quantity]]&lt;=Inventory_Table[[#This Row],[Reorder_Level]],"REORDER","OK")</f>
        <v>OK</v>
      </c>
      <c r="U29" t="s">
        <v>3838</v>
      </c>
      <c r="V29" s="14">
        <f ca="1">TODAY()-Inventory_Table[[#This Row],[Last_Order_Date]]</f>
        <v>512</v>
      </c>
    </row>
    <row r="30" spans="1:22" x14ac:dyDescent="0.35">
      <c r="A30" t="s">
        <v>212</v>
      </c>
      <c r="B30" t="s">
        <v>75</v>
      </c>
      <c r="C30" t="s">
        <v>213</v>
      </c>
      <c r="D30" t="s">
        <v>214</v>
      </c>
      <c r="E30" t="s">
        <v>68</v>
      </c>
      <c r="F30" t="s">
        <v>215</v>
      </c>
      <c r="G30" t="s">
        <v>216</v>
      </c>
      <c r="H30" s="1">
        <v>46058</v>
      </c>
      <c r="I30" s="6">
        <v>45663</v>
      </c>
      <c r="J30" s="6">
        <v>46214</v>
      </c>
      <c r="K30">
        <v>30</v>
      </c>
      <c r="L30">
        <v>42</v>
      </c>
      <c r="M30">
        <v>8</v>
      </c>
      <c r="N30" s="8">
        <v>7</v>
      </c>
      <c r="O30">
        <v>48</v>
      </c>
      <c r="P30">
        <v>23</v>
      </c>
      <c r="Q30" s="2">
        <v>2.5700000000000001E-2</v>
      </c>
      <c r="R30">
        <f>Inventory_Table[[#This Row],[Stock_Quantity]]*Inventory_Table[[#This Row],[Unit_Price]]</f>
        <v>210</v>
      </c>
      <c r="S30">
        <f>Inventory_Table[[#This Row],[Sales_Volume]]*Inventory_Table[[#This Row],[Unit_Price]]</f>
        <v>336</v>
      </c>
      <c r="T30" t="str">
        <f>IF(Inventory_Table[[#This Row],[Stock_Quantity]]&lt;=Inventory_Table[[#This Row],[Reorder_Level]],"REORDER","OK")</f>
        <v>REORDER</v>
      </c>
      <c r="U30" t="s">
        <v>3836</v>
      </c>
      <c r="V30" s="14">
        <f ca="1">TODAY()-Inventory_Table[[#This Row],[Last_Order_Date]]</f>
        <v>513</v>
      </c>
    </row>
    <row r="31" spans="1:22" x14ac:dyDescent="0.35">
      <c r="A31" t="s">
        <v>217</v>
      </c>
      <c r="B31" t="s">
        <v>65</v>
      </c>
      <c r="C31" t="s">
        <v>218</v>
      </c>
      <c r="D31" t="s">
        <v>219</v>
      </c>
      <c r="E31" t="s">
        <v>68</v>
      </c>
      <c r="F31" t="s">
        <v>220</v>
      </c>
      <c r="G31" t="s">
        <v>221</v>
      </c>
      <c r="H31" s="1">
        <v>46058</v>
      </c>
      <c r="I31" s="6">
        <v>45598</v>
      </c>
      <c r="J31" s="6">
        <v>46425</v>
      </c>
      <c r="K31">
        <v>34</v>
      </c>
      <c r="L31">
        <v>32</v>
      </c>
      <c r="M31">
        <v>22</v>
      </c>
      <c r="N31" s="8">
        <v>4.5</v>
      </c>
      <c r="O31">
        <v>42</v>
      </c>
      <c r="P31">
        <v>27</v>
      </c>
      <c r="Q31" s="2">
        <v>2.4500000000000001E-2</v>
      </c>
      <c r="R31">
        <f>Inventory_Table[[#This Row],[Stock_Quantity]]*Inventory_Table[[#This Row],[Unit_Price]]</f>
        <v>153</v>
      </c>
      <c r="S31">
        <f>Inventory_Table[[#This Row],[Sales_Volume]]*Inventory_Table[[#This Row],[Unit_Price]]</f>
        <v>189</v>
      </c>
      <c r="T31" t="str">
        <f>IF(Inventory_Table[[#This Row],[Stock_Quantity]]&lt;=Inventory_Table[[#This Row],[Reorder_Level]],"REORDER","OK")</f>
        <v>OK</v>
      </c>
      <c r="U31" t="s">
        <v>3836</v>
      </c>
      <c r="V31" s="14">
        <f ca="1">TODAY()-Inventory_Table[[#This Row],[Last_Order_Date]]</f>
        <v>578</v>
      </c>
    </row>
    <row r="32" spans="1:22" x14ac:dyDescent="0.35">
      <c r="A32" t="s">
        <v>222</v>
      </c>
      <c r="B32" t="s">
        <v>65</v>
      </c>
      <c r="C32" t="s">
        <v>223</v>
      </c>
      <c r="D32" t="s">
        <v>224</v>
      </c>
      <c r="E32" t="s">
        <v>30</v>
      </c>
      <c r="F32" t="s">
        <v>225</v>
      </c>
      <c r="G32" t="s">
        <v>226</v>
      </c>
      <c r="H32" s="1">
        <v>46058</v>
      </c>
      <c r="I32" s="6">
        <v>45619</v>
      </c>
      <c r="J32" s="6">
        <v>46208</v>
      </c>
      <c r="K32">
        <v>54</v>
      </c>
      <c r="L32">
        <v>78</v>
      </c>
      <c r="M32">
        <v>81</v>
      </c>
      <c r="N32" s="8">
        <v>1.5</v>
      </c>
      <c r="O32">
        <v>41</v>
      </c>
      <c r="P32">
        <v>63</v>
      </c>
      <c r="Q32" s="2">
        <v>2.3599999999999999E-2</v>
      </c>
      <c r="R32">
        <f>Inventory_Table[[#This Row],[Stock_Quantity]]*Inventory_Table[[#This Row],[Unit_Price]]</f>
        <v>81</v>
      </c>
      <c r="S32">
        <f>Inventory_Table[[#This Row],[Sales_Volume]]*Inventory_Table[[#This Row],[Unit_Price]]</f>
        <v>61.5</v>
      </c>
      <c r="T32" t="str">
        <f>IF(Inventory_Table[[#This Row],[Stock_Quantity]]&lt;=Inventory_Table[[#This Row],[Reorder_Level]],"REORDER","OK")</f>
        <v>REORDER</v>
      </c>
      <c r="U32" t="s">
        <v>3836</v>
      </c>
      <c r="V32" s="14">
        <f ca="1">TODAY()-Inventory_Table[[#This Row],[Last_Order_Date]]</f>
        <v>557</v>
      </c>
    </row>
    <row r="33" spans="1:22" x14ac:dyDescent="0.35">
      <c r="A33" t="s">
        <v>228</v>
      </c>
      <c r="B33" t="s">
        <v>18</v>
      </c>
      <c r="C33" t="s">
        <v>229</v>
      </c>
      <c r="D33" t="s">
        <v>230</v>
      </c>
      <c r="E33" t="s">
        <v>68</v>
      </c>
      <c r="F33" t="s">
        <v>231</v>
      </c>
      <c r="G33" t="s">
        <v>232</v>
      </c>
      <c r="H33" s="1">
        <v>46058</v>
      </c>
      <c r="I33" s="6">
        <v>45524</v>
      </c>
      <c r="J33" s="6">
        <v>46311</v>
      </c>
      <c r="K33">
        <v>67</v>
      </c>
      <c r="L33">
        <v>14</v>
      </c>
      <c r="M33">
        <v>25</v>
      </c>
      <c r="N33" s="8">
        <v>1.8</v>
      </c>
      <c r="O33">
        <v>81</v>
      </c>
      <c r="P33">
        <v>77</v>
      </c>
      <c r="Q33" s="2">
        <v>2.3400000000000001E-2</v>
      </c>
      <c r="R33">
        <f>Inventory_Table[[#This Row],[Stock_Quantity]]*Inventory_Table[[#This Row],[Unit_Price]]</f>
        <v>120.60000000000001</v>
      </c>
      <c r="S33">
        <f>Inventory_Table[[#This Row],[Sales_Volume]]*Inventory_Table[[#This Row],[Unit_Price]]</f>
        <v>145.80000000000001</v>
      </c>
      <c r="T33" t="str">
        <f>IF(Inventory_Table[[#This Row],[Stock_Quantity]]&lt;=Inventory_Table[[#This Row],[Reorder_Level]],"REORDER","OK")</f>
        <v>OK</v>
      </c>
      <c r="U33" t="s">
        <v>3836</v>
      </c>
      <c r="V33" s="14">
        <f ca="1">TODAY()-Inventory_Table[[#This Row],[Last_Order_Date]]</f>
        <v>652</v>
      </c>
    </row>
    <row r="34" spans="1:22" x14ac:dyDescent="0.35">
      <c r="A34" t="s">
        <v>83</v>
      </c>
      <c r="B34" t="s">
        <v>36</v>
      </c>
      <c r="C34" t="s">
        <v>19</v>
      </c>
      <c r="D34" t="s">
        <v>236</v>
      </c>
      <c r="E34" t="s">
        <v>30</v>
      </c>
      <c r="F34" t="s">
        <v>237</v>
      </c>
      <c r="G34" t="s">
        <v>238</v>
      </c>
      <c r="H34" s="1">
        <v>46059</v>
      </c>
      <c r="I34" s="6">
        <v>45645</v>
      </c>
      <c r="J34" s="6">
        <v>46273</v>
      </c>
      <c r="K34">
        <v>50</v>
      </c>
      <c r="L34">
        <v>14</v>
      </c>
      <c r="M34">
        <v>6</v>
      </c>
      <c r="N34" s="8">
        <v>9.1999999999999993</v>
      </c>
      <c r="O34">
        <v>60</v>
      </c>
      <c r="P34">
        <v>72</v>
      </c>
      <c r="Q34" s="2">
        <v>2.2200000000000001E-2</v>
      </c>
      <c r="R34">
        <f>Inventory_Table[[#This Row],[Stock_Quantity]]*Inventory_Table[[#This Row],[Unit_Price]]</f>
        <v>459.99999999999994</v>
      </c>
      <c r="S34">
        <f>Inventory_Table[[#This Row],[Sales_Volume]]*Inventory_Table[[#This Row],[Unit_Price]]</f>
        <v>552</v>
      </c>
      <c r="T34" t="str">
        <f>IF(Inventory_Table[[#This Row],[Stock_Quantity]]&lt;=Inventory_Table[[#This Row],[Reorder_Level]],"REORDER","OK")</f>
        <v>OK</v>
      </c>
      <c r="U34" t="s">
        <v>3836</v>
      </c>
      <c r="V34" s="14">
        <f ca="1">TODAY()-Inventory_Table[[#This Row],[Last_Order_Date]]</f>
        <v>531</v>
      </c>
    </row>
    <row r="35" spans="1:22" x14ac:dyDescent="0.35">
      <c r="A35" t="s">
        <v>240</v>
      </c>
      <c r="B35" t="s">
        <v>36</v>
      </c>
      <c r="C35" t="s">
        <v>241</v>
      </c>
      <c r="D35" t="s">
        <v>242</v>
      </c>
      <c r="E35" t="s">
        <v>30</v>
      </c>
      <c r="F35" t="s">
        <v>243</v>
      </c>
      <c r="G35" t="s">
        <v>244</v>
      </c>
      <c r="H35" s="1">
        <v>46059</v>
      </c>
      <c r="I35" s="6">
        <v>45601</v>
      </c>
      <c r="J35" s="6">
        <v>46283</v>
      </c>
      <c r="K35">
        <v>13</v>
      </c>
      <c r="L35">
        <v>39</v>
      </c>
      <c r="M35">
        <v>98</v>
      </c>
      <c r="N35" s="8">
        <v>0.9</v>
      </c>
      <c r="O35">
        <v>46</v>
      </c>
      <c r="P35">
        <v>46</v>
      </c>
      <c r="Q35" s="2">
        <v>1.9900000000000001E-2</v>
      </c>
      <c r="R35">
        <f>Inventory_Table[[#This Row],[Stock_Quantity]]*Inventory_Table[[#This Row],[Unit_Price]]</f>
        <v>11.700000000000001</v>
      </c>
      <c r="S35">
        <f>Inventory_Table[[#This Row],[Sales_Volume]]*Inventory_Table[[#This Row],[Unit_Price]]</f>
        <v>41.4</v>
      </c>
      <c r="T35" t="str">
        <f>IF(Inventory_Table[[#This Row],[Stock_Quantity]]&lt;=Inventory_Table[[#This Row],[Reorder_Level]],"REORDER","OK")</f>
        <v>REORDER</v>
      </c>
      <c r="U35" t="s">
        <v>3836</v>
      </c>
      <c r="V35" s="14">
        <f ca="1">TODAY()-Inventory_Table[[#This Row],[Last_Order_Date]]</f>
        <v>575</v>
      </c>
    </row>
    <row r="36" spans="1:22" x14ac:dyDescent="0.35">
      <c r="A36" t="s">
        <v>247</v>
      </c>
      <c r="B36" t="s">
        <v>18</v>
      </c>
      <c r="C36" t="s">
        <v>248</v>
      </c>
      <c r="D36" t="s">
        <v>249</v>
      </c>
      <c r="E36" t="s">
        <v>30</v>
      </c>
      <c r="F36" t="s">
        <v>250</v>
      </c>
      <c r="G36" t="s">
        <v>251</v>
      </c>
      <c r="H36" s="1">
        <v>46059</v>
      </c>
      <c r="I36" s="6">
        <v>45568</v>
      </c>
      <c r="J36" s="6">
        <v>46131</v>
      </c>
      <c r="K36">
        <v>18</v>
      </c>
      <c r="L36">
        <v>8</v>
      </c>
      <c r="M36">
        <v>68</v>
      </c>
      <c r="N36" s="8">
        <v>2</v>
      </c>
      <c r="O36">
        <v>54</v>
      </c>
      <c r="P36">
        <v>45</v>
      </c>
      <c r="Q36" s="2">
        <v>1.9900000000000001E-2</v>
      </c>
      <c r="R36">
        <f>Inventory_Table[[#This Row],[Stock_Quantity]]*Inventory_Table[[#This Row],[Unit_Price]]</f>
        <v>36</v>
      </c>
      <c r="S36">
        <f>Inventory_Table[[#This Row],[Sales_Volume]]*Inventory_Table[[#This Row],[Unit_Price]]</f>
        <v>108</v>
      </c>
      <c r="T36" t="str">
        <f>IF(Inventory_Table[[#This Row],[Stock_Quantity]]&lt;=Inventory_Table[[#This Row],[Reorder_Level]],"REORDER","OK")</f>
        <v>OK</v>
      </c>
      <c r="U36" t="s">
        <v>3838</v>
      </c>
      <c r="V36" s="14">
        <f ca="1">TODAY()-Inventory_Table[[#This Row],[Last_Order_Date]]</f>
        <v>608</v>
      </c>
    </row>
    <row r="37" spans="1:22" x14ac:dyDescent="0.35">
      <c r="A37" t="s">
        <v>253</v>
      </c>
      <c r="B37" t="s">
        <v>65</v>
      </c>
      <c r="C37" t="s">
        <v>254</v>
      </c>
      <c r="D37" t="s">
        <v>255</v>
      </c>
      <c r="E37" t="s">
        <v>68</v>
      </c>
      <c r="F37" t="s">
        <v>256</v>
      </c>
      <c r="G37" t="s">
        <v>257</v>
      </c>
      <c r="H37" s="1">
        <v>46059</v>
      </c>
      <c r="I37" s="6">
        <v>45682</v>
      </c>
      <c r="J37" s="6">
        <v>46270</v>
      </c>
      <c r="K37">
        <v>24</v>
      </c>
      <c r="L37">
        <v>2</v>
      </c>
      <c r="M37">
        <v>49</v>
      </c>
      <c r="N37" s="8">
        <v>2</v>
      </c>
      <c r="O37">
        <v>98</v>
      </c>
      <c r="P37">
        <v>82</v>
      </c>
      <c r="Q37" s="2">
        <v>1.9E-2</v>
      </c>
      <c r="R37">
        <f>Inventory_Table[[#This Row],[Stock_Quantity]]*Inventory_Table[[#This Row],[Unit_Price]]</f>
        <v>48</v>
      </c>
      <c r="S37">
        <f>Inventory_Table[[#This Row],[Sales_Volume]]*Inventory_Table[[#This Row],[Unit_Price]]</f>
        <v>196</v>
      </c>
      <c r="T37" t="str">
        <f>IF(Inventory_Table[[#This Row],[Stock_Quantity]]&lt;=Inventory_Table[[#This Row],[Reorder_Level]],"REORDER","OK")</f>
        <v>OK</v>
      </c>
      <c r="U37" t="s">
        <v>3836</v>
      </c>
      <c r="V37" s="14">
        <f ca="1">TODAY()-Inventory_Table[[#This Row],[Last_Order_Date]]</f>
        <v>494</v>
      </c>
    </row>
    <row r="38" spans="1:22" x14ac:dyDescent="0.35">
      <c r="A38" t="s">
        <v>194</v>
      </c>
      <c r="B38" t="s">
        <v>114</v>
      </c>
      <c r="C38" t="s">
        <v>259</v>
      </c>
      <c r="D38" t="s">
        <v>260</v>
      </c>
      <c r="E38" t="s">
        <v>68</v>
      </c>
      <c r="F38" t="s">
        <v>261</v>
      </c>
      <c r="G38" t="s">
        <v>262</v>
      </c>
      <c r="H38" s="1">
        <v>46060</v>
      </c>
      <c r="I38" s="6">
        <v>45370</v>
      </c>
      <c r="J38" s="6">
        <v>46156</v>
      </c>
      <c r="K38">
        <v>40</v>
      </c>
      <c r="L38">
        <v>30</v>
      </c>
      <c r="M38">
        <v>65</v>
      </c>
      <c r="N38" s="8">
        <v>4.5</v>
      </c>
      <c r="O38">
        <v>54</v>
      </c>
      <c r="P38">
        <v>29</v>
      </c>
      <c r="Q38" s="2">
        <v>1.84E-2</v>
      </c>
      <c r="R38">
        <f>Inventory_Table[[#This Row],[Stock_Quantity]]*Inventory_Table[[#This Row],[Unit_Price]]</f>
        <v>180</v>
      </c>
      <c r="S38">
        <f>Inventory_Table[[#This Row],[Sales_Volume]]*Inventory_Table[[#This Row],[Unit_Price]]</f>
        <v>243</v>
      </c>
      <c r="T38" t="str">
        <f>IF(Inventory_Table[[#This Row],[Stock_Quantity]]&lt;=Inventory_Table[[#This Row],[Reorder_Level]],"REORDER","OK")</f>
        <v>OK</v>
      </c>
      <c r="U38" t="s">
        <v>3838</v>
      </c>
      <c r="V38" s="14">
        <f ca="1">TODAY()-Inventory_Table[[#This Row],[Last_Order_Date]]</f>
        <v>806</v>
      </c>
    </row>
    <row r="39" spans="1:22" x14ac:dyDescent="0.35">
      <c r="A39" t="s">
        <v>83</v>
      </c>
      <c r="B39" t="s">
        <v>36</v>
      </c>
      <c r="C39" t="s">
        <v>265</v>
      </c>
      <c r="D39" t="s">
        <v>266</v>
      </c>
      <c r="E39" t="s">
        <v>68</v>
      </c>
      <c r="F39" t="s">
        <v>267</v>
      </c>
      <c r="G39" t="s">
        <v>268</v>
      </c>
      <c r="H39" s="1">
        <v>46061</v>
      </c>
      <c r="I39" s="6">
        <v>45577</v>
      </c>
      <c r="J39" s="6">
        <v>46101</v>
      </c>
      <c r="K39">
        <v>53</v>
      </c>
      <c r="L39">
        <v>63</v>
      </c>
      <c r="M39">
        <v>2</v>
      </c>
      <c r="N39" s="8">
        <v>9</v>
      </c>
      <c r="O39">
        <v>56</v>
      </c>
      <c r="P39">
        <v>95</v>
      </c>
      <c r="Q39" s="2">
        <v>1.83E-2</v>
      </c>
      <c r="R39">
        <f>Inventory_Table[[#This Row],[Stock_Quantity]]*Inventory_Table[[#This Row],[Unit_Price]]</f>
        <v>477</v>
      </c>
      <c r="S39">
        <f>Inventory_Table[[#This Row],[Sales_Volume]]*Inventory_Table[[#This Row],[Unit_Price]]</f>
        <v>504</v>
      </c>
      <c r="T39" t="str">
        <f>IF(Inventory_Table[[#This Row],[Stock_Quantity]]&lt;=Inventory_Table[[#This Row],[Reorder_Level]],"REORDER","OK")</f>
        <v>REORDER</v>
      </c>
      <c r="U39" t="s">
        <v>3838</v>
      </c>
      <c r="V39" s="14">
        <f ca="1">TODAY()-Inventory_Table[[#This Row],[Last_Order_Date]]</f>
        <v>599</v>
      </c>
    </row>
    <row r="40" spans="1:22" x14ac:dyDescent="0.35">
      <c r="A40" t="s">
        <v>270</v>
      </c>
      <c r="B40" t="s">
        <v>36</v>
      </c>
      <c r="C40" t="s">
        <v>271</v>
      </c>
      <c r="D40" t="s">
        <v>272</v>
      </c>
      <c r="E40" t="s">
        <v>68</v>
      </c>
      <c r="F40" t="s">
        <v>273</v>
      </c>
      <c r="G40" t="s">
        <v>274</v>
      </c>
      <c r="H40" s="1">
        <v>46061</v>
      </c>
      <c r="I40" s="6">
        <v>45564</v>
      </c>
      <c r="J40" s="6">
        <v>46370</v>
      </c>
      <c r="K40">
        <v>11</v>
      </c>
      <c r="L40">
        <v>30</v>
      </c>
      <c r="M40">
        <v>4</v>
      </c>
      <c r="N40" s="8">
        <v>4</v>
      </c>
      <c r="O40">
        <v>84</v>
      </c>
      <c r="P40">
        <v>4</v>
      </c>
      <c r="Q40" s="2">
        <v>1.77E-2</v>
      </c>
      <c r="R40">
        <f>Inventory_Table[[#This Row],[Stock_Quantity]]*Inventory_Table[[#This Row],[Unit_Price]]</f>
        <v>44</v>
      </c>
      <c r="S40">
        <f>Inventory_Table[[#This Row],[Sales_Volume]]*Inventory_Table[[#This Row],[Unit_Price]]</f>
        <v>336</v>
      </c>
      <c r="T40" t="str">
        <f>IF(Inventory_Table[[#This Row],[Stock_Quantity]]&lt;=Inventory_Table[[#This Row],[Reorder_Level]],"REORDER","OK")</f>
        <v>REORDER</v>
      </c>
      <c r="U40" t="s">
        <v>3836</v>
      </c>
      <c r="V40" s="14">
        <f ca="1">TODAY()-Inventory_Table[[#This Row],[Last_Order_Date]]</f>
        <v>612</v>
      </c>
    </row>
    <row r="41" spans="1:22" x14ac:dyDescent="0.35">
      <c r="A41" t="s">
        <v>277</v>
      </c>
      <c r="B41" t="s">
        <v>114</v>
      </c>
      <c r="C41" t="s">
        <v>66</v>
      </c>
      <c r="D41" t="s">
        <v>278</v>
      </c>
      <c r="E41" t="s">
        <v>30</v>
      </c>
      <c r="F41" t="s">
        <v>279</v>
      </c>
      <c r="G41" t="s">
        <v>280</v>
      </c>
      <c r="H41" s="1">
        <v>46061</v>
      </c>
      <c r="I41" s="6">
        <v>45528</v>
      </c>
      <c r="J41" s="6">
        <v>46383</v>
      </c>
      <c r="K41">
        <v>17</v>
      </c>
      <c r="L41">
        <v>63</v>
      </c>
      <c r="M41">
        <v>3</v>
      </c>
      <c r="N41" s="8">
        <v>3.5</v>
      </c>
      <c r="O41">
        <v>93</v>
      </c>
      <c r="P41">
        <v>26</v>
      </c>
      <c r="Q41" s="2">
        <v>1.66E-2</v>
      </c>
      <c r="R41">
        <f>Inventory_Table[[#This Row],[Stock_Quantity]]*Inventory_Table[[#This Row],[Unit_Price]]</f>
        <v>59.5</v>
      </c>
      <c r="S41">
        <f>Inventory_Table[[#This Row],[Sales_Volume]]*Inventory_Table[[#This Row],[Unit_Price]]</f>
        <v>325.5</v>
      </c>
      <c r="T41" t="str">
        <f>IF(Inventory_Table[[#This Row],[Stock_Quantity]]&lt;=Inventory_Table[[#This Row],[Reorder_Level]],"REORDER","OK")</f>
        <v>REORDER</v>
      </c>
      <c r="U41" t="s">
        <v>3836</v>
      </c>
      <c r="V41" s="14">
        <f ca="1">TODAY()-Inventory_Table[[#This Row],[Last_Order_Date]]</f>
        <v>648</v>
      </c>
    </row>
    <row r="42" spans="1:22" x14ac:dyDescent="0.35">
      <c r="A42" t="s">
        <v>283</v>
      </c>
      <c r="B42" t="s">
        <v>163</v>
      </c>
      <c r="C42" t="s">
        <v>284</v>
      </c>
      <c r="D42" t="s">
        <v>285</v>
      </c>
      <c r="E42" t="s">
        <v>21</v>
      </c>
      <c r="F42" t="s">
        <v>286</v>
      </c>
      <c r="G42" t="s">
        <v>287</v>
      </c>
      <c r="H42" s="1">
        <v>46061</v>
      </c>
      <c r="I42" s="6">
        <v>45532</v>
      </c>
      <c r="J42" s="6">
        <v>46266</v>
      </c>
      <c r="K42">
        <v>14</v>
      </c>
      <c r="L42">
        <v>77</v>
      </c>
      <c r="M42">
        <v>78</v>
      </c>
      <c r="N42" s="8">
        <v>10</v>
      </c>
      <c r="O42">
        <v>32</v>
      </c>
      <c r="P42">
        <v>24</v>
      </c>
      <c r="Q42" s="2">
        <v>1.52E-2</v>
      </c>
      <c r="R42">
        <f>Inventory_Table[[#This Row],[Stock_Quantity]]*Inventory_Table[[#This Row],[Unit_Price]]</f>
        <v>140</v>
      </c>
      <c r="S42">
        <f>Inventory_Table[[#This Row],[Sales_Volume]]*Inventory_Table[[#This Row],[Unit_Price]]</f>
        <v>320</v>
      </c>
      <c r="T42" t="str">
        <f>IF(Inventory_Table[[#This Row],[Stock_Quantity]]&lt;=Inventory_Table[[#This Row],[Reorder_Level]],"REORDER","OK")</f>
        <v>REORDER</v>
      </c>
      <c r="U42" t="s">
        <v>3836</v>
      </c>
      <c r="V42" s="14">
        <f ca="1">TODAY()-Inventory_Table[[#This Row],[Last_Order_Date]]</f>
        <v>644</v>
      </c>
    </row>
    <row r="43" spans="1:22" x14ac:dyDescent="0.35">
      <c r="A43" t="s">
        <v>289</v>
      </c>
      <c r="B43" t="s">
        <v>114</v>
      </c>
      <c r="C43" t="s">
        <v>290</v>
      </c>
      <c r="D43" t="s">
        <v>291</v>
      </c>
      <c r="E43" t="s">
        <v>68</v>
      </c>
      <c r="F43" t="s">
        <v>292</v>
      </c>
      <c r="G43" t="s">
        <v>293</v>
      </c>
      <c r="H43" s="1">
        <v>46061</v>
      </c>
      <c r="I43" s="6">
        <v>45372</v>
      </c>
      <c r="J43" s="6">
        <v>46222</v>
      </c>
      <c r="K43">
        <v>100</v>
      </c>
      <c r="L43">
        <v>1</v>
      </c>
      <c r="M43">
        <v>26</v>
      </c>
      <c r="N43" s="8">
        <v>5</v>
      </c>
      <c r="O43">
        <v>47</v>
      </c>
      <c r="P43">
        <v>79</v>
      </c>
      <c r="Q43" s="2">
        <v>1.32E-2</v>
      </c>
      <c r="R43">
        <f>Inventory_Table[[#This Row],[Stock_Quantity]]*Inventory_Table[[#This Row],[Unit_Price]]</f>
        <v>500</v>
      </c>
      <c r="S43">
        <f>Inventory_Table[[#This Row],[Sales_Volume]]*Inventory_Table[[#This Row],[Unit_Price]]</f>
        <v>235</v>
      </c>
      <c r="T43" t="str">
        <f>IF(Inventory_Table[[#This Row],[Stock_Quantity]]&lt;=Inventory_Table[[#This Row],[Reorder_Level]],"REORDER","OK")</f>
        <v>OK</v>
      </c>
      <c r="U43" t="s">
        <v>3836</v>
      </c>
      <c r="V43" s="14">
        <f ca="1">TODAY()-Inventory_Table[[#This Row],[Last_Order_Date]]</f>
        <v>804</v>
      </c>
    </row>
    <row r="44" spans="1:22" x14ac:dyDescent="0.35">
      <c r="A44" t="s">
        <v>296</v>
      </c>
      <c r="B44" t="s">
        <v>27</v>
      </c>
      <c r="C44" t="s">
        <v>297</v>
      </c>
      <c r="D44" t="s">
        <v>298</v>
      </c>
      <c r="E44" t="s">
        <v>68</v>
      </c>
      <c r="F44" t="s">
        <v>299</v>
      </c>
      <c r="G44" t="s">
        <v>300</v>
      </c>
      <c r="H44" s="1">
        <v>46061</v>
      </c>
      <c r="I44" s="6">
        <v>45392</v>
      </c>
      <c r="J44" s="6">
        <v>46169</v>
      </c>
      <c r="K44">
        <v>67</v>
      </c>
      <c r="L44">
        <v>57</v>
      </c>
      <c r="M44">
        <v>36</v>
      </c>
      <c r="N44" s="8">
        <v>1.8</v>
      </c>
      <c r="O44">
        <v>78</v>
      </c>
      <c r="P44">
        <v>60</v>
      </c>
      <c r="Q44" s="2">
        <v>1.21E-2</v>
      </c>
      <c r="R44">
        <f>Inventory_Table[[#This Row],[Stock_Quantity]]*Inventory_Table[[#This Row],[Unit_Price]]</f>
        <v>120.60000000000001</v>
      </c>
      <c r="S44">
        <f>Inventory_Table[[#This Row],[Sales_Volume]]*Inventory_Table[[#This Row],[Unit_Price]]</f>
        <v>140.4</v>
      </c>
      <c r="T44" t="str">
        <f>IF(Inventory_Table[[#This Row],[Stock_Quantity]]&lt;=Inventory_Table[[#This Row],[Reorder_Level]],"REORDER","OK")</f>
        <v>OK</v>
      </c>
      <c r="U44" t="s">
        <v>3838</v>
      </c>
      <c r="V44" s="14">
        <f ca="1">TODAY()-Inventory_Table[[#This Row],[Last_Order_Date]]</f>
        <v>784</v>
      </c>
    </row>
    <row r="45" spans="1:22" x14ac:dyDescent="0.35">
      <c r="A45" t="s">
        <v>74</v>
      </c>
      <c r="B45" t="s">
        <v>75</v>
      </c>
      <c r="C45" t="s">
        <v>302</v>
      </c>
      <c r="D45" t="s">
        <v>303</v>
      </c>
      <c r="E45" t="s">
        <v>21</v>
      </c>
      <c r="F45" t="s">
        <v>304</v>
      </c>
      <c r="G45" t="s">
        <v>305</v>
      </c>
      <c r="H45" s="1">
        <v>46062</v>
      </c>
      <c r="I45" s="6">
        <v>45347</v>
      </c>
      <c r="J45" s="6">
        <v>46433</v>
      </c>
      <c r="K45">
        <v>60</v>
      </c>
      <c r="L45">
        <v>64</v>
      </c>
      <c r="M45">
        <v>36</v>
      </c>
      <c r="N45" s="8">
        <v>10</v>
      </c>
      <c r="O45">
        <v>34</v>
      </c>
      <c r="P45">
        <v>48</v>
      </c>
      <c r="Q45" s="2">
        <v>1.14E-2</v>
      </c>
      <c r="R45">
        <f>Inventory_Table[[#This Row],[Stock_Quantity]]*Inventory_Table[[#This Row],[Unit_Price]]</f>
        <v>600</v>
      </c>
      <c r="S45">
        <f>Inventory_Table[[#This Row],[Sales_Volume]]*Inventory_Table[[#This Row],[Unit_Price]]</f>
        <v>340</v>
      </c>
      <c r="T45" t="str">
        <f>IF(Inventory_Table[[#This Row],[Stock_Quantity]]&lt;=Inventory_Table[[#This Row],[Reorder_Level]],"REORDER","OK")</f>
        <v>REORDER</v>
      </c>
      <c r="U45" t="s">
        <v>3836</v>
      </c>
      <c r="V45" s="14">
        <f ca="1">TODAY()-Inventory_Table[[#This Row],[Last_Order_Date]]</f>
        <v>829</v>
      </c>
    </row>
    <row r="46" spans="1:22" x14ac:dyDescent="0.35">
      <c r="A46" t="s">
        <v>308</v>
      </c>
      <c r="B46" t="s">
        <v>27</v>
      </c>
      <c r="C46" t="s">
        <v>102</v>
      </c>
      <c r="D46" t="s">
        <v>309</v>
      </c>
      <c r="E46" t="s">
        <v>21</v>
      </c>
      <c r="F46" t="s">
        <v>310</v>
      </c>
      <c r="G46" t="s">
        <v>311</v>
      </c>
      <c r="H46" s="1">
        <v>46062</v>
      </c>
      <c r="I46" s="6">
        <v>45387</v>
      </c>
      <c r="J46" s="6">
        <v>46260</v>
      </c>
      <c r="K46">
        <v>45</v>
      </c>
      <c r="L46">
        <v>7</v>
      </c>
      <c r="M46">
        <v>58</v>
      </c>
      <c r="N46" s="8">
        <v>6.5</v>
      </c>
      <c r="O46">
        <v>86</v>
      </c>
      <c r="P46">
        <v>77</v>
      </c>
      <c r="Q46" s="2">
        <v>9.9000000000000008E-3</v>
      </c>
      <c r="R46">
        <f>Inventory_Table[[#This Row],[Stock_Quantity]]*Inventory_Table[[#This Row],[Unit_Price]]</f>
        <v>292.5</v>
      </c>
      <c r="S46">
        <f>Inventory_Table[[#This Row],[Sales_Volume]]*Inventory_Table[[#This Row],[Unit_Price]]</f>
        <v>559</v>
      </c>
      <c r="T46" t="str">
        <f>IF(Inventory_Table[[#This Row],[Stock_Quantity]]&lt;=Inventory_Table[[#This Row],[Reorder_Level]],"REORDER","OK")</f>
        <v>OK</v>
      </c>
      <c r="U46" t="s">
        <v>3836</v>
      </c>
      <c r="V46" s="14">
        <f ca="1">TODAY()-Inventory_Table[[#This Row],[Last_Order_Date]]</f>
        <v>789</v>
      </c>
    </row>
    <row r="47" spans="1:22" x14ac:dyDescent="0.35">
      <c r="A47" t="s">
        <v>314</v>
      </c>
      <c r="B47" t="s">
        <v>18</v>
      </c>
      <c r="C47" t="s">
        <v>315</v>
      </c>
      <c r="D47" t="s">
        <v>316</v>
      </c>
      <c r="E47" t="s">
        <v>68</v>
      </c>
      <c r="F47" t="s">
        <v>317</v>
      </c>
      <c r="G47" t="s">
        <v>318</v>
      </c>
      <c r="H47" s="1">
        <v>46063</v>
      </c>
      <c r="I47" s="6">
        <v>45579</v>
      </c>
      <c r="J47" s="6">
        <v>46118</v>
      </c>
      <c r="K47">
        <v>58</v>
      </c>
      <c r="L47">
        <v>5</v>
      </c>
      <c r="M47">
        <v>1</v>
      </c>
      <c r="N47" s="8">
        <v>2</v>
      </c>
      <c r="O47">
        <v>53</v>
      </c>
      <c r="P47">
        <v>80</v>
      </c>
      <c r="Q47" s="2">
        <v>8.0000000000000002E-3</v>
      </c>
      <c r="R47">
        <f>Inventory_Table[[#This Row],[Stock_Quantity]]*Inventory_Table[[#This Row],[Unit_Price]]</f>
        <v>116</v>
      </c>
      <c r="S47">
        <f>Inventory_Table[[#This Row],[Sales_Volume]]*Inventory_Table[[#This Row],[Unit_Price]]</f>
        <v>106</v>
      </c>
      <c r="T47" t="str">
        <f>IF(Inventory_Table[[#This Row],[Stock_Quantity]]&lt;=Inventory_Table[[#This Row],[Reorder_Level]],"REORDER","OK")</f>
        <v>OK</v>
      </c>
      <c r="U47" t="s">
        <v>3838</v>
      </c>
      <c r="V47" s="14">
        <f ca="1">TODAY()-Inventory_Table[[#This Row],[Last_Order_Date]]</f>
        <v>597</v>
      </c>
    </row>
    <row r="48" spans="1:22" x14ac:dyDescent="0.35">
      <c r="A48" t="s">
        <v>320</v>
      </c>
      <c r="B48" t="s">
        <v>36</v>
      </c>
      <c r="C48" t="s">
        <v>321</v>
      </c>
      <c r="D48" t="s">
        <v>322</v>
      </c>
      <c r="E48" t="s">
        <v>21</v>
      </c>
      <c r="F48" t="s">
        <v>323</v>
      </c>
      <c r="G48" t="s">
        <v>324</v>
      </c>
      <c r="H48" s="1">
        <v>46063</v>
      </c>
      <c r="I48" s="6">
        <v>45615</v>
      </c>
      <c r="J48" s="6">
        <v>46239</v>
      </c>
      <c r="K48">
        <v>98</v>
      </c>
      <c r="L48">
        <v>77</v>
      </c>
      <c r="M48">
        <v>7</v>
      </c>
      <c r="N48" s="8">
        <v>7</v>
      </c>
      <c r="O48">
        <v>92</v>
      </c>
      <c r="P48">
        <v>29</v>
      </c>
      <c r="Q48" s="2">
        <v>6.1999999999999998E-3</v>
      </c>
      <c r="R48">
        <f>Inventory_Table[[#This Row],[Stock_Quantity]]*Inventory_Table[[#This Row],[Unit_Price]]</f>
        <v>686</v>
      </c>
      <c r="S48">
        <f>Inventory_Table[[#This Row],[Sales_Volume]]*Inventory_Table[[#This Row],[Unit_Price]]</f>
        <v>644</v>
      </c>
      <c r="T48" t="str">
        <f>IF(Inventory_Table[[#This Row],[Stock_Quantity]]&lt;=Inventory_Table[[#This Row],[Reorder_Level]],"REORDER","OK")</f>
        <v>OK</v>
      </c>
      <c r="U48" t="s">
        <v>3836</v>
      </c>
      <c r="V48" s="14">
        <f ca="1">TODAY()-Inventory_Table[[#This Row],[Last_Order_Date]]</f>
        <v>561</v>
      </c>
    </row>
    <row r="49" spans="1:22" x14ac:dyDescent="0.35">
      <c r="A49" t="s">
        <v>326</v>
      </c>
      <c r="B49" t="s">
        <v>18</v>
      </c>
      <c r="C49" t="s">
        <v>327</v>
      </c>
      <c r="D49" t="s">
        <v>328</v>
      </c>
      <c r="E49" t="s">
        <v>30</v>
      </c>
      <c r="F49" t="s">
        <v>329</v>
      </c>
      <c r="G49" t="s">
        <v>330</v>
      </c>
      <c r="H49" s="1">
        <v>46065</v>
      </c>
      <c r="I49" s="6">
        <v>45688</v>
      </c>
      <c r="J49" s="6">
        <v>46294</v>
      </c>
      <c r="K49">
        <v>42</v>
      </c>
      <c r="L49">
        <v>61</v>
      </c>
      <c r="M49">
        <v>52</v>
      </c>
      <c r="N49" s="8">
        <v>5</v>
      </c>
      <c r="O49">
        <v>86</v>
      </c>
      <c r="P49">
        <v>99</v>
      </c>
      <c r="Q49" s="2">
        <v>4.7000000000000002E-3</v>
      </c>
      <c r="R49">
        <f>Inventory_Table[[#This Row],[Stock_Quantity]]*Inventory_Table[[#This Row],[Unit_Price]]</f>
        <v>210</v>
      </c>
      <c r="S49">
        <f>Inventory_Table[[#This Row],[Sales_Volume]]*Inventory_Table[[#This Row],[Unit_Price]]</f>
        <v>430</v>
      </c>
      <c r="T49" t="str">
        <f>IF(Inventory_Table[[#This Row],[Stock_Quantity]]&lt;=Inventory_Table[[#This Row],[Reorder_Level]],"REORDER","OK")</f>
        <v>REORDER</v>
      </c>
      <c r="U49" t="s">
        <v>3836</v>
      </c>
      <c r="V49" s="14">
        <f ca="1">TODAY()-Inventory_Table[[#This Row],[Last_Order_Date]]</f>
        <v>488</v>
      </c>
    </row>
    <row r="50" spans="1:22" x14ac:dyDescent="0.35">
      <c r="A50" t="s">
        <v>331</v>
      </c>
      <c r="B50" t="s">
        <v>27</v>
      </c>
      <c r="C50" t="s">
        <v>332</v>
      </c>
      <c r="D50" t="s">
        <v>333</v>
      </c>
      <c r="E50" t="s">
        <v>21</v>
      </c>
      <c r="F50" t="s">
        <v>334</v>
      </c>
      <c r="G50" t="s">
        <v>335</v>
      </c>
      <c r="H50" s="1">
        <v>46065</v>
      </c>
      <c r="I50" s="6">
        <v>45638</v>
      </c>
      <c r="J50" s="6">
        <v>46339</v>
      </c>
      <c r="K50">
        <v>38</v>
      </c>
      <c r="L50">
        <v>62</v>
      </c>
      <c r="M50">
        <v>47</v>
      </c>
      <c r="N50" s="8">
        <v>4</v>
      </c>
      <c r="O50">
        <v>41</v>
      </c>
      <c r="P50">
        <v>34</v>
      </c>
      <c r="Q50" s="2">
        <v>3.7000000000000002E-3</v>
      </c>
      <c r="R50">
        <f>Inventory_Table[[#This Row],[Stock_Quantity]]*Inventory_Table[[#This Row],[Unit_Price]]</f>
        <v>152</v>
      </c>
      <c r="S50">
        <f>Inventory_Table[[#This Row],[Sales_Volume]]*Inventory_Table[[#This Row],[Unit_Price]]</f>
        <v>164</v>
      </c>
      <c r="T50" t="str">
        <f>IF(Inventory_Table[[#This Row],[Stock_Quantity]]&lt;=Inventory_Table[[#This Row],[Reorder_Level]],"REORDER","OK")</f>
        <v>REORDER</v>
      </c>
      <c r="U50" t="s">
        <v>3836</v>
      </c>
      <c r="V50" s="14">
        <f ca="1">TODAY()-Inventory_Table[[#This Row],[Last_Order_Date]]</f>
        <v>538</v>
      </c>
    </row>
    <row r="51" spans="1:22" x14ac:dyDescent="0.35">
      <c r="A51" t="s">
        <v>337</v>
      </c>
      <c r="B51" t="s">
        <v>27</v>
      </c>
      <c r="C51" t="s">
        <v>338</v>
      </c>
      <c r="D51" t="s">
        <v>339</v>
      </c>
      <c r="E51" t="s">
        <v>21</v>
      </c>
      <c r="F51" t="s">
        <v>340</v>
      </c>
      <c r="G51" t="s">
        <v>341</v>
      </c>
      <c r="H51" s="1">
        <v>46084</v>
      </c>
      <c r="I51" s="6">
        <v>45456</v>
      </c>
      <c r="J51" s="6">
        <v>46369</v>
      </c>
      <c r="K51">
        <v>36</v>
      </c>
      <c r="L51">
        <v>3</v>
      </c>
      <c r="M51">
        <v>54</v>
      </c>
      <c r="N51" s="8">
        <v>6</v>
      </c>
      <c r="O51">
        <v>74</v>
      </c>
      <c r="P51">
        <v>8</v>
      </c>
      <c r="Q51" s="2">
        <v>2.0999999999999999E-3</v>
      </c>
      <c r="R51">
        <f>Inventory_Table[[#This Row],[Stock_Quantity]]*Inventory_Table[[#This Row],[Unit_Price]]</f>
        <v>216</v>
      </c>
      <c r="S51">
        <f>Inventory_Table[[#This Row],[Sales_Volume]]*Inventory_Table[[#This Row],[Unit_Price]]</f>
        <v>444</v>
      </c>
      <c r="T51" t="str">
        <f>IF(Inventory_Table[[#This Row],[Stock_Quantity]]&lt;=Inventory_Table[[#This Row],[Reorder_Level]],"REORDER","OK")</f>
        <v>OK</v>
      </c>
      <c r="U51" t="s">
        <v>3836</v>
      </c>
      <c r="V51" s="14">
        <f ca="1">TODAY()-Inventory_Table[[#This Row],[Last_Order_Date]]</f>
        <v>720</v>
      </c>
    </row>
    <row r="52" spans="1:22" x14ac:dyDescent="0.35">
      <c r="A52" t="s">
        <v>154</v>
      </c>
      <c r="B52" t="s">
        <v>65</v>
      </c>
      <c r="C52" t="s">
        <v>345</v>
      </c>
      <c r="D52" t="s">
        <v>346</v>
      </c>
      <c r="E52" t="s">
        <v>68</v>
      </c>
      <c r="F52" t="s">
        <v>347</v>
      </c>
      <c r="G52" t="s">
        <v>348</v>
      </c>
      <c r="H52" s="1">
        <v>46085</v>
      </c>
      <c r="I52" s="6">
        <v>45432</v>
      </c>
      <c r="J52" s="6">
        <v>46271</v>
      </c>
      <c r="K52">
        <v>67</v>
      </c>
      <c r="L52">
        <v>60</v>
      </c>
      <c r="M52">
        <v>21</v>
      </c>
      <c r="N52" s="8">
        <v>2.75</v>
      </c>
      <c r="O52">
        <v>30</v>
      </c>
      <c r="P52">
        <v>6</v>
      </c>
      <c r="Q52" s="3">
        <v>0.89</v>
      </c>
      <c r="R52">
        <f>Inventory_Table[[#This Row],[Stock_Quantity]]*Inventory_Table[[#This Row],[Unit_Price]]</f>
        <v>184.25</v>
      </c>
      <c r="S52">
        <f>Inventory_Table[[#This Row],[Sales_Volume]]*Inventory_Table[[#This Row],[Unit_Price]]</f>
        <v>82.5</v>
      </c>
      <c r="T52" t="str">
        <f>IF(Inventory_Table[[#This Row],[Stock_Quantity]]&lt;=Inventory_Table[[#This Row],[Reorder_Level]],"REORDER","OK")</f>
        <v>OK</v>
      </c>
      <c r="U52" t="s">
        <v>3836</v>
      </c>
      <c r="V52" s="14">
        <f ca="1">TODAY()-Inventory_Table[[#This Row],[Last_Order_Date]]</f>
        <v>744</v>
      </c>
    </row>
    <row r="53" spans="1:22" x14ac:dyDescent="0.35">
      <c r="A53" t="s">
        <v>350</v>
      </c>
      <c r="B53" t="s">
        <v>36</v>
      </c>
      <c r="C53" t="s">
        <v>51</v>
      </c>
      <c r="D53" t="s">
        <v>351</v>
      </c>
      <c r="E53" t="s">
        <v>30</v>
      </c>
      <c r="F53" t="s">
        <v>352</v>
      </c>
      <c r="G53" t="s">
        <v>353</v>
      </c>
      <c r="H53" s="1">
        <v>46085</v>
      </c>
      <c r="I53" s="6">
        <v>45490</v>
      </c>
      <c r="J53" s="6">
        <v>46102</v>
      </c>
      <c r="K53">
        <v>37</v>
      </c>
      <c r="L53">
        <v>53</v>
      </c>
      <c r="M53">
        <v>61</v>
      </c>
      <c r="N53" s="8">
        <v>1</v>
      </c>
      <c r="O53">
        <v>90</v>
      </c>
      <c r="P53">
        <v>89</v>
      </c>
      <c r="Q53" s="3">
        <v>0.8</v>
      </c>
      <c r="R53">
        <f>Inventory_Table[[#This Row],[Stock_Quantity]]*Inventory_Table[[#This Row],[Unit_Price]]</f>
        <v>37</v>
      </c>
      <c r="S53">
        <f>Inventory_Table[[#This Row],[Sales_Volume]]*Inventory_Table[[#This Row],[Unit_Price]]</f>
        <v>90</v>
      </c>
      <c r="T53" t="str">
        <f>IF(Inventory_Table[[#This Row],[Stock_Quantity]]&lt;=Inventory_Table[[#This Row],[Reorder_Level]],"REORDER","OK")</f>
        <v>REORDER</v>
      </c>
      <c r="U53" t="s">
        <v>3838</v>
      </c>
      <c r="V53" s="14">
        <f ca="1">TODAY()-Inventory_Table[[#This Row],[Last_Order_Date]]</f>
        <v>686</v>
      </c>
    </row>
    <row r="54" spans="1:22" x14ac:dyDescent="0.35">
      <c r="A54" t="s">
        <v>356</v>
      </c>
      <c r="B54" t="s">
        <v>18</v>
      </c>
      <c r="C54" t="s">
        <v>357</v>
      </c>
      <c r="D54" t="s">
        <v>358</v>
      </c>
      <c r="E54" t="s">
        <v>68</v>
      </c>
      <c r="F54" t="s">
        <v>359</v>
      </c>
      <c r="G54" t="s">
        <v>360</v>
      </c>
      <c r="H54" s="1">
        <v>46085</v>
      </c>
      <c r="I54" s="6">
        <v>45681</v>
      </c>
      <c r="J54" s="6">
        <v>46430</v>
      </c>
      <c r="K54">
        <v>20</v>
      </c>
      <c r="L54">
        <v>51</v>
      </c>
      <c r="M54">
        <v>33</v>
      </c>
      <c r="N54" s="8">
        <v>3.5</v>
      </c>
      <c r="O54">
        <v>80</v>
      </c>
      <c r="P54">
        <v>41</v>
      </c>
      <c r="Q54" s="3">
        <v>0.01</v>
      </c>
      <c r="R54">
        <f>Inventory_Table[[#This Row],[Stock_Quantity]]*Inventory_Table[[#This Row],[Unit_Price]]</f>
        <v>70</v>
      </c>
      <c r="S54">
        <f>Inventory_Table[[#This Row],[Sales_Volume]]*Inventory_Table[[#This Row],[Unit_Price]]</f>
        <v>280</v>
      </c>
      <c r="T54" t="str">
        <f>IF(Inventory_Table[[#This Row],[Stock_Quantity]]&lt;=Inventory_Table[[#This Row],[Reorder_Level]],"REORDER","OK")</f>
        <v>REORDER</v>
      </c>
      <c r="U54" t="s">
        <v>3836</v>
      </c>
      <c r="V54" s="14">
        <f ca="1">TODAY()-Inventory_Table[[#This Row],[Last_Order_Date]]</f>
        <v>495</v>
      </c>
    </row>
    <row r="55" spans="1:22" x14ac:dyDescent="0.35">
      <c r="A55" t="s">
        <v>188</v>
      </c>
      <c r="B55" t="s">
        <v>65</v>
      </c>
      <c r="C55" t="s">
        <v>362</v>
      </c>
      <c r="D55" t="s">
        <v>363</v>
      </c>
      <c r="E55" t="s">
        <v>21</v>
      </c>
      <c r="F55" t="s">
        <v>364</v>
      </c>
      <c r="G55" t="s">
        <v>365</v>
      </c>
      <c r="H55" s="1">
        <v>46085</v>
      </c>
      <c r="I55" s="6">
        <v>45392</v>
      </c>
      <c r="J55" s="6">
        <v>46169</v>
      </c>
      <c r="K55">
        <v>62</v>
      </c>
      <c r="L55">
        <v>36</v>
      </c>
      <c r="M55">
        <v>96</v>
      </c>
      <c r="N55" s="8">
        <v>4.75</v>
      </c>
      <c r="O55">
        <v>31</v>
      </c>
      <c r="P55">
        <v>25</v>
      </c>
      <c r="Q55" s="3">
        <v>0.49</v>
      </c>
      <c r="R55">
        <f>Inventory_Table[[#This Row],[Stock_Quantity]]*Inventory_Table[[#This Row],[Unit_Price]]</f>
        <v>294.5</v>
      </c>
      <c r="S55">
        <f>Inventory_Table[[#This Row],[Sales_Volume]]*Inventory_Table[[#This Row],[Unit_Price]]</f>
        <v>147.25</v>
      </c>
      <c r="T55" t="str">
        <f>IF(Inventory_Table[[#This Row],[Stock_Quantity]]&lt;=Inventory_Table[[#This Row],[Reorder_Level]],"REORDER","OK")</f>
        <v>OK</v>
      </c>
      <c r="U55" t="s">
        <v>3838</v>
      </c>
      <c r="V55" s="14">
        <f ca="1">TODAY()-Inventory_Table[[#This Row],[Last_Order_Date]]</f>
        <v>784</v>
      </c>
    </row>
    <row r="56" spans="1:22" x14ac:dyDescent="0.35">
      <c r="A56" t="s">
        <v>228</v>
      </c>
      <c r="B56" t="s">
        <v>18</v>
      </c>
      <c r="C56" t="s">
        <v>357</v>
      </c>
      <c r="D56" t="s">
        <v>366</v>
      </c>
      <c r="E56" t="s">
        <v>30</v>
      </c>
      <c r="F56" t="s">
        <v>367</v>
      </c>
      <c r="G56" t="s">
        <v>368</v>
      </c>
      <c r="H56" s="1">
        <v>46086</v>
      </c>
      <c r="I56" s="6">
        <v>45379</v>
      </c>
      <c r="J56" s="6">
        <v>46087</v>
      </c>
      <c r="K56">
        <v>19</v>
      </c>
      <c r="L56">
        <v>36</v>
      </c>
      <c r="M56">
        <v>72</v>
      </c>
      <c r="N56" s="8">
        <v>1.75</v>
      </c>
      <c r="O56">
        <v>31</v>
      </c>
      <c r="P56">
        <v>81</v>
      </c>
      <c r="Q56" s="3">
        <v>0.19</v>
      </c>
      <c r="R56">
        <f>Inventory_Table[[#This Row],[Stock_Quantity]]*Inventory_Table[[#This Row],[Unit_Price]]</f>
        <v>33.25</v>
      </c>
      <c r="S56">
        <f>Inventory_Table[[#This Row],[Sales_Volume]]*Inventory_Table[[#This Row],[Unit_Price]]</f>
        <v>54.25</v>
      </c>
      <c r="T56" t="str">
        <f>IF(Inventory_Table[[#This Row],[Stock_Quantity]]&lt;=Inventory_Table[[#This Row],[Reorder_Level]],"REORDER","OK")</f>
        <v>REORDER</v>
      </c>
      <c r="U56" t="s">
        <v>3838</v>
      </c>
      <c r="V56" s="14">
        <f ca="1">TODAY()-Inventory_Table[[#This Row],[Last_Order_Date]]</f>
        <v>797</v>
      </c>
    </row>
    <row r="57" spans="1:22" x14ac:dyDescent="0.35">
      <c r="A57" t="s">
        <v>371</v>
      </c>
      <c r="B57" t="s">
        <v>75</v>
      </c>
      <c r="C57" t="s">
        <v>372</v>
      </c>
      <c r="D57" t="s">
        <v>373</v>
      </c>
      <c r="E57" t="s">
        <v>68</v>
      </c>
      <c r="F57" t="s">
        <v>374</v>
      </c>
      <c r="G57" t="s">
        <v>375</v>
      </c>
      <c r="H57" s="1">
        <v>46086</v>
      </c>
      <c r="I57" s="6">
        <v>45622</v>
      </c>
      <c r="J57" s="6">
        <v>46396</v>
      </c>
      <c r="K57">
        <v>29</v>
      </c>
      <c r="L57">
        <v>72</v>
      </c>
      <c r="M57">
        <v>96</v>
      </c>
      <c r="N57" s="8">
        <v>12</v>
      </c>
      <c r="O57">
        <v>85</v>
      </c>
      <c r="P57">
        <v>52</v>
      </c>
      <c r="Q57" s="3">
        <v>-1.61</v>
      </c>
      <c r="R57">
        <f>Inventory_Table[[#This Row],[Stock_Quantity]]*Inventory_Table[[#This Row],[Unit_Price]]</f>
        <v>348</v>
      </c>
      <c r="S57">
        <f>Inventory_Table[[#This Row],[Sales_Volume]]*Inventory_Table[[#This Row],[Unit_Price]]</f>
        <v>1020</v>
      </c>
      <c r="T57" t="str">
        <f>IF(Inventory_Table[[#This Row],[Stock_Quantity]]&lt;=Inventory_Table[[#This Row],[Reorder_Level]],"REORDER","OK")</f>
        <v>REORDER</v>
      </c>
      <c r="U57" t="s">
        <v>3836</v>
      </c>
      <c r="V57" s="14">
        <f ca="1">TODAY()-Inventory_Table[[#This Row],[Last_Order_Date]]</f>
        <v>554</v>
      </c>
    </row>
    <row r="58" spans="1:22" x14ac:dyDescent="0.35">
      <c r="A58" t="s">
        <v>376</v>
      </c>
      <c r="B58" t="s">
        <v>18</v>
      </c>
      <c r="C58" t="s">
        <v>377</v>
      </c>
      <c r="D58" t="s">
        <v>378</v>
      </c>
      <c r="E58" t="s">
        <v>21</v>
      </c>
      <c r="F58" t="s">
        <v>379</v>
      </c>
      <c r="G58" t="s">
        <v>380</v>
      </c>
      <c r="H58" s="1">
        <v>46086</v>
      </c>
      <c r="I58" s="6">
        <v>45569</v>
      </c>
      <c r="J58" s="6">
        <v>46348</v>
      </c>
      <c r="K58">
        <v>34</v>
      </c>
      <c r="L58">
        <v>29</v>
      </c>
      <c r="M58">
        <v>65</v>
      </c>
      <c r="N58" s="8">
        <v>2</v>
      </c>
      <c r="O58">
        <v>90</v>
      </c>
      <c r="P58">
        <v>23</v>
      </c>
      <c r="Q58" s="3">
        <v>0.39</v>
      </c>
      <c r="R58">
        <f>Inventory_Table[[#This Row],[Stock_Quantity]]*Inventory_Table[[#This Row],[Unit_Price]]</f>
        <v>68</v>
      </c>
      <c r="S58">
        <f>Inventory_Table[[#This Row],[Sales_Volume]]*Inventory_Table[[#This Row],[Unit_Price]]</f>
        <v>180</v>
      </c>
      <c r="T58" t="str">
        <f>IF(Inventory_Table[[#This Row],[Stock_Quantity]]&lt;=Inventory_Table[[#This Row],[Reorder_Level]],"REORDER","OK")</f>
        <v>OK</v>
      </c>
      <c r="U58" t="s">
        <v>3836</v>
      </c>
      <c r="V58" s="14">
        <f ca="1">TODAY()-Inventory_Table[[#This Row],[Last_Order_Date]]</f>
        <v>607</v>
      </c>
    </row>
    <row r="59" spans="1:22" x14ac:dyDescent="0.35">
      <c r="A59" t="s">
        <v>382</v>
      </c>
      <c r="B59" t="s">
        <v>36</v>
      </c>
      <c r="C59" t="s">
        <v>383</v>
      </c>
      <c r="D59" t="s">
        <v>384</v>
      </c>
      <c r="E59" t="s">
        <v>21</v>
      </c>
      <c r="F59" t="s">
        <v>385</v>
      </c>
      <c r="G59" t="s">
        <v>386</v>
      </c>
      <c r="H59" s="1">
        <v>46087</v>
      </c>
      <c r="I59" s="6">
        <v>45587</v>
      </c>
      <c r="J59" s="6">
        <v>46102</v>
      </c>
      <c r="K59">
        <v>92</v>
      </c>
      <c r="L59">
        <v>52</v>
      </c>
      <c r="M59">
        <v>80</v>
      </c>
      <c r="N59" s="8">
        <v>2.5</v>
      </c>
      <c r="O59">
        <v>72</v>
      </c>
      <c r="P59">
        <v>96</v>
      </c>
      <c r="Q59" s="3">
        <v>0.74</v>
      </c>
      <c r="R59">
        <f>Inventory_Table[[#This Row],[Stock_Quantity]]*Inventory_Table[[#This Row],[Unit_Price]]</f>
        <v>230</v>
      </c>
      <c r="S59">
        <f>Inventory_Table[[#This Row],[Sales_Volume]]*Inventory_Table[[#This Row],[Unit_Price]]</f>
        <v>180</v>
      </c>
      <c r="T59" t="str">
        <f>IF(Inventory_Table[[#This Row],[Stock_Quantity]]&lt;=Inventory_Table[[#This Row],[Reorder_Level]],"REORDER","OK")</f>
        <v>OK</v>
      </c>
      <c r="U59" t="s">
        <v>3838</v>
      </c>
      <c r="V59" s="14">
        <f ca="1">TODAY()-Inventory_Table[[#This Row],[Last_Order_Date]]</f>
        <v>589</v>
      </c>
    </row>
    <row r="60" spans="1:22" x14ac:dyDescent="0.35">
      <c r="A60" t="s">
        <v>388</v>
      </c>
      <c r="B60" t="s">
        <v>75</v>
      </c>
      <c r="C60" t="s">
        <v>389</v>
      </c>
      <c r="D60" t="s">
        <v>390</v>
      </c>
      <c r="E60" t="s">
        <v>21</v>
      </c>
      <c r="F60" t="s">
        <v>391</v>
      </c>
      <c r="G60" t="s">
        <v>392</v>
      </c>
      <c r="H60" s="1">
        <v>46087</v>
      </c>
      <c r="I60" s="6">
        <v>45561</v>
      </c>
      <c r="J60" s="6">
        <v>46221</v>
      </c>
      <c r="K60">
        <v>33</v>
      </c>
      <c r="L60">
        <v>18</v>
      </c>
      <c r="M60">
        <v>92</v>
      </c>
      <c r="N60" s="8">
        <v>6</v>
      </c>
      <c r="O60">
        <v>98</v>
      </c>
      <c r="P60">
        <v>56</v>
      </c>
      <c r="Q60" s="3">
        <v>-0.33</v>
      </c>
      <c r="R60">
        <f>Inventory_Table[[#This Row],[Stock_Quantity]]*Inventory_Table[[#This Row],[Unit_Price]]</f>
        <v>198</v>
      </c>
      <c r="S60">
        <f>Inventory_Table[[#This Row],[Sales_Volume]]*Inventory_Table[[#This Row],[Unit_Price]]</f>
        <v>588</v>
      </c>
      <c r="T60" t="str">
        <f>IF(Inventory_Table[[#This Row],[Stock_Quantity]]&lt;=Inventory_Table[[#This Row],[Reorder_Level]],"REORDER","OK")</f>
        <v>OK</v>
      </c>
      <c r="U60" t="s">
        <v>3836</v>
      </c>
      <c r="V60" s="14">
        <f ca="1">TODAY()-Inventory_Table[[#This Row],[Last_Order_Date]]</f>
        <v>615</v>
      </c>
    </row>
    <row r="61" spans="1:22" x14ac:dyDescent="0.35">
      <c r="A61" t="s">
        <v>194</v>
      </c>
      <c r="B61" t="s">
        <v>114</v>
      </c>
      <c r="C61" t="s">
        <v>394</v>
      </c>
      <c r="D61" t="s">
        <v>395</v>
      </c>
      <c r="E61" t="s">
        <v>30</v>
      </c>
      <c r="F61" t="s">
        <v>396</v>
      </c>
      <c r="G61" t="s">
        <v>397</v>
      </c>
      <c r="H61" s="1">
        <v>46087</v>
      </c>
      <c r="I61" s="6">
        <v>45673</v>
      </c>
      <c r="J61" s="6">
        <v>46239</v>
      </c>
      <c r="K61">
        <v>12</v>
      </c>
      <c r="L61">
        <v>59</v>
      </c>
      <c r="M61">
        <v>62</v>
      </c>
      <c r="N61" s="8">
        <v>4.5</v>
      </c>
      <c r="O61">
        <v>75</v>
      </c>
      <c r="P61">
        <v>92</v>
      </c>
      <c r="Q61" s="3">
        <v>0.43</v>
      </c>
      <c r="R61">
        <f>Inventory_Table[[#This Row],[Stock_Quantity]]*Inventory_Table[[#This Row],[Unit_Price]]</f>
        <v>54</v>
      </c>
      <c r="S61">
        <f>Inventory_Table[[#This Row],[Sales_Volume]]*Inventory_Table[[#This Row],[Unit_Price]]</f>
        <v>337.5</v>
      </c>
      <c r="T61" t="str">
        <f>IF(Inventory_Table[[#This Row],[Stock_Quantity]]&lt;=Inventory_Table[[#This Row],[Reorder_Level]],"REORDER","OK")</f>
        <v>REORDER</v>
      </c>
      <c r="U61" t="s">
        <v>3836</v>
      </c>
      <c r="V61" s="14">
        <f ca="1">TODAY()-Inventory_Table[[#This Row],[Last_Order_Date]]</f>
        <v>503</v>
      </c>
    </row>
    <row r="62" spans="1:22" x14ac:dyDescent="0.35">
      <c r="A62" t="s">
        <v>74</v>
      </c>
      <c r="B62" t="s">
        <v>75</v>
      </c>
      <c r="C62" t="s">
        <v>399</v>
      </c>
      <c r="D62" t="s">
        <v>400</v>
      </c>
      <c r="E62" t="s">
        <v>68</v>
      </c>
      <c r="F62" t="s">
        <v>401</v>
      </c>
      <c r="G62" t="s">
        <v>402</v>
      </c>
      <c r="H62" s="1">
        <v>46087</v>
      </c>
      <c r="I62" s="6">
        <v>45484</v>
      </c>
      <c r="J62" s="6">
        <v>46112</v>
      </c>
      <c r="K62">
        <v>83</v>
      </c>
      <c r="L62">
        <v>17</v>
      </c>
      <c r="M62">
        <v>39</v>
      </c>
      <c r="N62" s="8">
        <v>10</v>
      </c>
      <c r="O62">
        <v>33</v>
      </c>
      <c r="P62">
        <v>20</v>
      </c>
      <c r="Q62" s="3">
        <v>-0.23</v>
      </c>
      <c r="R62">
        <f>Inventory_Table[[#This Row],[Stock_Quantity]]*Inventory_Table[[#This Row],[Unit_Price]]</f>
        <v>830</v>
      </c>
      <c r="S62">
        <f>Inventory_Table[[#This Row],[Sales_Volume]]*Inventory_Table[[#This Row],[Unit_Price]]</f>
        <v>330</v>
      </c>
      <c r="T62" t="str">
        <f>IF(Inventory_Table[[#This Row],[Stock_Quantity]]&lt;=Inventory_Table[[#This Row],[Reorder_Level]],"REORDER","OK")</f>
        <v>OK</v>
      </c>
      <c r="U62" t="s">
        <v>3838</v>
      </c>
      <c r="V62" s="14">
        <f ca="1">TODAY()-Inventory_Table[[#This Row],[Last_Order_Date]]</f>
        <v>692</v>
      </c>
    </row>
    <row r="63" spans="1:22" x14ac:dyDescent="0.35">
      <c r="A63" t="s">
        <v>331</v>
      </c>
      <c r="B63" t="s">
        <v>27</v>
      </c>
      <c r="C63" t="s">
        <v>404</v>
      </c>
      <c r="D63" t="s">
        <v>405</v>
      </c>
      <c r="E63" t="s">
        <v>30</v>
      </c>
      <c r="F63" t="s">
        <v>406</v>
      </c>
      <c r="G63" t="s">
        <v>407</v>
      </c>
      <c r="H63" s="1">
        <v>46087</v>
      </c>
      <c r="I63" s="6">
        <v>45600</v>
      </c>
      <c r="J63" s="6">
        <v>46388</v>
      </c>
      <c r="K63">
        <v>21</v>
      </c>
      <c r="L63">
        <v>52</v>
      </c>
      <c r="M63">
        <v>80</v>
      </c>
      <c r="N63" s="8">
        <v>4</v>
      </c>
      <c r="O63">
        <v>49</v>
      </c>
      <c r="P63">
        <v>37</v>
      </c>
      <c r="Q63" s="3">
        <v>0.39</v>
      </c>
      <c r="R63">
        <f>Inventory_Table[[#This Row],[Stock_Quantity]]*Inventory_Table[[#This Row],[Unit_Price]]</f>
        <v>84</v>
      </c>
      <c r="S63">
        <f>Inventory_Table[[#This Row],[Sales_Volume]]*Inventory_Table[[#This Row],[Unit_Price]]</f>
        <v>196</v>
      </c>
      <c r="T63" t="str">
        <f>IF(Inventory_Table[[#This Row],[Stock_Quantity]]&lt;=Inventory_Table[[#This Row],[Reorder_Level]],"REORDER","OK")</f>
        <v>REORDER</v>
      </c>
      <c r="U63" t="s">
        <v>3836</v>
      </c>
      <c r="V63" s="14">
        <f ca="1">TODAY()-Inventory_Table[[#This Row],[Last_Order_Date]]</f>
        <v>576</v>
      </c>
    </row>
    <row r="64" spans="1:22" x14ac:dyDescent="0.35">
      <c r="A64" t="s">
        <v>408</v>
      </c>
      <c r="B64" t="s">
        <v>18</v>
      </c>
      <c r="C64" t="s">
        <v>409</v>
      </c>
      <c r="D64" t="s">
        <v>410</v>
      </c>
      <c r="E64" t="s">
        <v>30</v>
      </c>
      <c r="F64" t="s">
        <v>411</v>
      </c>
      <c r="G64" t="s">
        <v>412</v>
      </c>
      <c r="H64" s="1">
        <v>46088</v>
      </c>
      <c r="I64" s="6">
        <v>45576</v>
      </c>
      <c r="J64" s="6">
        <v>46300</v>
      </c>
      <c r="K64">
        <v>37</v>
      </c>
      <c r="L64">
        <v>30</v>
      </c>
      <c r="M64">
        <v>74</v>
      </c>
      <c r="N64" s="8">
        <v>4</v>
      </c>
      <c r="O64">
        <v>62</v>
      </c>
      <c r="P64">
        <v>25</v>
      </c>
      <c r="Q64" s="3">
        <v>0.24</v>
      </c>
      <c r="R64">
        <f>Inventory_Table[[#This Row],[Stock_Quantity]]*Inventory_Table[[#This Row],[Unit_Price]]</f>
        <v>148</v>
      </c>
      <c r="S64">
        <f>Inventory_Table[[#This Row],[Sales_Volume]]*Inventory_Table[[#This Row],[Unit_Price]]</f>
        <v>248</v>
      </c>
      <c r="T64" t="str">
        <f>IF(Inventory_Table[[#This Row],[Stock_Quantity]]&lt;=Inventory_Table[[#This Row],[Reorder_Level]],"REORDER","OK")</f>
        <v>OK</v>
      </c>
      <c r="U64" t="s">
        <v>3836</v>
      </c>
      <c r="V64" s="14">
        <f ca="1">TODAY()-Inventory_Table[[#This Row],[Last_Order_Date]]</f>
        <v>600</v>
      </c>
    </row>
    <row r="65" spans="1:22" x14ac:dyDescent="0.35">
      <c r="A65" t="s">
        <v>413</v>
      </c>
      <c r="B65" t="s">
        <v>65</v>
      </c>
      <c r="C65" t="s">
        <v>51</v>
      </c>
      <c r="D65" t="s">
        <v>414</v>
      </c>
      <c r="E65" t="s">
        <v>30</v>
      </c>
      <c r="F65" t="s">
        <v>415</v>
      </c>
      <c r="G65" t="s">
        <v>416</v>
      </c>
      <c r="H65" s="1">
        <v>46088</v>
      </c>
      <c r="I65" s="6">
        <v>45357</v>
      </c>
      <c r="J65" s="6">
        <v>46331</v>
      </c>
      <c r="K65">
        <v>77</v>
      </c>
      <c r="L65">
        <v>20</v>
      </c>
      <c r="M65">
        <v>37</v>
      </c>
      <c r="N65" s="8">
        <v>4.25</v>
      </c>
      <c r="O65">
        <v>42</v>
      </c>
      <c r="P65">
        <v>19</v>
      </c>
      <c r="Q65" s="3">
        <v>0.6</v>
      </c>
      <c r="R65">
        <f>Inventory_Table[[#This Row],[Stock_Quantity]]*Inventory_Table[[#This Row],[Unit_Price]]</f>
        <v>327.25</v>
      </c>
      <c r="S65">
        <f>Inventory_Table[[#This Row],[Sales_Volume]]*Inventory_Table[[#This Row],[Unit_Price]]</f>
        <v>178.5</v>
      </c>
      <c r="T65" t="str">
        <f>IF(Inventory_Table[[#This Row],[Stock_Quantity]]&lt;=Inventory_Table[[#This Row],[Reorder_Level]],"REORDER","OK")</f>
        <v>OK</v>
      </c>
      <c r="U65" t="s">
        <v>3836</v>
      </c>
      <c r="V65" s="14">
        <f ca="1">TODAY()-Inventory_Table[[#This Row],[Last_Order_Date]]</f>
        <v>819</v>
      </c>
    </row>
    <row r="66" spans="1:22" x14ac:dyDescent="0.35">
      <c r="A66" t="s">
        <v>418</v>
      </c>
      <c r="B66" t="s">
        <v>65</v>
      </c>
      <c r="C66" t="s">
        <v>213</v>
      </c>
      <c r="D66" t="s">
        <v>419</v>
      </c>
      <c r="E66" t="s">
        <v>30</v>
      </c>
      <c r="F66" t="s">
        <v>420</v>
      </c>
      <c r="G66" t="s">
        <v>421</v>
      </c>
      <c r="H66" s="1">
        <v>46089</v>
      </c>
      <c r="I66" s="6">
        <v>45453</v>
      </c>
      <c r="J66" s="6">
        <v>46287</v>
      </c>
      <c r="K66">
        <v>30</v>
      </c>
      <c r="L66">
        <v>38</v>
      </c>
      <c r="M66">
        <v>83</v>
      </c>
      <c r="N66" s="8">
        <v>6</v>
      </c>
      <c r="O66">
        <v>31</v>
      </c>
      <c r="P66">
        <v>34</v>
      </c>
      <c r="Q66" s="3">
        <v>0.55000000000000004</v>
      </c>
      <c r="R66">
        <f>Inventory_Table[[#This Row],[Stock_Quantity]]*Inventory_Table[[#This Row],[Unit_Price]]</f>
        <v>180</v>
      </c>
      <c r="S66">
        <f>Inventory_Table[[#This Row],[Sales_Volume]]*Inventory_Table[[#This Row],[Unit_Price]]</f>
        <v>186</v>
      </c>
      <c r="T66" t="str">
        <f>IF(Inventory_Table[[#This Row],[Stock_Quantity]]&lt;=Inventory_Table[[#This Row],[Reorder_Level]],"REORDER","OK")</f>
        <v>REORDER</v>
      </c>
      <c r="U66" t="s">
        <v>3836</v>
      </c>
      <c r="V66" s="14">
        <f ca="1">TODAY()-Inventory_Table[[#This Row],[Last_Order_Date]]</f>
        <v>723</v>
      </c>
    </row>
    <row r="67" spans="1:22" x14ac:dyDescent="0.35">
      <c r="A67" t="s">
        <v>423</v>
      </c>
      <c r="B67" t="s">
        <v>65</v>
      </c>
      <c r="C67" t="s">
        <v>424</v>
      </c>
      <c r="D67" t="s">
        <v>425</v>
      </c>
      <c r="E67" t="s">
        <v>21</v>
      </c>
      <c r="F67" t="s">
        <v>426</v>
      </c>
      <c r="G67" t="s">
        <v>427</v>
      </c>
      <c r="H67" s="1">
        <v>46089</v>
      </c>
      <c r="I67" s="6">
        <v>45520</v>
      </c>
      <c r="J67" s="6">
        <v>46144</v>
      </c>
      <c r="K67">
        <v>26</v>
      </c>
      <c r="L67">
        <v>21</v>
      </c>
      <c r="M67">
        <v>47</v>
      </c>
      <c r="N67" s="8">
        <v>10</v>
      </c>
      <c r="O67">
        <v>40</v>
      </c>
      <c r="P67">
        <v>59</v>
      </c>
      <c r="Q67" s="3">
        <v>-0.1</v>
      </c>
      <c r="R67">
        <f>Inventory_Table[[#This Row],[Stock_Quantity]]*Inventory_Table[[#This Row],[Unit_Price]]</f>
        <v>260</v>
      </c>
      <c r="S67">
        <f>Inventory_Table[[#This Row],[Sales_Volume]]*Inventory_Table[[#This Row],[Unit_Price]]</f>
        <v>400</v>
      </c>
      <c r="T67" t="str">
        <f>IF(Inventory_Table[[#This Row],[Stock_Quantity]]&lt;=Inventory_Table[[#This Row],[Reorder_Level]],"REORDER","OK")</f>
        <v>OK</v>
      </c>
      <c r="U67" t="s">
        <v>3838</v>
      </c>
      <c r="V67" s="14">
        <f ca="1">TODAY()-Inventory_Table[[#This Row],[Last_Order_Date]]</f>
        <v>656</v>
      </c>
    </row>
    <row r="68" spans="1:22" x14ac:dyDescent="0.35">
      <c r="A68" t="s">
        <v>423</v>
      </c>
      <c r="B68" t="s">
        <v>65</v>
      </c>
      <c r="C68" t="s">
        <v>429</v>
      </c>
      <c r="D68" t="s">
        <v>430</v>
      </c>
      <c r="E68" t="s">
        <v>30</v>
      </c>
      <c r="F68" t="s">
        <v>431</v>
      </c>
      <c r="G68" t="s">
        <v>432</v>
      </c>
      <c r="H68" s="1">
        <v>46089</v>
      </c>
      <c r="I68" s="6">
        <v>45482</v>
      </c>
      <c r="J68" s="6">
        <v>46293</v>
      </c>
      <c r="K68">
        <v>72</v>
      </c>
      <c r="L68">
        <v>82</v>
      </c>
      <c r="M68">
        <v>52</v>
      </c>
      <c r="N68" s="8">
        <v>9.75</v>
      </c>
      <c r="O68">
        <v>51</v>
      </c>
      <c r="P68">
        <v>95</v>
      </c>
      <c r="Q68" s="3">
        <v>-0.48</v>
      </c>
      <c r="R68">
        <f>Inventory_Table[[#This Row],[Stock_Quantity]]*Inventory_Table[[#This Row],[Unit_Price]]</f>
        <v>702</v>
      </c>
      <c r="S68">
        <f>Inventory_Table[[#This Row],[Sales_Volume]]*Inventory_Table[[#This Row],[Unit_Price]]</f>
        <v>497.25</v>
      </c>
      <c r="T68" t="str">
        <f>IF(Inventory_Table[[#This Row],[Stock_Quantity]]&lt;=Inventory_Table[[#This Row],[Reorder_Level]],"REORDER","OK")</f>
        <v>REORDER</v>
      </c>
      <c r="U68" t="s">
        <v>3836</v>
      </c>
      <c r="V68" s="14">
        <f ca="1">TODAY()-Inventory_Table[[#This Row],[Last_Order_Date]]</f>
        <v>694</v>
      </c>
    </row>
    <row r="69" spans="1:22" x14ac:dyDescent="0.35">
      <c r="A69" t="s">
        <v>435</v>
      </c>
      <c r="B69" t="s">
        <v>18</v>
      </c>
      <c r="C69" t="s">
        <v>436</v>
      </c>
      <c r="D69" t="s">
        <v>437</v>
      </c>
      <c r="E69" t="s">
        <v>68</v>
      </c>
      <c r="F69" t="s">
        <v>438</v>
      </c>
      <c r="G69" t="s">
        <v>439</v>
      </c>
      <c r="H69" s="1">
        <v>46090</v>
      </c>
      <c r="I69" s="6">
        <v>45568</v>
      </c>
      <c r="J69" s="6">
        <v>46234</v>
      </c>
      <c r="K69">
        <v>59</v>
      </c>
      <c r="L69">
        <v>79</v>
      </c>
      <c r="M69">
        <v>87</v>
      </c>
      <c r="N69" s="8">
        <v>6</v>
      </c>
      <c r="O69">
        <v>47</v>
      </c>
      <c r="P69">
        <v>18</v>
      </c>
      <c r="Q69" s="3">
        <v>-0.86</v>
      </c>
      <c r="R69">
        <f>Inventory_Table[[#This Row],[Stock_Quantity]]*Inventory_Table[[#This Row],[Unit_Price]]</f>
        <v>354</v>
      </c>
      <c r="S69">
        <f>Inventory_Table[[#This Row],[Sales_Volume]]*Inventory_Table[[#This Row],[Unit_Price]]</f>
        <v>282</v>
      </c>
      <c r="T69" t="str">
        <f>IF(Inventory_Table[[#This Row],[Stock_Quantity]]&lt;=Inventory_Table[[#This Row],[Reorder_Level]],"REORDER","OK")</f>
        <v>REORDER</v>
      </c>
      <c r="U69" t="s">
        <v>3836</v>
      </c>
      <c r="V69" s="14">
        <f ca="1">TODAY()-Inventory_Table[[#This Row],[Last_Order_Date]]</f>
        <v>608</v>
      </c>
    </row>
    <row r="70" spans="1:22" x14ac:dyDescent="0.35">
      <c r="A70" t="s">
        <v>418</v>
      </c>
      <c r="B70" t="s">
        <v>65</v>
      </c>
      <c r="C70" t="s">
        <v>440</v>
      </c>
      <c r="D70" t="s">
        <v>441</v>
      </c>
      <c r="E70" t="s">
        <v>21</v>
      </c>
      <c r="F70" t="s">
        <v>442</v>
      </c>
      <c r="G70" t="s">
        <v>443</v>
      </c>
      <c r="H70" s="1">
        <v>46091</v>
      </c>
      <c r="I70" s="6">
        <v>45632</v>
      </c>
      <c r="J70" s="6">
        <v>46402</v>
      </c>
      <c r="K70">
        <v>34</v>
      </c>
      <c r="L70">
        <v>96</v>
      </c>
      <c r="M70">
        <v>76</v>
      </c>
      <c r="N70" s="8">
        <v>6.15</v>
      </c>
      <c r="O70">
        <v>90</v>
      </c>
      <c r="P70">
        <v>34</v>
      </c>
      <c r="Q70" s="3">
        <v>0.62</v>
      </c>
      <c r="R70">
        <f>Inventory_Table[[#This Row],[Stock_Quantity]]*Inventory_Table[[#This Row],[Unit_Price]]</f>
        <v>209.10000000000002</v>
      </c>
      <c r="S70">
        <f>Inventory_Table[[#This Row],[Sales_Volume]]*Inventory_Table[[#This Row],[Unit_Price]]</f>
        <v>553.5</v>
      </c>
      <c r="T70" t="str">
        <f>IF(Inventory_Table[[#This Row],[Stock_Quantity]]&lt;=Inventory_Table[[#This Row],[Reorder_Level]],"REORDER","OK")</f>
        <v>REORDER</v>
      </c>
      <c r="U70" t="s">
        <v>3836</v>
      </c>
      <c r="V70" s="14">
        <f ca="1">TODAY()-Inventory_Table[[#This Row],[Last_Order_Date]]</f>
        <v>544</v>
      </c>
    </row>
    <row r="71" spans="1:22" x14ac:dyDescent="0.35">
      <c r="A71" t="s">
        <v>382</v>
      </c>
      <c r="B71" t="s">
        <v>36</v>
      </c>
      <c r="C71" t="s">
        <v>446</v>
      </c>
      <c r="D71" t="s">
        <v>447</v>
      </c>
      <c r="E71" t="s">
        <v>68</v>
      </c>
      <c r="F71" t="s">
        <v>448</v>
      </c>
      <c r="G71" t="s">
        <v>449</v>
      </c>
      <c r="H71" s="1">
        <v>46091</v>
      </c>
      <c r="I71" s="6">
        <v>45636</v>
      </c>
      <c r="J71" s="6">
        <v>46260</v>
      </c>
      <c r="K71">
        <v>82</v>
      </c>
      <c r="L71">
        <v>3</v>
      </c>
      <c r="M71">
        <v>82</v>
      </c>
      <c r="N71" s="8">
        <v>2.4</v>
      </c>
      <c r="O71">
        <v>48</v>
      </c>
      <c r="P71">
        <v>31</v>
      </c>
      <c r="Q71" s="3">
        <v>0.62</v>
      </c>
      <c r="R71">
        <f>Inventory_Table[[#This Row],[Stock_Quantity]]*Inventory_Table[[#This Row],[Unit_Price]]</f>
        <v>196.79999999999998</v>
      </c>
      <c r="S71">
        <f>Inventory_Table[[#This Row],[Sales_Volume]]*Inventory_Table[[#This Row],[Unit_Price]]</f>
        <v>115.19999999999999</v>
      </c>
      <c r="T71" t="str">
        <f>IF(Inventory_Table[[#This Row],[Stock_Quantity]]&lt;=Inventory_Table[[#This Row],[Reorder_Level]],"REORDER","OK")</f>
        <v>OK</v>
      </c>
      <c r="U71" t="s">
        <v>3836</v>
      </c>
      <c r="V71" s="14">
        <f ca="1">TODAY()-Inventory_Table[[#This Row],[Last_Order_Date]]</f>
        <v>540</v>
      </c>
    </row>
    <row r="72" spans="1:22" x14ac:dyDescent="0.35">
      <c r="A72" t="s">
        <v>450</v>
      </c>
      <c r="B72" t="s">
        <v>18</v>
      </c>
      <c r="C72" t="s">
        <v>451</v>
      </c>
      <c r="D72" t="s">
        <v>452</v>
      </c>
      <c r="E72" t="s">
        <v>68</v>
      </c>
      <c r="F72" t="s">
        <v>453</v>
      </c>
      <c r="G72" t="s">
        <v>454</v>
      </c>
      <c r="H72" s="1">
        <v>46091</v>
      </c>
      <c r="I72" s="6">
        <v>45589</v>
      </c>
      <c r="J72" s="6">
        <v>46327</v>
      </c>
      <c r="K72">
        <v>94</v>
      </c>
      <c r="L72">
        <v>90</v>
      </c>
      <c r="M72">
        <v>12</v>
      </c>
      <c r="N72" s="8">
        <v>0.9</v>
      </c>
      <c r="O72">
        <v>98</v>
      </c>
      <c r="P72">
        <v>71</v>
      </c>
      <c r="Q72" s="3">
        <v>0.35</v>
      </c>
      <c r="R72">
        <f>Inventory_Table[[#This Row],[Stock_Quantity]]*Inventory_Table[[#This Row],[Unit_Price]]</f>
        <v>84.600000000000009</v>
      </c>
      <c r="S72">
        <f>Inventory_Table[[#This Row],[Sales_Volume]]*Inventory_Table[[#This Row],[Unit_Price]]</f>
        <v>88.2</v>
      </c>
      <c r="T72" t="str">
        <f>IF(Inventory_Table[[#This Row],[Stock_Quantity]]&lt;=Inventory_Table[[#This Row],[Reorder_Level]],"REORDER","OK")</f>
        <v>OK</v>
      </c>
      <c r="U72" t="s">
        <v>3836</v>
      </c>
      <c r="V72" s="14">
        <f ca="1">TODAY()-Inventory_Table[[#This Row],[Last_Order_Date]]</f>
        <v>587</v>
      </c>
    </row>
    <row r="73" spans="1:22" x14ac:dyDescent="0.35">
      <c r="A73" t="s">
        <v>194</v>
      </c>
      <c r="B73" t="s">
        <v>114</v>
      </c>
      <c r="C73" t="s">
        <v>456</v>
      </c>
      <c r="D73" t="s">
        <v>457</v>
      </c>
      <c r="E73" t="s">
        <v>68</v>
      </c>
      <c r="F73" t="s">
        <v>458</v>
      </c>
      <c r="G73" t="s">
        <v>459</v>
      </c>
      <c r="H73" s="1">
        <v>46092</v>
      </c>
      <c r="I73" s="6">
        <v>45453</v>
      </c>
      <c r="J73" s="6">
        <v>46352</v>
      </c>
      <c r="K73">
        <v>59</v>
      </c>
      <c r="L73">
        <v>78</v>
      </c>
      <c r="M73">
        <v>6</v>
      </c>
      <c r="N73" s="8">
        <v>4.5</v>
      </c>
      <c r="O73">
        <v>32</v>
      </c>
      <c r="P73">
        <v>3</v>
      </c>
      <c r="Q73" s="3">
        <v>0.28000000000000003</v>
      </c>
      <c r="R73">
        <f>Inventory_Table[[#This Row],[Stock_Quantity]]*Inventory_Table[[#This Row],[Unit_Price]]</f>
        <v>265.5</v>
      </c>
      <c r="S73">
        <f>Inventory_Table[[#This Row],[Sales_Volume]]*Inventory_Table[[#This Row],[Unit_Price]]</f>
        <v>144</v>
      </c>
      <c r="T73" t="str">
        <f>IF(Inventory_Table[[#This Row],[Stock_Quantity]]&lt;=Inventory_Table[[#This Row],[Reorder_Level]],"REORDER","OK")</f>
        <v>REORDER</v>
      </c>
      <c r="U73" t="s">
        <v>3836</v>
      </c>
      <c r="V73" s="14">
        <f ca="1">TODAY()-Inventory_Table[[#This Row],[Last_Order_Date]]</f>
        <v>723</v>
      </c>
    </row>
    <row r="74" spans="1:22" x14ac:dyDescent="0.35">
      <c r="A74" t="s">
        <v>43</v>
      </c>
      <c r="B74" t="s">
        <v>18</v>
      </c>
      <c r="C74" t="s">
        <v>460</v>
      </c>
      <c r="D74" t="s">
        <v>461</v>
      </c>
      <c r="E74" t="s">
        <v>68</v>
      </c>
      <c r="F74" t="s">
        <v>462</v>
      </c>
      <c r="G74" t="s">
        <v>463</v>
      </c>
      <c r="H74" s="1">
        <v>46092</v>
      </c>
      <c r="I74" s="6">
        <v>45534</v>
      </c>
      <c r="J74" s="6">
        <v>46437</v>
      </c>
      <c r="K74">
        <v>18</v>
      </c>
      <c r="L74">
        <v>50</v>
      </c>
      <c r="M74">
        <v>77</v>
      </c>
      <c r="N74" s="8">
        <v>1.45</v>
      </c>
      <c r="O74">
        <v>44</v>
      </c>
      <c r="P74">
        <v>19</v>
      </c>
      <c r="Q74" s="3">
        <v>0.91</v>
      </c>
      <c r="R74">
        <f>Inventory_Table[[#This Row],[Stock_Quantity]]*Inventory_Table[[#This Row],[Unit_Price]]</f>
        <v>26.099999999999998</v>
      </c>
      <c r="S74">
        <f>Inventory_Table[[#This Row],[Sales_Volume]]*Inventory_Table[[#This Row],[Unit_Price]]</f>
        <v>63.8</v>
      </c>
      <c r="T74" t="str">
        <f>IF(Inventory_Table[[#This Row],[Stock_Quantity]]&lt;=Inventory_Table[[#This Row],[Reorder_Level]],"REORDER","OK")</f>
        <v>REORDER</v>
      </c>
      <c r="U74" t="s">
        <v>3836</v>
      </c>
      <c r="V74" s="14">
        <f ca="1">TODAY()-Inventory_Table[[#This Row],[Last_Order_Date]]</f>
        <v>642</v>
      </c>
    </row>
    <row r="75" spans="1:22" x14ac:dyDescent="0.35">
      <c r="A75" t="s">
        <v>467</v>
      </c>
      <c r="B75" t="s">
        <v>65</v>
      </c>
      <c r="C75" t="s">
        <v>155</v>
      </c>
      <c r="D75" t="s">
        <v>468</v>
      </c>
      <c r="E75" t="s">
        <v>21</v>
      </c>
      <c r="F75" t="s">
        <v>469</v>
      </c>
      <c r="G75" t="s">
        <v>470</v>
      </c>
      <c r="H75" s="1">
        <v>46093</v>
      </c>
      <c r="I75" s="6">
        <v>45438</v>
      </c>
      <c r="J75" s="6">
        <v>46270</v>
      </c>
      <c r="K75">
        <v>55</v>
      </c>
      <c r="L75">
        <v>33</v>
      </c>
      <c r="M75">
        <v>14</v>
      </c>
      <c r="N75" s="8">
        <v>1.75</v>
      </c>
      <c r="O75">
        <v>34</v>
      </c>
      <c r="P75">
        <v>62</v>
      </c>
      <c r="Q75" s="3">
        <v>0.56999999999999995</v>
      </c>
      <c r="R75">
        <f>Inventory_Table[[#This Row],[Stock_Quantity]]*Inventory_Table[[#This Row],[Unit_Price]]</f>
        <v>96.25</v>
      </c>
      <c r="S75">
        <f>Inventory_Table[[#This Row],[Sales_Volume]]*Inventory_Table[[#This Row],[Unit_Price]]</f>
        <v>59.5</v>
      </c>
      <c r="T75" t="str">
        <f>IF(Inventory_Table[[#This Row],[Stock_Quantity]]&lt;=Inventory_Table[[#This Row],[Reorder_Level]],"REORDER","OK")</f>
        <v>OK</v>
      </c>
      <c r="U75" t="s">
        <v>3836</v>
      </c>
      <c r="V75" s="14">
        <f ca="1">TODAY()-Inventory_Table[[#This Row],[Last_Order_Date]]</f>
        <v>738</v>
      </c>
    </row>
    <row r="76" spans="1:22" x14ac:dyDescent="0.35">
      <c r="A76" t="s">
        <v>96</v>
      </c>
      <c r="B76" t="s">
        <v>36</v>
      </c>
      <c r="C76" t="s">
        <v>471</v>
      </c>
      <c r="D76" t="s">
        <v>472</v>
      </c>
      <c r="E76" t="s">
        <v>30</v>
      </c>
      <c r="F76" t="s">
        <v>473</v>
      </c>
      <c r="G76" t="s">
        <v>474</v>
      </c>
      <c r="H76" s="1">
        <v>46093</v>
      </c>
      <c r="I76" s="6">
        <v>45582</v>
      </c>
      <c r="J76" s="6">
        <v>46087</v>
      </c>
      <c r="K76">
        <v>31</v>
      </c>
      <c r="L76">
        <v>65</v>
      </c>
      <c r="M76">
        <v>94</v>
      </c>
      <c r="N76" s="8">
        <v>9</v>
      </c>
      <c r="O76">
        <v>63</v>
      </c>
      <c r="P76">
        <v>7</v>
      </c>
      <c r="Q76" s="3">
        <v>-0.82</v>
      </c>
      <c r="R76">
        <f>Inventory_Table[[#This Row],[Stock_Quantity]]*Inventory_Table[[#This Row],[Unit_Price]]</f>
        <v>279</v>
      </c>
      <c r="S76">
        <f>Inventory_Table[[#This Row],[Sales_Volume]]*Inventory_Table[[#This Row],[Unit_Price]]</f>
        <v>567</v>
      </c>
      <c r="T76" t="str">
        <f>IF(Inventory_Table[[#This Row],[Stock_Quantity]]&lt;=Inventory_Table[[#This Row],[Reorder_Level]],"REORDER","OK")</f>
        <v>REORDER</v>
      </c>
      <c r="U76" t="s">
        <v>3838</v>
      </c>
      <c r="V76" s="14">
        <f ca="1">TODAY()-Inventory_Table[[#This Row],[Last_Order_Date]]</f>
        <v>594</v>
      </c>
    </row>
    <row r="77" spans="1:22" x14ac:dyDescent="0.35">
      <c r="A77" t="s">
        <v>200</v>
      </c>
      <c r="B77" t="s">
        <v>163</v>
      </c>
      <c r="C77" t="s">
        <v>475</v>
      </c>
      <c r="D77" t="s">
        <v>476</v>
      </c>
      <c r="E77" t="s">
        <v>21</v>
      </c>
      <c r="F77" t="s">
        <v>477</v>
      </c>
      <c r="G77" t="s">
        <v>478</v>
      </c>
      <c r="H77" s="1">
        <v>46115</v>
      </c>
      <c r="I77" s="6">
        <v>45485</v>
      </c>
      <c r="J77" s="6">
        <v>46108</v>
      </c>
      <c r="K77">
        <v>27</v>
      </c>
      <c r="L77">
        <v>12</v>
      </c>
      <c r="M77">
        <v>93</v>
      </c>
      <c r="N77" s="8">
        <v>12</v>
      </c>
      <c r="O77">
        <v>88</v>
      </c>
      <c r="P77">
        <v>83</v>
      </c>
      <c r="Q77" s="3">
        <v>0.89</v>
      </c>
      <c r="R77">
        <f>Inventory_Table[[#This Row],[Stock_Quantity]]*Inventory_Table[[#This Row],[Unit_Price]]</f>
        <v>324</v>
      </c>
      <c r="S77">
        <f>Inventory_Table[[#This Row],[Sales_Volume]]*Inventory_Table[[#This Row],[Unit_Price]]</f>
        <v>1056</v>
      </c>
      <c r="T77" t="str">
        <f>IF(Inventory_Table[[#This Row],[Stock_Quantity]]&lt;=Inventory_Table[[#This Row],[Reorder_Level]],"REORDER","OK")</f>
        <v>OK</v>
      </c>
      <c r="U77" t="s">
        <v>3838</v>
      </c>
      <c r="V77" s="14">
        <f ca="1">TODAY()-Inventory_Table[[#This Row],[Last_Order_Date]]</f>
        <v>691</v>
      </c>
    </row>
    <row r="78" spans="1:22" x14ac:dyDescent="0.35">
      <c r="A78" t="s">
        <v>480</v>
      </c>
      <c r="B78" t="s">
        <v>36</v>
      </c>
      <c r="C78" t="s">
        <v>481</v>
      </c>
      <c r="D78" t="s">
        <v>482</v>
      </c>
      <c r="E78" t="s">
        <v>68</v>
      </c>
      <c r="F78" t="s">
        <v>483</v>
      </c>
      <c r="G78" t="s">
        <v>484</v>
      </c>
      <c r="H78" s="1">
        <v>46115</v>
      </c>
      <c r="I78" s="6">
        <v>45636</v>
      </c>
      <c r="J78" s="6">
        <v>46273</v>
      </c>
      <c r="K78">
        <v>76</v>
      </c>
      <c r="L78">
        <v>81</v>
      </c>
      <c r="M78">
        <v>85</v>
      </c>
      <c r="N78" s="8">
        <v>4</v>
      </c>
      <c r="O78">
        <v>65</v>
      </c>
      <c r="P78">
        <v>68</v>
      </c>
      <c r="Q78" s="3">
        <v>0.06</v>
      </c>
      <c r="R78">
        <f>Inventory_Table[[#This Row],[Stock_Quantity]]*Inventory_Table[[#This Row],[Unit_Price]]</f>
        <v>304</v>
      </c>
      <c r="S78">
        <f>Inventory_Table[[#This Row],[Sales_Volume]]*Inventory_Table[[#This Row],[Unit_Price]]</f>
        <v>260</v>
      </c>
      <c r="T78" t="str">
        <f>IF(Inventory_Table[[#This Row],[Stock_Quantity]]&lt;=Inventory_Table[[#This Row],[Reorder_Level]],"REORDER","OK")</f>
        <v>REORDER</v>
      </c>
      <c r="U78" t="s">
        <v>3836</v>
      </c>
      <c r="V78" s="14">
        <f ca="1">TODAY()-Inventory_Table[[#This Row],[Last_Order_Date]]</f>
        <v>540</v>
      </c>
    </row>
    <row r="79" spans="1:22" x14ac:dyDescent="0.35">
      <c r="A79" t="s">
        <v>408</v>
      </c>
      <c r="B79" t="s">
        <v>18</v>
      </c>
      <c r="C79" t="s">
        <v>399</v>
      </c>
      <c r="D79" t="s">
        <v>485</v>
      </c>
      <c r="E79" t="s">
        <v>21</v>
      </c>
      <c r="F79" t="s">
        <v>486</v>
      </c>
      <c r="G79" t="s">
        <v>487</v>
      </c>
      <c r="H79" s="1">
        <v>46115</v>
      </c>
      <c r="I79" s="6">
        <v>45458</v>
      </c>
      <c r="J79" s="6">
        <v>46197</v>
      </c>
      <c r="K79">
        <v>40</v>
      </c>
      <c r="L79">
        <v>3</v>
      </c>
      <c r="M79">
        <v>5</v>
      </c>
      <c r="N79" s="8">
        <v>4</v>
      </c>
      <c r="O79">
        <v>45</v>
      </c>
      <c r="P79">
        <v>69</v>
      </c>
      <c r="Q79" s="3">
        <v>-0.05</v>
      </c>
      <c r="R79">
        <f>Inventory_Table[[#This Row],[Stock_Quantity]]*Inventory_Table[[#This Row],[Unit_Price]]</f>
        <v>160</v>
      </c>
      <c r="S79">
        <f>Inventory_Table[[#This Row],[Sales_Volume]]*Inventory_Table[[#This Row],[Unit_Price]]</f>
        <v>180</v>
      </c>
      <c r="T79" t="str">
        <f>IF(Inventory_Table[[#This Row],[Stock_Quantity]]&lt;=Inventory_Table[[#This Row],[Reorder_Level]],"REORDER","OK")</f>
        <v>OK</v>
      </c>
      <c r="U79" t="s">
        <v>3837</v>
      </c>
      <c r="V79" s="14">
        <f ca="1">TODAY()-Inventory_Table[[#This Row],[Last_Order_Date]]</f>
        <v>718</v>
      </c>
    </row>
    <row r="80" spans="1:22" x14ac:dyDescent="0.35">
      <c r="A80" t="s">
        <v>356</v>
      </c>
      <c r="B80" t="s">
        <v>18</v>
      </c>
      <c r="C80" t="s">
        <v>490</v>
      </c>
      <c r="D80" t="s">
        <v>491</v>
      </c>
      <c r="E80" t="s">
        <v>68</v>
      </c>
      <c r="F80" t="s">
        <v>492</v>
      </c>
      <c r="G80" t="s">
        <v>493</v>
      </c>
      <c r="H80" s="1">
        <v>46116</v>
      </c>
      <c r="I80" s="6">
        <v>45523</v>
      </c>
      <c r="J80" s="6">
        <v>46200</v>
      </c>
      <c r="K80">
        <v>68</v>
      </c>
      <c r="L80">
        <v>25</v>
      </c>
      <c r="M80">
        <v>16</v>
      </c>
      <c r="N80" s="8">
        <v>3.5</v>
      </c>
      <c r="O80">
        <v>25</v>
      </c>
      <c r="P80">
        <v>83</v>
      </c>
      <c r="Q80" s="3">
        <v>-0.53</v>
      </c>
      <c r="R80">
        <f>Inventory_Table[[#This Row],[Stock_Quantity]]*Inventory_Table[[#This Row],[Unit_Price]]</f>
        <v>238</v>
      </c>
      <c r="S80">
        <f>Inventory_Table[[#This Row],[Sales_Volume]]*Inventory_Table[[#This Row],[Unit_Price]]</f>
        <v>87.5</v>
      </c>
      <c r="T80" t="str">
        <f>IF(Inventory_Table[[#This Row],[Stock_Quantity]]&lt;=Inventory_Table[[#This Row],[Reorder_Level]],"REORDER","OK")</f>
        <v>OK</v>
      </c>
      <c r="U80" t="s">
        <v>3837</v>
      </c>
      <c r="V80" s="14">
        <f ca="1">TODAY()-Inventory_Table[[#This Row],[Last_Order_Date]]</f>
        <v>653</v>
      </c>
    </row>
    <row r="81" spans="1:22" x14ac:dyDescent="0.35">
      <c r="A81" t="s">
        <v>496</v>
      </c>
      <c r="B81" t="s">
        <v>18</v>
      </c>
      <c r="C81" t="s">
        <v>497</v>
      </c>
      <c r="D81" t="s">
        <v>498</v>
      </c>
      <c r="E81" t="s">
        <v>21</v>
      </c>
      <c r="F81" t="s">
        <v>499</v>
      </c>
      <c r="G81" t="s">
        <v>500</v>
      </c>
      <c r="H81" s="1">
        <v>46116</v>
      </c>
      <c r="I81" s="6">
        <v>45625</v>
      </c>
      <c r="J81" s="6">
        <v>46388</v>
      </c>
      <c r="K81">
        <v>59</v>
      </c>
      <c r="L81">
        <v>29</v>
      </c>
      <c r="M81">
        <v>100</v>
      </c>
      <c r="N81" s="8">
        <v>5.5</v>
      </c>
      <c r="O81">
        <v>74</v>
      </c>
      <c r="P81">
        <v>16</v>
      </c>
      <c r="Q81" s="3">
        <v>-2.3199999999999998</v>
      </c>
      <c r="R81">
        <f>Inventory_Table[[#This Row],[Stock_Quantity]]*Inventory_Table[[#This Row],[Unit_Price]]</f>
        <v>324.5</v>
      </c>
      <c r="S81">
        <f>Inventory_Table[[#This Row],[Sales_Volume]]*Inventory_Table[[#This Row],[Unit_Price]]</f>
        <v>407</v>
      </c>
      <c r="T81" t="str">
        <f>IF(Inventory_Table[[#This Row],[Stock_Quantity]]&lt;=Inventory_Table[[#This Row],[Reorder_Level]],"REORDER","OK")</f>
        <v>OK</v>
      </c>
      <c r="U81" t="s">
        <v>3836</v>
      </c>
      <c r="V81" s="14">
        <f ca="1">TODAY()-Inventory_Table[[#This Row],[Last_Order_Date]]</f>
        <v>551</v>
      </c>
    </row>
    <row r="82" spans="1:22" x14ac:dyDescent="0.35">
      <c r="A82" t="s">
        <v>503</v>
      </c>
      <c r="B82" t="s">
        <v>27</v>
      </c>
      <c r="C82" t="s">
        <v>504</v>
      </c>
      <c r="D82" t="s">
        <v>505</v>
      </c>
      <c r="E82" t="s">
        <v>30</v>
      </c>
      <c r="F82" t="s">
        <v>506</v>
      </c>
      <c r="G82" t="s">
        <v>507</v>
      </c>
      <c r="H82" s="1">
        <v>46117</v>
      </c>
      <c r="I82" s="6">
        <v>45467</v>
      </c>
      <c r="J82" s="6">
        <v>46357</v>
      </c>
      <c r="K82">
        <v>24</v>
      </c>
      <c r="L82">
        <v>35</v>
      </c>
      <c r="M82">
        <v>14</v>
      </c>
      <c r="N82" s="8">
        <v>2.5</v>
      </c>
      <c r="O82">
        <v>91</v>
      </c>
      <c r="P82">
        <v>71</v>
      </c>
      <c r="Q82" s="3">
        <v>0.78</v>
      </c>
      <c r="R82">
        <f>Inventory_Table[[#This Row],[Stock_Quantity]]*Inventory_Table[[#This Row],[Unit_Price]]</f>
        <v>60</v>
      </c>
      <c r="S82">
        <f>Inventory_Table[[#This Row],[Sales_Volume]]*Inventory_Table[[#This Row],[Unit_Price]]</f>
        <v>227.5</v>
      </c>
      <c r="T82" t="str">
        <f>IF(Inventory_Table[[#This Row],[Stock_Quantity]]&lt;=Inventory_Table[[#This Row],[Reorder_Level]],"REORDER","OK")</f>
        <v>REORDER</v>
      </c>
      <c r="U82" t="s">
        <v>3836</v>
      </c>
      <c r="V82" s="14">
        <f ca="1">TODAY()-Inventory_Table[[#This Row],[Last_Order_Date]]</f>
        <v>709</v>
      </c>
    </row>
    <row r="83" spans="1:22" x14ac:dyDescent="0.35">
      <c r="A83" t="s">
        <v>58</v>
      </c>
      <c r="B83" t="s">
        <v>18</v>
      </c>
      <c r="C83" t="s">
        <v>241</v>
      </c>
      <c r="D83" t="s">
        <v>508</v>
      </c>
      <c r="E83" t="s">
        <v>21</v>
      </c>
      <c r="F83" t="s">
        <v>509</v>
      </c>
      <c r="G83" t="s">
        <v>510</v>
      </c>
      <c r="H83" s="1">
        <v>46117</v>
      </c>
      <c r="I83" s="6">
        <v>45376</v>
      </c>
      <c r="J83" s="6">
        <v>46084</v>
      </c>
      <c r="K83">
        <v>59</v>
      </c>
      <c r="L83">
        <v>82</v>
      </c>
      <c r="M83">
        <v>69</v>
      </c>
      <c r="N83" s="8">
        <v>2.4500000000000002</v>
      </c>
      <c r="O83">
        <v>30</v>
      </c>
      <c r="P83">
        <v>34</v>
      </c>
      <c r="Q83" s="3">
        <v>0.22</v>
      </c>
      <c r="R83">
        <f>Inventory_Table[[#This Row],[Stock_Quantity]]*Inventory_Table[[#This Row],[Unit_Price]]</f>
        <v>144.55000000000001</v>
      </c>
      <c r="S83">
        <f>Inventory_Table[[#This Row],[Sales_Volume]]*Inventory_Table[[#This Row],[Unit_Price]]</f>
        <v>73.5</v>
      </c>
      <c r="T83" t="str">
        <f>IF(Inventory_Table[[#This Row],[Stock_Quantity]]&lt;=Inventory_Table[[#This Row],[Reorder_Level]],"REORDER","OK")</f>
        <v>REORDER</v>
      </c>
      <c r="U83" t="s">
        <v>3838</v>
      </c>
      <c r="V83" s="14">
        <f ca="1">TODAY()-Inventory_Table[[#This Row],[Last_Order_Date]]</f>
        <v>800</v>
      </c>
    </row>
    <row r="84" spans="1:22" x14ac:dyDescent="0.35">
      <c r="A84" t="s">
        <v>58</v>
      </c>
      <c r="B84" t="s">
        <v>18</v>
      </c>
      <c r="C84" t="s">
        <v>513</v>
      </c>
      <c r="D84" t="s">
        <v>514</v>
      </c>
      <c r="E84" t="s">
        <v>68</v>
      </c>
      <c r="F84" t="s">
        <v>515</v>
      </c>
      <c r="G84" t="s">
        <v>516</v>
      </c>
      <c r="H84" s="1">
        <v>46118</v>
      </c>
      <c r="I84" s="6">
        <v>45402</v>
      </c>
      <c r="J84" s="6">
        <v>46345</v>
      </c>
      <c r="K84">
        <v>63</v>
      </c>
      <c r="L84">
        <v>81</v>
      </c>
      <c r="M84">
        <v>94</v>
      </c>
      <c r="N84" s="8">
        <v>2.5</v>
      </c>
      <c r="O84">
        <v>56</v>
      </c>
      <c r="P84">
        <v>2</v>
      </c>
      <c r="Q84" s="3">
        <v>-0.13</v>
      </c>
      <c r="R84">
        <f>Inventory_Table[[#This Row],[Stock_Quantity]]*Inventory_Table[[#This Row],[Unit_Price]]</f>
        <v>157.5</v>
      </c>
      <c r="S84">
        <f>Inventory_Table[[#This Row],[Sales_Volume]]*Inventory_Table[[#This Row],[Unit_Price]]</f>
        <v>140</v>
      </c>
      <c r="T84" t="str">
        <f>IF(Inventory_Table[[#This Row],[Stock_Quantity]]&lt;=Inventory_Table[[#This Row],[Reorder_Level]],"REORDER","OK")</f>
        <v>REORDER</v>
      </c>
      <c r="U84" t="s">
        <v>3836</v>
      </c>
      <c r="V84" s="14">
        <f ca="1">TODAY()-Inventory_Table[[#This Row],[Last_Order_Date]]</f>
        <v>774</v>
      </c>
    </row>
    <row r="85" spans="1:22" x14ac:dyDescent="0.35">
      <c r="A85" t="s">
        <v>331</v>
      </c>
      <c r="B85" t="s">
        <v>27</v>
      </c>
      <c r="C85" t="s">
        <v>518</v>
      </c>
      <c r="D85" t="s">
        <v>519</v>
      </c>
      <c r="E85" t="s">
        <v>30</v>
      </c>
      <c r="F85" t="s">
        <v>520</v>
      </c>
      <c r="G85" t="s">
        <v>521</v>
      </c>
      <c r="H85" s="1">
        <v>46118</v>
      </c>
      <c r="I85" s="6">
        <v>45459</v>
      </c>
      <c r="J85" s="6">
        <v>46109</v>
      </c>
      <c r="K85">
        <v>57</v>
      </c>
      <c r="L85">
        <v>36</v>
      </c>
      <c r="M85">
        <v>53</v>
      </c>
      <c r="N85" s="8">
        <v>4</v>
      </c>
      <c r="O85">
        <v>56</v>
      </c>
      <c r="P85">
        <v>32</v>
      </c>
      <c r="Q85" s="3">
        <v>0.96</v>
      </c>
      <c r="R85">
        <f>Inventory_Table[[#This Row],[Stock_Quantity]]*Inventory_Table[[#This Row],[Unit_Price]]</f>
        <v>228</v>
      </c>
      <c r="S85">
        <f>Inventory_Table[[#This Row],[Sales_Volume]]*Inventory_Table[[#This Row],[Unit_Price]]</f>
        <v>224</v>
      </c>
      <c r="T85" t="str">
        <f>IF(Inventory_Table[[#This Row],[Stock_Quantity]]&lt;=Inventory_Table[[#This Row],[Reorder_Level]],"REORDER","OK")</f>
        <v>OK</v>
      </c>
      <c r="U85" t="s">
        <v>3838</v>
      </c>
      <c r="V85" s="14">
        <f ca="1">TODAY()-Inventory_Table[[#This Row],[Last_Order_Date]]</f>
        <v>717</v>
      </c>
    </row>
    <row r="86" spans="1:22" x14ac:dyDescent="0.35">
      <c r="A86" t="s">
        <v>135</v>
      </c>
      <c r="B86" t="s">
        <v>36</v>
      </c>
      <c r="C86" t="s">
        <v>490</v>
      </c>
      <c r="D86" t="s">
        <v>523</v>
      </c>
      <c r="E86" t="s">
        <v>30</v>
      </c>
      <c r="F86" t="s">
        <v>524</v>
      </c>
      <c r="G86" t="s">
        <v>525</v>
      </c>
      <c r="H86" s="1">
        <v>46118</v>
      </c>
      <c r="I86" s="6">
        <v>45440</v>
      </c>
      <c r="J86" s="6">
        <v>46390</v>
      </c>
      <c r="K86">
        <v>39</v>
      </c>
      <c r="L86">
        <v>93</v>
      </c>
      <c r="M86">
        <v>57</v>
      </c>
      <c r="N86" s="8">
        <v>2.5</v>
      </c>
      <c r="O86">
        <v>26</v>
      </c>
      <c r="P86">
        <v>44</v>
      </c>
      <c r="Q86" s="3">
        <v>0.43</v>
      </c>
      <c r="R86">
        <f>Inventory_Table[[#This Row],[Stock_Quantity]]*Inventory_Table[[#This Row],[Unit_Price]]</f>
        <v>97.5</v>
      </c>
      <c r="S86">
        <f>Inventory_Table[[#This Row],[Sales_Volume]]*Inventory_Table[[#This Row],[Unit_Price]]</f>
        <v>65</v>
      </c>
      <c r="T86" t="str">
        <f>IF(Inventory_Table[[#This Row],[Stock_Quantity]]&lt;=Inventory_Table[[#This Row],[Reorder_Level]],"REORDER","OK")</f>
        <v>REORDER</v>
      </c>
      <c r="U86" t="s">
        <v>3836</v>
      </c>
      <c r="V86" s="14">
        <f ca="1">TODAY()-Inventory_Table[[#This Row],[Last_Order_Date]]</f>
        <v>736</v>
      </c>
    </row>
    <row r="87" spans="1:22" x14ac:dyDescent="0.35">
      <c r="A87" t="s">
        <v>527</v>
      </c>
      <c r="B87" t="s">
        <v>65</v>
      </c>
      <c r="C87" t="s">
        <v>51</v>
      </c>
      <c r="D87" t="s">
        <v>528</v>
      </c>
      <c r="E87" t="s">
        <v>30</v>
      </c>
      <c r="F87" t="s">
        <v>529</v>
      </c>
      <c r="G87" t="s">
        <v>530</v>
      </c>
      <c r="H87" s="1">
        <v>46119</v>
      </c>
      <c r="I87" s="6">
        <v>45569</v>
      </c>
      <c r="J87" s="6">
        <v>46157</v>
      </c>
      <c r="K87">
        <v>41</v>
      </c>
      <c r="L87">
        <v>36</v>
      </c>
      <c r="M87">
        <v>78</v>
      </c>
      <c r="N87" s="8">
        <v>4.5</v>
      </c>
      <c r="O87">
        <v>38</v>
      </c>
      <c r="P87">
        <v>75</v>
      </c>
      <c r="Q87" s="3">
        <v>-0.69</v>
      </c>
      <c r="R87">
        <f>Inventory_Table[[#This Row],[Stock_Quantity]]*Inventory_Table[[#This Row],[Unit_Price]]</f>
        <v>184.5</v>
      </c>
      <c r="S87">
        <f>Inventory_Table[[#This Row],[Sales_Volume]]*Inventory_Table[[#This Row],[Unit_Price]]</f>
        <v>171</v>
      </c>
      <c r="T87" t="str">
        <f>IF(Inventory_Table[[#This Row],[Stock_Quantity]]&lt;=Inventory_Table[[#This Row],[Reorder_Level]],"REORDER","OK")</f>
        <v>OK</v>
      </c>
      <c r="U87" t="s">
        <v>3838</v>
      </c>
      <c r="V87" s="14">
        <f ca="1">TODAY()-Inventory_Table[[#This Row],[Last_Order_Date]]</f>
        <v>607</v>
      </c>
    </row>
    <row r="88" spans="1:22" x14ac:dyDescent="0.35">
      <c r="A88" t="s">
        <v>532</v>
      </c>
      <c r="B88" t="s">
        <v>75</v>
      </c>
      <c r="C88" t="s">
        <v>533</v>
      </c>
      <c r="D88" t="s">
        <v>534</v>
      </c>
      <c r="E88" t="s">
        <v>68</v>
      </c>
      <c r="F88" t="s">
        <v>535</v>
      </c>
      <c r="G88" t="s">
        <v>536</v>
      </c>
      <c r="H88" s="1">
        <v>46119</v>
      </c>
      <c r="I88" s="6">
        <v>45360</v>
      </c>
      <c r="J88" s="6">
        <v>46266</v>
      </c>
      <c r="K88">
        <v>25</v>
      </c>
      <c r="L88">
        <v>44</v>
      </c>
      <c r="M88">
        <v>96</v>
      </c>
      <c r="N88" s="8">
        <v>18</v>
      </c>
      <c r="O88">
        <v>36</v>
      </c>
      <c r="P88">
        <v>16</v>
      </c>
      <c r="Q88" s="3">
        <v>-0.97</v>
      </c>
      <c r="R88">
        <f>Inventory_Table[[#This Row],[Stock_Quantity]]*Inventory_Table[[#This Row],[Unit_Price]]</f>
        <v>450</v>
      </c>
      <c r="S88">
        <f>Inventory_Table[[#This Row],[Sales_Volume]]*Inventory_Table[[#This Row],[Unit_Price]]</f>
        <v>648</v>
      </c>
      <c r="T88" t="str">
        <f>IF(Inventory_Table[[#This Row],[Stock_Quantity]]&lt;=Inventory_Table[[#This Row],[Reorder_Level]],"REORDER","OK")</f>
        <v>REORDER</v>
      </c>
      <c r="U88" t="s">
        <v>3836</v>
      </c>
      <c r="V88" s="14">
        <f ca="1">TODAY()-Inventory_Table[[#This Row],[Last_Order_Date]]</f>
        <v>816</v>
      </c>
    </row>
    <row r="89" spans="1:22" x14ac:dyDescent="0.35">
      <c r="A89" t="s">
        <v>122</v>
      </c>
      <c r="B89" t="s">
        <v>18</v>
      </c>
      <c r="C89" t="s">
        <v>538</v>
      </c>
      <c r="D89" t="s">
        <v>539</v>
      </c>
      <c r="E89" t="s">
        <v>21</v>
      </c>
      <c r="F89" t="s">
        <v>540</v>
      </c>
      <c r="G89" t="s">
        <v>541</v>
      </c>
      <c r="H89" s="1">
        <v>46119</v>
      </c>
      <c r="I89" s="6">
        <v>45560</v>
      </c>
      <c r="J89" s="6">
        <v>46198</v>
      </c>
      <c r="K89">
        <v>87</v>
      </c>
      <c r="L89">
        <v>91</v>
      </c>
      <c r="M89">
        <v>94</v>
      </c>
      <c r="N89" s="8">
        <v>2.5</v>
      </c>
      <c r="O89">
        <v>47</v>
      </c>
      <c r="P89">
        <v>4</v>
      </c>
      <c r="Q89" s="3">
        <v>0.56000000000000005</v>
      </c>
      <c r="R89">
        <f>Inventory_Table[[#This Row],[Stock_Quantity]]*Inventory_Table[[#This Row],[Unit_Price]]</f>
        <v>217.5</v>
      </c>
      <c r="S89">
        <f>Inventory_Table[[#This Row],[Sales_Volume]]*Inventory_Table[[#This Row],[Unit_Price]]</f>
        <v>117.5</v>
      </c>
      <c r="T89" t="str">
        <f>IF(Inventory_Table[[#This Row],[Stock_Quantity]]&lt;=Inventory_Table[[#This Row],[Reorder_Level]],"REORDER","OK")</f>
        <v>REORDER</v>
      </c>
      <c r="U89" t="s">
        <v>3837</v>
      </c>
      <c r="V89" s="14">
        <f ca="1">TODAY()-Inventory_Table[[#This Row],[Last_Order_Date]]</f>
        <v>616</v>
      </c>
    </row>
    <row r="90" spans="1:22" x14ac:dyDescent="0.35">
      <c r="A90" t="s">
        <v>376</v>
      </c>
      <c r="B90" t="s">
        <v>18</v>
      </c>
      <c r="C90" t="s">
        <v>544</v>
      </c>
      <c r="D90" t="s">
        <v>545</v>
      </c>
      <c r="E90" t="s">
        <v>68</v>
      </c>
      <c r="F90" t="s">
        <v>546</v>
      </c>
      <c r="G90" t="s">
        <v>547</v>
      </c>
      <c r="H90" s="1">
        <v>46119</v>
      </c>
      <c r="I90" s="6">
        <v>45483</v>
      </c>
      <c r="J90" s="6">
        <v>46310</v>
      </c>
      <c r="K90">
        <v>20</v>
      </c>
      <c r="L90">
        <v>65</v>
      </c>
      <c r="M90">
        <v>61</v>
      </c>
      <c r="N90" s="8">
        <v>2</v>
      </c>
      <c r="O90">
        <v>51</v>
      </c>
      <c r="P90">
        <v>78</v>
      </c>
      <c r="Q90" s="3">
        <v>0.91</v>
      </c>
      <c r="R90">
        <f>Inventory_Table[[#This Row],[Stock_Quantity]]*Inventory_Table[[#This Row],[Unit_Price]]</f>
        <v>40</v>
      </c>
      <c r="S90">
        <f>Inventory_Table[[#This Row],[Sales_Volume]]*Inventory_Table[[#This Row],[Unit_Price]]</f>
        <v>102</v>
      </c>
      <c r="T90" t="str">
        <f>IF(Inventory_Table[[#This Row],[Stock_Quantity]]&lt;=Inventory_Table[[#This Row],[Reorder_Level]],"REORDER","OK")</f>
        <v>REORDER</v>
      </c>
      <c r="U90" t="s">
        <v>3836</v>
      </c>
      <c r="V90" s="14">
        <f ca="1">TODAY()-Inventory_Table[[#This Row],[Last_Order_Date]]</f>
        <v>693</v>
      </c>
    </row>
    <row r="91" spans="1:22" x14ac:dyDescent="0.35">
      <c r="A91" t="s">
        <v>549</v>
      </c>
      <c r="B91" t="s">
        <v>18</v>
      </c>
      <c r="C91" t="s">
        <v>550</v>
      </c>
      <c r="D91" t="s">
        <v>551</v>
      </c>
      <c r="E91" t="s">
        <v>21</v>
      </c>
      <c r="F91" t="s">
        <v>552</v>
      </c>
      <c r="G91" t="s">
        <v>553</v>
      </c>
      <c r="H91" s="1">
        <v>46121</v>
      </c>
      <c r="I91" s="6">
        <v>45406</v>
      </c>
      <c r="J91" s="6">
        <v>46313</v>
      </c>
      <c r="K91">
        <v>95</v>
      </c>
      <c r="L91">
        <v>25</v>
      </c>
      <c r="M91">
        <v>91</v>
      </c>
      <c r="N91" s="8">
        <v>53.82</v>
      </c>
      <c r="O91">
        <v>87</v>
      </c>
      <c r="P91">
        <v>5</v>
      </c>
      <c r="Q91" s="3">
        <v>-0.53</v>
      </c>
      <c r="R91">
        <f>Inventory_Table[[#This Row],[Stock_Quantity]]*Inventory_Table[[#This Row],[Unit_Price]]</f>
        <v>5112.8999999999996</v>
      </c>
      <c r="S91">
        <f>Inventory_Table[[#This Row],[Sales_Volume]]*Inventory_Table[[#This Row],[Unit_Price]]</f>
        <v>4682.34</v>
      </c>
      <c r="T91" t="str">
        <f>IF(Inventory_Table[[#This Row],[Stock_Quantity]]&lt;=Inventory_Table[[#This Row],[Reorder_Level]],"REORDER","OK")</f>
        <v>OK</v>
      </c>
      <c r="U91" t="s">
        <v>3836</v>
      </c>
      <c r="V91" s="14">
        <f ca="1">TODAY()-Inventory_Table[[#This Row],[Last_Order_Date]]</f>
        <v>770</v>
      </c>
    </row>
    <row r="92" spans="1:22" x14ac:dyDescent="0.35">
      <c r="A92" t="s">
        <v>557</v>
      </c>
      <c r="B92" t="s">
        <v>18</v>
      </c>
      <c r="C92" t="s">
        <v>51</v>
      </c>
      <c r="D92" t="s">
        <v>558</v>
      </c>
      <c r="E92" t="s">
        <v>30</v>
      </c>
      <c r="F92" t="s">
        <v>559</v>
      </c>
      <c r="G92" t="s">
        <v>560</v>
      </c>
      <c r="H92" s="1">
        <v>46121</v>
      </c>
      <c r="I92" s="6">
        <v>45386</v>
      </c>
      <c r="J92" s="6">
        <v>46163</v>
      </c>
      <c r="K92">
        <v>56</v>
      </c>
      <c r="L92">
        <v>75</v>
      </c>
      <c r="M92">
        <v>13</v>
      </c>
      <c r="N92" s="8">
        <v>5</v>
      </c>
      <c r="O92">
        <v>42</v>
      </c>
      <c r="P92">
        <v>53</v>
      </c>
      <c r="Q92" s="3">
        <v>0.94</v>
      </c>
      <c r="R92">
        <f>Inventory_Table[[#This Row],[Stock_Quantity]]*Inventory_Table[[#This Row],[Unit_Price]]</f>
        <v>280</v>
      </c>
      <c r="S92">
        <f>Inventory_Table[[#This Row],[Sales_Volume]]*Inventory_Table[[#This Row],[Unit_Price]]</f>
        <v>210</v>
      </c>
      <c r="T92" t="str">
        <f>IF(Inventory_Table[[#This Row],[Stock_Quantity]]&lt;=Inventory_Table[[#This Row],[Reorder_Level]],"REORDER","OK")</f>
        <v>REORDER</v>
      </c>
      <c r="U92" t="s">
        <v>3838</v>
      </c>
      <c r="V92" s="14">
        <f ca="1">TODAY()-Inventory_Table[[#This Row],[Last_Order_Date]]</f>
        <v>790</v>
      </c>
    </row>
    <row r="93" spans="1:22" x14ac:dyDescent="0.35">
      <c r="A93" t="s">
        <v>222</v>
      </c>
      <c r="B93" t="s">
        <v>65</v>
      </c>
      <c r="C93" t="s">
        <v>562</v>
      </c>
      <c r="D93" t="s">
        <v>563</v>
      </c>
      <c r="E93" t="s">
        <v>21</v>
      </c>
      <c r="F93" t="s">
        <v>564</v>
      </c>
      <c r="G93" t="s">
        <v>565</v>
      </c>
      <c r="H93" s="1">
        <v>46122</v>
      </c>
      <c r="I93" s="6">
        <v>45381</v>
      </c>
      <c r="J93" s="6">
        <v>46172</v>
      </c>
      <c r="K93">
        <v>96</v>
      </c>
      <c r="L93">
        <v>83</v>
      </c>
      <c r="M93">
        <v>50</v>
      </c>
      <c r="N93" s="8">
        <v>1.5</v>
      </c>
      <c r="O93">
        <v>81</v>
      </c>
      <c r="P93">
        <v>89</v>
      </c>
      <c r="Q93" s="3">
        <v>-0.26</v>
      </c>
      <c r="R93">
        <f>Inventory_Table[[#This Row],[Stock_Quantity]]*Inventory_Table[[#This Row],[Unit_Price]]</f>
        <v>144</v>
      </c>
      <c r="S93">
        <f>Inventory_Table[[#This Row],[Sales_Volume]]*Inventory_Table[[#This Row],[Unit_Price]]</f>
        <v>121.5</v>
      </c>
      <c r="T93" t="str">
        <f>IF(Inventory_Table[[#This Row],[Stock_Quantity]]&lt;=Inventory_Table[[#This Row],[Reorder_Level]],"REORDER","OK")</f>
        <v>OK</v>
      </c>
      <c r="U93" t="s">
        <v>3838</v>
      </c>
      <c r="V93" s="14">
        <f ca="1">TODAY()-Inventory_Table[[#This Row],[Last_Order_Date]]</f>
        <v>795</v>
      </c>
    </row>
    <row r="94" spans="1:22" x14ac:dyDescent="0.35">
      <c r="A94" t="s">
        <v>567</v>
      </c>
      <c r="B94" t="s">
        <v>65</v>
      </c>
      <c r="C94" t="s">
        <v>568</v>
      </c>
      <c r="D94" t="s">
        <v>569</v>
      </c>
      <c r="E94" t="s">
        <v>68</v>
      </c>
      <c r="F94" t="s">
        <v>570</v>
      </c>
      <c r="G94" t="s">
        <v>571</v>
      </c>
      <c r="H94" s="1">
        <v>46122</v>
      </c>
      <c r="I94" s="6">
        <v>45604</v>
      </c>
      <c r="J94" s="6">
        <v>46170</v>
      </c>
      <c r="K94">
        <v>76</v>
      </c>
      <c r="L94">
        <v>8</v>
      </c>
      <c r="M94">
        <v>2</v>
      </c>
      <c r="N94" s="8">
        <v>9.5</v>
      </c>
      <c r="O94">
        <v>24</v>
      </c>
      <c r="P94">
        <v>53</v>
      </c>
      <c r="Q94" s="3">
        <v>-0.1</v>
      </c>
      <c r="R94">
        <f>Inventory_Table[[#This Row],[Stock_Quantity]]*Inventory_Table[[#This Row],[Unit_Price]]</f>
        <v>722</v>
      </c>
      <c r="S94">
        <f>Inventory_Table[[#This Row],[Sales_Volume]]*Inventory_Table[[#This Row],[Unit_Price]]</f>
        <v>228</v>
      </c>
      <c r="T94" t="str">
        <f>IF(Inventory_Table[[#This Row],[Stock_Quantity]]&lt;=Inventory_Table[[#This Row],[Reorder_Level]],"REORDER","OK")</f>
        <v>OK</v>
      </c>
      <c r="U94" t="s">
        <v>3838</v>
      </c>
      <c r="V94" s="14">
        <f ca="1">TODAY()-Inventory_Table[[#This Row],[Last_Order_Date]]</f>
        <v>572</v>
      </c>
    </row>
    <row r="95" spans="1:22" x14ac:dyDescent="0.35">
      <c r="A95" t="s">
        <v>188</v>
      </c>
      <c r="B95" t="s">
        <v>65</v>
      </c>
      <c r="C95" t="s">
        <v>573</v>
      </c>
      <c r="D95" t="s">
        <v>574</v>
      </c>
      <c r="E95" t="s">
        <v>21</v>
      </c>
      <c r="F95" t="s">
        <v>575</v>
      </c>
      <c r="G95" t="s">
        <v>576</v>
      </c>
      <c r="H95" s="1">
        <v>46122</v>
      </c>
      <c r="I95" s="6">
        <v>45634</v>
      </c>
      <c r="J95" s="6">
        <v>46226</v>
      </c>
      <c r="K95">
        <v>17</v>
      </c>
      <c r="L95">
        <v>19</v>
      </c>
      <c r="M95">
        <v>74</v>
      </c>
      <c r="N95" s="8">
        <v>4.75</v>
      </c>
      <c r="O95">
        <v>58</v>
      </c>
      <c r="P95">
        <v>27</v>
      </c>
      <c r="Q95" s="3">
        <v>-1.21</v>
      </c>
      <c r="R95">
        <f>Inventory_Table[[#This Row],[Stock_Quantity]]*Inventory_Table[[#This Row],[Unit_Price]]</f>
        <v>80.75</v>
      </c>
      <c r="S95">
        <f>Inventory_Table[[#This Row],[Sales_Volume]]*Inventory_Table[[#This Row],[Unit_Price]]</f>
        <v>275.5</v>
      </c>
      <c r="T95" t="str">
        <f>IF(Inventory_Table[[#This Row],[Stock_Quantity]]&lt;=Inventory_Table[[#This Row],[Reorder_Level]],"REORDER","OK")</f>
        <v>REORDER</v>
      </c>
      <c r="U95" t="s">
        <v>3836</v>
      </c>
      <c r="V95" s="14">
        <f ca="1">TODAY()-Inventory_Table[[#This Row],[Last_Order_Date]]</f>
        <v>542</v>
      </c>
    </row>
    <row r="96" spans="1:22" x14ac:dyDescent="0.35">
      <c r="A96" t="s">
        <v>101</v>
      </c>
      <c r="B96" t="s">
        <v>27</v>
      </c>
      <c r="C96" t="s">
        <v>155</v>
      </c>
      <c r="D96" t="s">
        <v>578</v>
      </c>
      <c r="E96" t="s">
        <v>68</v>
      </c>
      <c r="F96" t="s">
        <v>579</v>
      </c>
      <c r="G96" t="s">
        <v>580</v>
      </c>
      <c r="H96" s="1">
        <v>46122</v>
      </c>
      <c r="I96" s="6">
        <v>45682</v>
      </c>
      <c r="J96" s="6">
        <v>46204</v>
      </c>
      <c r="K96">
        <v>14</v>
      </c>
      <c r="L96">
        <v>75</v>
      </c>
      <c r="M96">
        <v>10</v>
      </c>
      <c r="N96" s="8">
        <v>10</v>
      </c>
      <c r="O96">
        <v>65</v>
      </c>
      <c r="P96">
        <v>62</v>
      </c>
      <c r="Q96" s="3">
        <v>0.53</v>
      </c>
      <c r="R96">
        <f>Inventory_Table[[#This Row],[Stock_Quantity]]*Inventory_Table[[#This Row],[Unit_Price]]</f>
        <v>140</v>
      </c>
      <c r="S96">
        <f>Inventory_Table[[#This Row],[Sales_Volume]]*Inventory_Table[[#This Row],[Unit_Price]]</f>
        <v>650</v>
      </c>
      <c r="T96" t="str">
        <f>IF(Inventory_Table[[#This Row],[Stock_Quantity]]&lt;=Inventory_Table[[#This Row],[Reorder_Level]],"REORDER","OK")</f>
        <v>REORDER</v>
      </c>
      <c r="U96" t="s">
        <v>3836</v>
      </c>
      <c r="V96" s="14">
        <f ca="1">TODAY()-Inventory_Table[[#This Row],[Last_Order_Date]]</f>
        <v>494</v>
      </c>
    </row>
    <row r="97" spans="1:22" x14ac:dyDescent="0.35">
      <c r="A97" t="s">
        <v>289</v>
      </c>
      <c r="B97" t="s">
        <v>114</v>
      </c>
      <c r="C97" t="s">
        <v>581</v>
      </c>
      <c r="D97" t="s">
        <v>582</v>
      </c>
      <c r="E97" t="s">
        <v>68</v>
      </c>
      <c r="F97" t="s">
        <v>583</v>
      </c>
      <c r="G97" t="s">
        <v>584</v>
      </c>
      <c r="H97" s="1">
        <v>46123</v>
      </c>
      <c r="I97" s="6">
        <v>45386</v>
      </c>
      <c r="J97" s="6">
        <v>46413</v>
      </c>
      <c r="K97">
        <v>96</v>
      </c>
      <c r="L97">
        <v>16</v>
      </c>
      <c r="M97">
        <v>48</v>
      </c>
      <c r="N97" s="8">
        <v>5</v>
      </c>
      <c r="O97">
        <v>45</v>
      </c>
      <c r="P97">
        <v>68</v>
      </c>
      <c r="Q97" s="3">
        <v>0.05</v>
      </c>
      <c r="R97">
        <f>Inventory_Table[[#This Row],[Stock_Quantity]]*Inventory_Table[[#This Row],[Unit_Price]]</f>
        <v>480</v>
      </c>
      <c r="S97">
        <f>Inventory_Table[[#This Row],[Sales_Volume]]*Inventory_Table[[#This Row],[Unit_Price]]</f>
        <v>225</v>
      </c>
      <c r="T97" t="str">
        <f>IF(Inventory_Table[[#This Row],[Stock_Quantity]]&lt;=Inventory_Table[[#This Row],[Reorder_Level]],"REORDER","OK")</f>
        <v>OK</v>
      </c>
      <c r="U97" t="s">
        <v>3836</v>
      </c>
      <c r="V97" s="14">
        <f ca="1">TODAY()-Inventory_Table[[#This Row],[Last_Order_Date]]</f>
        <v>790</v>
      </c>
    </row>
    <row r="98" spans="1:22" x14ac:dyDescent="0.35">
      <c r="A98" t="s">
        <v>418</v>
      </c>
      <c r="B98" t="s">
        <v>65</v>
      </c>
      <c r="C98" t="s">
        <v>37</v>
      </c>
      <c r="D98" t="s">
        <v>586</v>
      </c>
      <c r="E98" t="s">
        <v>30</v>
      </c>
      <c r="F98" t="s">
        <v>587</v>
      </c>
      <c r="G98" t="s">
        <v>588</v>
      </c>
      <c r="H98" s="1">
        <v>46123</v>
      </c>
      <c r="I98" s="6">
        <v>45645</v>
      </c>
      <c r="J98" s="6">
        <v>46134</v>
      </c>
      <c r="K98">
        <v>30</v>
      </c>
      <c r="L98">
        <v>34</v>
      </c>
      <c r="M98">
        <v>96</v>
      </c>
      <c r="N98" s="8">
        <v>6.3</v>
      </c>
      <c r="O98">
        <v>61</v>
      </c>
      <c r="P98">
        <v>13</v>
      </c>
      <c r="Q98" s="3">
        <v>-0.51</v>
      </c>
      <c r="R98">
        <f>Inventory_Table[[#This Row],[Stock_Quantity]]*Inventory_Table[[#This Row],[Unit_Price]]</f>
        <v>189</v>
      </c>
      <c r="S98">
        <f>Inventory_Table[[#This Row],[Sales_Volume]]*Inventory_Table[[#This Row],[Unit_Price]]</f>
        <v>384.3</v>
      </c>
      <c r="T98" t="str">
        <f>IF(Inventory_Table[[#This Row],[Stock_Quantity]]&lt;=Inventory_Table[[#This Row],[Reorder_Level]],"REORDER","OK")</f>
        <v>REORDER</v>
      </c>
      <c r="U98" t="s">
        <v>3838</v>
      </c>
      <c r="V98" s="14">
        <f ca="1">TODAY()-Inventory_Table[[#This Row],[Last_Order_Date]]</f>
        <v>531</v>
      </c>
    </row>
    <row r="99" spans="1:22" x14ac:dyDescent="0.35">
      <c r="A99" t="s">
        <v>591</v>
      </c>
      <c r="B99" t="s">
        <v>36</v>
      </c>
      <c r="C99" t="s">
        <v>592</v>
      </c>
      <c r="D99" t="s">
        <v>593</v>
      </c>
      <c r="E99" t="s">
        <v>68</v>
      </c>
      <c r="F99" t="s">
        <v>594</v>
      </c>
      <c r="G99" t="s">
        <v>595</v>
      </c>
      <c r="H99" s="1">
        <v>46124</v>
      </c>
      <c r="I99" s="6">
        <v>45445</v>
      </c>
      <c r="J99" s="6">
        <v>46395</v>
      </c>
      <c r="K99">
        <v>91</v>
      </c>
      <c r="L99">
        <v>84</v>
      </c>
      <c r="M99">
        <v>11</v>
      </c>
      <c r="N99" s="8">
        <v>3</v>
      </c>
      <c r="O99">
        <v>56</v>
      </c>
      <c r="P99">
        <v>90</v>
      </c>
      <c r="Q99" s="3">
        <v>0.79</v>
      </c>
      <c r="R99">
        <f>Inventory_Table[[#This Row],[Stock_Quantity]]*Inventory_Table[[#This Row],[Unit_Price]]</f>
        <v>273</v>
      </c>
      <c r="S99">
        <f>Inventory_Table[[#This Row],[Sales_Volume]]*Inventory_Table[[#This Row],[Unit_Price]]</f>
        <v>168</v>
      </c>
      <c r="T99" t="str">
        <f>IF(Inventory_Table[[#This Row],[Stock_Quantity]]&lt;=Inventory_Table[[#This Row],[Reorder_Level]],"REORDER","OK")</f>
        <v>OK</v>
      </c>
      <c r="U99" t="s">
        <v>3836</v>
      </c>
      <c r="V99" s="14">
        <f ca="1">TODAY()-Inventory_Table[[#This Row],[Last_Order_Date]]</f>
        <v>731</v>
      </c>
    </row>
    <row r="100" spans="1:22" x14ac:dyDescent="0.35">
      <c r="A100" t="s">
        <v>596</v>
      </c>
      <c r="B100" t="s">
        <v>18</v>
      </c>
      <c r="C100" t="s">
        <v>550</v>
      </c>
      <c r="D100" t="s">
        <v>597</v>
      </c>
      <c r="E100" t="s">
        <v>30</v>
      </c>
      <c r="F100" t="s">
        <v>598</v>
      </c>
      <c r="G100" t="s">
        <v>599</v>
      </c>
      <c r="H100" s="1">
        <v>46124</v>
      </c>
      <c r="I100" s="6">
        <v>45495</v>
      </c>
      <c r="J100" s="6">
        <v>46441</v>
      </c>
      <c r="K100">
        <v>47</v>
      </c>
      <c r="L100">
        <v>67</v>
      </c>
      <c r="M100">
        <v>57</v>
      </c>
      <c r="N100" s="8">
        <v>4</v>
      </c>
      <c r="O100">
        <v>36</v>
      </c>
      <c r="P100">
        <v>48</v>
      </c>
      <c r="Q100" s="3">
        <v>-0.61</v>
      </c>
      <c r="R100">
        <f>Inventory_Table[[#This Row],[Stock_Quantity]]*Inventory_Table[[#This Row],[Unit_Price]]</f>
        <v>188</v>
      </c>
      <c r="S100">
        <f>Inventory_Table[[#This Row],[Sales_Volume]]*Inventory_Table[[#This Row],[Unit_Price]]</f>
        <v>144</v>
      </c>
      <c r="T100" t="str">
        <f>IF(Inventory_Table[[#This Row],[Stock_Quantity]]&lt;=Inventory_Table[[#This Row],[Reorder_Level]],"REORDER","OK")</f>
        <v>REORDER</v>
      </c>
      <c r="U100" t="s">
        <v>3836</v>
      </c>
      <c r="V100" s="14">
        <f ca="1">TODAY()-Inventory_Table[[#This Row],[Last_Order_Date]]</f>
        <v>681</v>
      </c>
    </row>
    <row r="101" spans="1:22" x14ac:dyDescent="0.35">
      <c r="A101" t="s">
        <v>289</v>
      </c>
      <c r="B101" t="s">
        <v>114</v>
      </c>
      <c r="C101" t="s">
        <v>601</v>
      </c>
      <c r="D101" t="s">
        <v>602</v>
      </c>
      <c r="E101" t="s">
        <v>21</v>
      </c>
      <c r="F101" t="s">
        <v>603</v>
      </c>
      <c r="G101" t="s">
        <v>604</v>
      </c>
      <c r="H101" s="1">
        <v>46145</v>
      </c>
      <c r="I101" s="6">
        <v>45551</v>
      </c>
      <c r="J101" s="6">
        <v>46078</v>
      </c>
      <c r="K101">
        <v>11</v>
      </c>
      <c r="L101">
        <v>6</v>
      </c>
      <c r="M101">
        <v>100</v>
      </c>
      <c r="N101" s="8">
        <v>5</v>
      </c>
      <c r="O101">
        <v>88</v>
      </c>
      <c r="P101">
        <v>24</v>
      </c>
      <c r="Q101" s="3">
        <v>-0.33</v>
      </c>
      <c r="R101">
        <f>Inventory_Table[[#This Row],[Stock_Quantity]]*Inventory_Table[[#This Row],[Unit_Price]]</f>
        <v>55</v>
      </c>
      <c r="S101">
        <f>Inventory_Table[[#This Row],[Sales_Volume]]*Inventory_Table[[#This Row],[Unit_Price]]</f>
        <v>440</v>
      </c>
      <c r="T101" t="str">
        <f>IF(Inventory_Table[[#This Row],[Stock_Quantity]]&lt;=Inventory_Table[[#This Row],[Reorder_Level]],"REORDER","OK")</f>
        <v>OK</v>
      </c>
      <c r="U101" t="s">
        <v>3838</v>
      </c>
      <c r="V101" s="14">
        <f ca="1">TODAY()-Inventory_Table[[#This Row],[Last_Order_Date]]</f>
        <v>625</v>
      </c>
    </row>
    <row r="102" spans="1:22" x14ac:dyDescent="0.35">
      <c r="A102" t="s">
        <v>408</v>
      </c>
      <c r="B102" t="s">
        <v>18</v>
      </c>
      <c r="C102" t="s">
        <v>606</v>
      </c>
      <c r="D102" t="s">
        <v>607</v>
      </c>
      <c r="E102" t="s">
        <v>68</v>
      </c>
      <c r="F102" t="s">
        <v>608</v>
      </c>
      <c r="G102" t="s">
        <v>609</v>
      </c>
      <c r="H102" s="1">
        <v>46146</v>
      </c>
      <c r="I102" s="6">
        <v>45556</v>
      </c>
      <c r="J102" s="6">
        <v>46148</v>
      </c>
      <c r="K102">
        <v>95</v>
      </c>
      <c r="L102">
        <v>50</v>
      </c>
      <c r="M102">
        <v>76</v>
      </c>
      <c r="N102" s="8">
        <v>4</v>
      </c>
      <c r="O102">
        <v>69</v>
      </c>
      <c r="P102">
        <v>5</v>
      </c>
      <c r="Q102" s="3">
        <v>0.73</v>
      </c>
      <c r="R102">
        <f>Inventory_Table[[#This Row],[Stock_Quantity]]*Inventory_Table[[#This Row],[Unit_Price]]</f>
        <v>380</v>
      </c>
      <c r="S102">
        <f>Inventory_Table[[#This Row],[Sales_Volume]]*Inventory_Table[[#This Row],[Unit_Price]]</f>
        <v>276</v>
      </c>
      <c r="T102" t="str">
        <f>IF(Inventory_Table[[#This Row],[Stock_Quantity]]&lt;=Inventory_Table[[#This Row],[Reorder_Level]],"REORDER","OK")</f>
        <v>OK</v>
      </c>
      <c r="U102" t="s">
        <v>3838</v>
      </c>
      <c r="V102" s="14">
        <f ca="1">TODAY()-Inventory_Table[[#This Row],[Last_Order_Date]]</f>
        <v>620</v>
      </c>
    </row>
    <row r="103" spans="1:22" x14ac:dyDescent="0.35">
      <c r="A103" t="s">
        <v>270</v>
      </c>
      <c r="B103" t="s">
        <v>36</v>
      </c>
      <c r="C103" t="s">
        <v>611</v>
      </c>
      <c r="D103" t="s">
        <v>612</v>
      </c>
      <c r="E103" t="s">
        <v>21</v>
      </c>
      <c r="F103" t="s">
        <v>613</v>
      </c>
      <c r="G103" t="s">
        <v>614</v>
      </c>
      <c r="H103" s="1">
        <v>46146</v>
      </c>
      <c r="I103" s="6">
        <v>45635</v>
      </c>
      <c r="J103" s="6">
        <v>46161</v>
      </c>
      <c r="K103">
        <v>92</v>
      </c>
      <c r="L103">
        <v>67</v>
      </c>
      <c r="M103">
        <v>51</v>
      </c>
      <c r="N103" s="8">
        <v>4</v>
      </c>
      <c r="O103">
        <v>23</v>
      </c>
      <c r="P103">
        <v>78</v>
      </c>
      <c r="Q103" s="3">
        <v>0.93</v>
      </c>
      <c r="R103">
        <f>Inventory_Table[[#This Row],[Stock_Quantity]]*Inventory_Table[[#This Row],[Unit_Price]]</f>
        <v>368</v>
      </c>
      <c r="S103">
        <f>Inventory_Table[[#This Row],[Sales_Volume]]*Inventory_Table[[#This Row],[Unit_Price]]</f>
        <v>92</v>
      </c>
      <c r="T103" t="str">
        <f>IF(Inventory_Table[[#This Row],[Stock_Quantity]]&lt;=Inventory_Table[[#This Row],[Reorder_Level]],"REORDER","OK")</f>
        <v>OK</v>
      </c>
      <c r="U103" t="s">
        <v>3838</v>
      </c>
      <c r="V103" s="14">
        <f ca="1">TODAY()-Inventory_Table[[#This Row],[Last_Order_Date]]</f>
        <v>541</v>
      </c>
    </row>
    <row r="104" spans="1:22" x14ac:dyDescent="0.35">
      <c r="A104" t="s">
        <v>89</v>
      </c>
      <c r="B104" t="s">
        <v>36</v>
      </c>
      <c r="C104" t="s">
        <v>615</v>
      </c>
      <c r="D104" t="s">
        <v>616</v>
      </c>
      <c r="E104" t="s">
        <v>30</v>
      </c>
      <c r="F104" t="s">
        <v>617</v>
      </c>
      <c r="G104" t="s">
        <v>618</v>
      </c>
      <c r="H104" s="1">
        <v>46146</v>
      </c>
      <c r="I104" s="6">
        <v>45368</v>
      </c>
      <c r="J104" s="6">
        <v>46420</v>
      </c>
      <c r="K104">
        <v>85</v>
      </c>
      <c r="L104">
        <v>83</v>
      </c>
      <c r="M104">
        <v>13</v>
      </c>
      <c r="N104" s="8">
        <v>1.75</v>
      </c>
      <c r="O104">
        <v>49</v>
      </c>
      <c r="P104">
        <v>75</v>
      </c>
      <c r="Q104" s="3">
        <v>-2.39</v>
      </c>
      <c r="R104">
        <f>Inventory_Table[[#This Row],[Stock_Quantity]]*Inventory_Table[[#This Row],[Unit_Price]]</f>
        <v>148.75</v>
      </c>
      <c r="S104">
        <f>Inventory_Table[[#This Row],[Sales_Volume]]*Inventory_Table[[#This Row],[Unit_Price]]</f>
        <v>85.75</v>
      </c>
      <c r="T104" t="str">
        <f>IF(Inventory_Table[[#This Row],[Stock_Quantity]]&lt;=Inventory_Table[[#This Row],[Reorder_Level]],"REORDER","OK")</f>
        <v>OK</v>
      </c>
      <c r="U104" t="s">
        <v>3836</v>
      </c>
      <c r="V104" s="14">
        <f ca="1">TODAY()-Inventory_Table[[#This Row],[Last_Order_Date]]</f>
        <v>808</v>
      </c>
    </row>
    <row r="105" spans="1:22" x14ac:dyDescent="0.35">
      <c r="A105" t="s">
        <v>619</v>
      </c>
      <c r="B105" t="s">
        <v>18</v>
      </c>
      <c r="C105" t="s">
        <v>620</v>
      </c>
      <c r="D105" t="s">
        <v>621</v>
      </c>
      <c r="E105" t="s">
        <v>30</v>
      </c>
      <c r="F105" t="s">
        <v>622</v>
      </c>
      <c r="G105" t="s">
        <v>623</v>
      </c>
      <c r="H105" s="1">
        <v>46146</v>
      </c>
      <c r="I105" s="6">
        <v>45347</v>
      </c>
      <c r="J105" s="6">
        <v>46375</v>
      </c>
      <c r="K105">
        <v>92</v>
      </c>
      <c r="L105">
        <v>3</v>
      </c>
      <c r="M105">
        <v>81</v>
      </c>
      <c r="N105" s="8">
        <v>5</v>
      </c>
      <c r="O105">
        <v>62</v>
      </c>
      <c r="P105">
        <v>20</v>
      </c>
      <c r="Q105" s="3">
        <v>-0.53</v>
      </c>
      <c r="R105">
        <f>Inventory_Table[[#This Row],[Stock_Quantity]]*Inventory_Table[[#This Row],[Unit_Price]]</f>
        <v>460</v>
      </c>
      <c r="S105">
        <f>Inventory_Table[[#This Row],[Sales_Volume]]*Inventory_Table[[#This Row],[Unit_Price]]</f>
        <v>310</v>
      </c>
      <c r="T105" t="str">
        <f>IF(Inventory_Table[[#This Row],[Stock_Quantity]]&lt;=Inventory_Table[[#This Row],[Reorder_Level]],"REORDER","OK")</f>
        <v>OK</v>
      </c>
      <c r="U105" t="s">
        <v>3836</v>
      </c>
      <c r="V105" s="14">
        <f ca="1">TODAY()-Inventory_Table[[#This Row],[Last_Order_Date]]</f>
        <v>829</v>
      </c>
    </row>
    <row r="106" spans="1:22" x14ac:dyDescent="0.35">
      <c r="A106" t="s">
        <v>624</v>
      </c>
      <c r="B106" t="s">
        <v>18</v>
      </c>
      <c r="C106" t="s">
        <v>625</v>
      </c>
      <c r="D106" t="s">
        <v>626</v>
      </c>
      <c r="E106" t="s">
        <v>30</v>
      </c>
      <c r="F106" t="s">
        <v>627</v>
      </c>
      <c r="G106" t="s">
        <v>628</v>
      </c>
      <c r="H106" s="1">
        <v>46146</v>
      </c>
      <c r="I106" s="6">
        <v>45470</v>
      </c>
      <c r="J106" s="6">
        <v>46323</v>
      </c>
      <c r="K106">
        <v>24</v>
      </c>
      <c r="L106">
        <v>21</v>
      </c>
      <c r="M106">
        <v>4</v>
      </c>
      <c r="N106" s="8">
        <v>6</v>
      </c>
      <c r="O106">
        <v>85</v>
      </c>
      <c r="P106">
        <v>17</v>
      </c>
      <c r="Q106" s="3">
        <v>0.68</v>
      </c>
      <c r="R106">
        <f>Inventory_Table[[#This Row],[Stock_Quantity]]*Inventory_Table[[#This Row],[Unit_Price]]</f>
        <v>144</v>
      </c>
      <c r="S106">
        <f>Inventory_Table[[#This Row],[Sales_Volume]]*Inventory_Table[[#This Row],[Unit_Price]]</f>
        <v>510</v>
      </c>
      <c r="T106" t="str">
        <f>IF(Inventory_Table[[#This Row],[Stock_Quantity]]&lt;=Inventory_Table[[#This Row],[Reorder_Level]],"REORDER","OK")</f>
        <v>OK</v>
      </c>
      <c r="U106" t="s">
        <v>3836</v>
      </c>
      <c r="V106" s="14">
        <f ca="1">TODAY()-Inventory_Table[[#This Row],[Last_Order_Date]]</f>
        <v>706</v>
      </c>
    </row>
    <row r="107" spans="1:22" x14ac:dyDescent="0.35">
      <c r="A107" t="s">
        <v>382</v>
      </c>
      <c r="B107" t="s">
        <v>36</v>
      </c>
      <c r="C107" t="s">
        <v>630</v>
      </c>
      <c r="D107" t="s">
        <v>631</v>
      </c>
      <c r="E107" t="s">
        <v>30</v>
      </c>
      <c r="F107" t="s">
        <v>632</v>
      </c>
      <c r="G107" t="s">
        <v>633</v>
      </c>
      <c r="H107" s="1">
        <v>46146</v>
      </c>
      <c r="I107" s="6">
        <v>45546</v>
      </c>
      <c r="J107" s="6">
        <v>46293</v>
      </c>
      <c r="K107">
        <v>21</v>
      </c>
      <c r="L107">
        <v>24</v>
      </c>
      <c r="M107">
        <v>2</v>
      </c>
      <c r="N107" s="8">
        <v>2.35</v>
      </c>
      <c r="O107">
        <v>87</v>
      </c>
      <c r="P107">
        <v>36</v>
      </c>
      <c r="Q107" s="3">
        <v>0.8</v>
      </c>
      <c r="R107">
        <f>Inventory_Table[[#This Row],[Stock_Quantity]]*Inventory_Table[[#This Row],[Unit_Price]]</f>
        <v>49.35</v>
      </c>
      <c r="S107">
        <f>Inventory_Table[[#This Row],[Sales_Volume]]*Inventory_Table[[#This Row],[Unit_Price]]</f>
        <v>204.45000000000002</v>
      </c>
      <c r="T107" t="str">
        <f>IF(Inventory_Table[[#This Row],[Stock_Quantity]]&lt;=Inventory_Table[[#This Row],[Reorder_Level]],"REORDER","OK")</f>
        <v>REORDER</v>
      </c>
      <c r="U107" t="s">
        <v>3836</v>
      </c>
      <c r="V107" s="14">
        <f ca="1">TODAY()-Inventory_Table[[#This Row],[Last_Order_Date]]</f>
        <v>630</v>
      </c>
    </row>
    <row r="108" spans="1:22" x14ac:dyDescent="0.35">
      <c r="A108" t="s">
        <v>74</v>
      </c>
      <c r="B108" t="s">
        <v>75</v>
      </c>
      <c r="C108" t="s">
        <v>635</v>
      </c>
      <c r="D108" t="s">
        <v>636</v>
      </c>
      <c r="E108" t="s">
        <v>68</v>
      </c>
      <c r="F108" t="s">
        <v>637</v>
      </c>
      <c r="G108" t="s">
        <v>638</v>
      </c>
      <c r="H108" s="1">
        <v>46146</v>
      </c>
      <c r="I108" s="6">
        <v>45405</v>
      </c>
      <c r="J108" s="6">
        <v>46411</v>
      </c>
      <c r="K108">
        <v>64</v>
      </c>
      <c r="L108">
        <v>1</v>
      </c>
      <c r="M108">
        <v>92</v>
      </c>
      <c r="N108" s="8">
        <v>10</v>
      </c>
      <c r="O108">
        <v>49</v>
      </c>
      <c r="P108">
        <v>15</v>
      </c>
      <c r="Q108" s="3">
        <v>0.59</v>
      </c>
      <c r="R108">
        <f>Inventory_Table[[#This Row],[Stock_Quantity]]*Inventory_Table[[#This Row],[Unit_Price]]</f>
        <v>640</v>
      </c>
      <c r="S108">
        <f>Inventory_Table[[#This Row],[Sales_Volume]]*Inventory_Table[[#This Row],[Unit_Price]]</f>
        <v>490</v>
      </c>
      <c r="T108" t="str">
        <f>IF(Inventory_Table[[#This Row],[Stock_Quantity]]&lt;=Inventory_Table[[#This Row],[Reorder_Level]],"REORDER","OK")</f>
        <v>OK</v>
      </c>
      <c r="U108" t="s">
        <v>3836</v>
      </c>
      <c r="V108" s="14">
        <f ca="1">TODAY()-Inventory_Table[[#This Row],[Last_Order_Date]]</f>
        <v>771</v>
      </c>
    </row>
    <row r="109" spans="1:22" x14ac:dyDescent="0.35">
      <c r="A109" t="s">
        <v>640</v>
      </c>
      <c r="B109" t="s">
        <v>163</v>
      </c>
      <c r="C109" t="s">
        <v>641</v>
      </c>
      <c r="D109" t="s">
        <v>642</v>
      </c>
      <c r="E109" t="s">
        <v>68</v>
      </c>
      <c r="F109" t="s">
        <v>643</v>
      </c>
      <c r="G109" t="s">
        <v>644</v>
      </c>
      <c r="H109" s="1">
        <v>46146</v>
      </c>
      <c r="I109" s="6">
        <v>45577</v>
      </c>
      <c r="J109" s="6">
        <v>46347</v>
      </c>
      <c r="K109">
        <v>35</v>
      </c>
      <c r="L109">
        <v>88</v>
      </c>
      <c r="M109">
        <v>87</v>
      </c>
      <c r="N109" s="8">
        <v>4.7</v>
      </c>
      <c r="O109">
        <v>39</v>
      </c>
      <c r="P109">
        <v>62</v>
      </c>
      <c r="Q109" s="3">
        <v>0.69</v>
      </c>
      <c r="R109">
        <f>Inventory_Table[[#This Row],[Stock_Quantity]]*Inventory_Table[[#This Row],[Unit_Price]]</f>
        <v>164.5</v>
      </c>
      <c r="S109">
        <f>Inventory_Table[[#This Row],[Sales_Volume]]*Inventory_Table[[#This Row],[Unit_Price]]</f>
        <v>183.3</v>
      </c>
      <c r="T109" t="str">
        <f>IF(Inventory_Table[[#This Row],[Stock_Quantity]]&lt;=Inventory_Table[[#This Row],[Reorder_Level]],"REORDER","OK")</f>
        <v>REORDER</v>
      </c>
      <c r="U109" t="s">
        <v>3836</v>
      </c>
      <c r="V109" s="14">
        <f ca="1">TODAY()-Inventory_Table[[#This Row],[Last_Order_Date]]</f>
        <v>599</v>
      </c>
    </row>
    <row r="110" spans="1:22" x14ac:dyDescent="0.35">
      <c r="A110" t="s">
        <v>337</v>
      </c>
      <c r="B110" t="s">
        <v>27</v>
      </c>
      <c r="C110" t="s">
        <v>647</v>
      </c>
      <c r="D110" t="s">
        <v>648</v>
      </c>
      <c r="E110" t="s">
        <v>68</v>
      </c>
      <c r="F110" t="s">
        <v>649</v>
      </c>
      <c r="G110" t="s">
        <v>650</v>
      </c>
      <c r="H110" s="1">
        <v>46147</v>
      </c>
      <c r="I110" s="6">
        <v>45680</v>
      </c>
      <c r="J110" s="6">
        <v>46434</v>
      </c>
      <c r="K110">
        <v>100</v>
      </c>
      <c r="L110">
        <v>92</v>
      </c>
      <c r="M110">
        <v>26</v>
      </c>
      <c r="N110" s="8">
        <v>6</v>
      </c>
      <c r="O110">
        <v>84</v>
      </c>
      <c r="P110">
        <v>9</v>
      </c>
      <c r="Q110" s="3">
        <v>-0.59</v>
      </c>
      <c r="R110">
        <f>Inventory_Table[[#This Row],[Stock_Quantity]]*Inventory_Table[[#This Row],[Unit_Price]]</f>
        <v>600</v>
      </c>
      <c r="S110">
        <f>Inventory_Table[[#This Row],[Sales_Volume]]*Inventory_Table[[#This Row],[Unit_Price]]</f>
        <v>504</v>
      </c>
      <c r="T110" t="str">
        <f>IF(Inventory_Table[[#This Row],[Stock_Quantity]]&lt;=Inventory_Table[[#This Row],[Reorder_Level]],"REORDER","OK")</f>
        <v>OK</v>
      </c>
      <c r="U110" t="s">
        <v>3836</v>
      </c>
      <c r="V110" s="14">
        <f ca="1">TODAY()-Inventory_Table[[#This Row],[Last_Order_Date]]</f>
        <v>496</v>
      </c>
    </row>
    <row r="111" spans="1:22" x14ac:dyDescent="0.35">
      <c r="A111" t="s">
        <v>653</v>
      </c>
      <c r="B111" t="s">
        <v>163</v>
      </c>
      <c r="C111" t="s">
        <v>654</v>
      </c>
      <c r="D111" t="s">
        <v>655</v>
      </c>
      <c r="E111" t="s">
        <v>30</v>
      </c>
      <c r="F111" t="s">
        <v>656</v>
      </c>
      <c r="G111" t="s">
        <v>657</v>
      </c>
      <c r="H111" s="1">
        <v>46147</v>
      </c>
      <c r="I111" s="6">
        <v>45592</v>
      </c>
      <c r="J111" s="6">
        <v>46244</v>
      </c>
      <c r="K111">
        <v>91</v>
      </c>
      <c r="L111">
        <v>78</v>
      </c>
      <c r="M111">
        <v>61</v>
      </c>
      <c r="N111" s="8">
        <v>25</v>
      </c>
      <c r="O111">
        <v>63</v>
      </c>
      <c r="P111">
        <v>15</v>
      </c>
      <c r="Q111" s="3">
        <v>0.89</v>
      </c>
      <c r="R111">
        <f>Inventory_Table[[#This Row],[Stock_Quantity]]*Inventory_Table[[#This Row],[Unit_Price]]</f>
        <v>2275</v>
      </c>
      <c r="S111">
        <f>Inventory_Table[[#This Row],[Sales_Volume]]*Inventory_Table[[#This Row],[Unit_Price]]</f>
        <v>1575</v>
      </c>
      <c r="T111" t="str">
        <f>IF(Inventory_Table[[#This Row],[Stock_Quantity]]&lt;=Inventory_Table[[#This Row],[Reorder_Level]],"REORDER","OK")</f>
        <v>OK</v>
      </c>
      <c r="U111" t="s">
        <v>3836</v>
      </c>
      <c r="V111" s="14">
        <f ca="1">TODAY()-Inventory_Table[[#This Row],[Last_Order_Date]]</f>
        <v>584</v>
      </c>
    </row>
    <row r="112" spans="1:22" x14ac:dyDescent="0.35">
      <c r="A112" t="s">
        <v>26</v>
      </c>
      <c r="B112" t="s">
        <v>27</v>
      </c>
      <c r="C112" t="s">
        <v>660</v>
      </c>
      <c r="D112" t="s">
        <v>661</v>
      </c>
      <c r="E112" t="s">
        <v>68</v>
      </c>
      <c r="F112" t="s">
        <v>662</v>
      </c>
      <c r="G112" t="s">
        <v>663</v>
      </c>
      <c r="H112" s="1">
        <v>46147</v>
      </c>
      <c r="I112" s="6">
        <v>45516</v>
      </c>
      <c r="J112" s="6">
        <v>46193</v>
      </c>
      <c r="K112">
        <v>18</v>
      </c>
      <c r="L112">
        <v>72</v>
      </c>
      <c r="M112">
        <v>71</v>
      </c>
      <c r="N112" s="8">
        <v>2</v>
      </c>
      <c r="O112">
        <v>25</v>
      </c>
      <c r="P112">
        <v>81</v>
      </c>
      <c r="Q112" s="3">
        <v>0.76</v>
      </c>
      <c r="R112">
        <f>Inventory_Table[[#This Row],[Stock_Quantity]]*Inventory_Table[[#This Row],[Unit_Price]]</f>
        <v>36</v>
      </c>
      <c r="S112">
        <f>Inventory_Table[[#This Row],[Sales_Volume]]*Inventory_Table[[#This Row],[Unit_Price]]</f>
        <v>50</v>
      </c>
      <c r="T112" t="str">
        <f>IF(Inventory_Table[[#This Row],[Stock_Quantity]]&lt;=Inventory_Table[[#This Row],[Reorder_Level]],"REORDER","OK")</f>
        <v>REORDER</v>
      </c>
      <c r="U112" t="s">
        <v>3837</v>
      </c>
      <c r="V112" s="14">
        <f ca="1">TODAY()-Inventory_Table[[#This Row],[Last_Order_Date]]</f>
        <v>660</v>
      </c>
    </row>
    <row r="113" spans="1:22" x14ac:dyDescent="0.35">
      <c r="A113" t="s">
        <v>665</v>
      </c>
      <c r="B113" t="s">
        <v>65</v>
      </c>
      <c r="C113" t="s">
        <v>666</v>
      </c>
      <c r="D113" t="s">
        <v>667</v>
      </c>
      <c r="E113" t="s">
        <v>21</v>
      </c>
      <c r="F113" t="s">
        <v>668</v>
      </c>
      <c r="G113" t="s">
        <v>669</v>
      </c>
      <c r="H113" s="1">
        <v>46147</v>
      </c>
      <c r="I113" s="6">
        <v>45495</v>
      </c>
      <c r="J113" s="6">
        <v>46442</v>
      </c>
      <c r="K113">
        <v>80</v>
      </c>
      <c r="L113">
        <v>86</v>
      </c>
      <c r="M113">
        <v>50</v>
      </c>
      <c r="N113" s="8">
        <v>1.8</v>
      </c>
      <c r="O113">
        <v>46</v>
      </c>
      <c r="P113">
        <v>69</v>
      </c>
      <c r="Q113" s="3">
        <v>-2.2400000000000002</v>
      </c>
      <c r="R113">
        <f>Inventory_Table[[#This Row],[Stock_Quantity]]*Inventory_Table[[#This Row],[Unit_Price]]</f>
        <v>144</v>
      </c>
      <c r="S113">
        <f>Inventory_Table[[#This Row],[Sales_Volume]]*Inventory_Table[[#This Row],[Unit_Price]]</f>
        <v>82.8</v>
      </c>
      <c r="T113" t="str">
        <f>IF(Inventory_Table[[#This Row],[Stock_Quantity]]&lt;=Inventory_Table[[#This Row],[Reorder_Level]],"REORDER","OK")</f>
        <v>REORDER</v>
      </c>
      <c r="U113" t="s">
        <v>3836</v>
      </c>
      <c r="V113" s="14">
        <f ca="1">TODAY()-Inventory_Table[[#This Row],[Last_Order_Date]]</f>
        <v>681</v>
      </c>
    </row>
    <row r="114" spans="1:22" x14ac:dyDescent="0.35">
      <c r="A114" t="s">
        <v>671</v>
      </c>
      <c r="B114" t="s">
        <v>65</v>
      </c>
      <c r="C114" t="s">
        <v>672</v>
      </c>
      <c r="D114" t="s">
        <v>673</v>
      </c>
      <c r="E114" t="s">
        <v>21</v>
      </c>
      <c r="F114" t="s">
        <v>674</v>
      </c>
      <c r="G114" t="s">
        <v>675</v>
      </c>
      <c r="H114" s="1">
        <v>46148</v>
      </c>
      <c r="I114" s="6">
        <v>45562</v>
      </c>
      <c r="J114" s="6">
        <v>46236</v>
      </c>
      <c r="K114">
        <v>11</v>
      </c>
      <c r="L114">
        <v>10</v>
      </c>
      <c r="M114">
        <v>80</v>
      </c>
      <c r="N114" s="8">
        <v>1.5</v>
      </c>
      <c r="O114">
        <v>48</v>
      </c>
      <c r="P114">
        <v>65</v>
      </c>
      <c r="Q114" s="3">
        <v>-0.5</v>
      </c>
      <c r="R114">
        <f>Inventory_Table[[#This Row],[Stock_Quantity]]*Inventory_Table[[#This Row],[Unit_Price]]</f>
        <v>16.5</v>
      </c>
      <c r="S114">
        <f>Inventory_Table[[#This Row],[Sales_Volume]]*Inventory_Table[[#This Row],[Unit_Price]]</f>
        <v>72</v>
      </c>
      <c r="T114" t="str">
        <f>IF(Inventory_Table[[#This Row],[Stock_Quantity]]&lt;=Inventory_Table[[#This Row],[Reorder_Level]],"REORDER","OK")</f>
        <v>OK</v>
      </c>
      <c r="U114" t="s">
        <v>3836</v>
      </c>
      <c r="V114" s="14">
        <f ca="1">TODAY()-Inventory_Table[[#This Row],[Last_Order_Date]]</f>
        <v>614</v>
      </c>
    </row>
    <row r="115" spans="1:22" x14ac:dyDescent="0.35">
      <c r="A115" t="s">
        <v>289</v>
      </c>
      <c r="B115" t="s">
        <v>114</v>
      </c>
      <c r="C115" t="s">
        <v>677</v>
      </c>
      <c r="D115" t="s">
        <v>678</v>
      </c>
      <c r="E115" t="s">
        <v>30</v>
      </c>
      <c r="F115" t="s">
        <v>679</v>
      </c>
      <c r="G115" t="s">
        <v>680</v>
      </c>
      <c r="H115" s="1">
        <v>46148</v>
      </c>
      <c r="I115" s="6">
        <v>45673</v>
      </c>
      <c r="J115" s="6">
        <v>46347</v>
      </c>
      <c r="K115">
        <v>99</v>
      </c>
      <c r="L115">
        <v>3</v>
      </c>
      <c r="M115">
        <v>79</v>
      </c>
      <c r="N115" s="8">
        <v>5</v>
      </c>
      <c r="O115">
        <v>65</v>
      </c>
      <c r="P115">
        <v>16</v>
      </c>
      <c r="Q115" s="3">
        <v>-0.35</v>
      </c>
      <c r="R115">
        <f>Inventory_Table[[#This Row],[Stock_Quantity]]*Inventory_Table[[#This Row],[Unit_Price]]</f>
        <v>495</v>
      </c>
      <c r="S115">
        <f>Inventory_Table[[#This Row],[Sales_Volume]]*Inventory_Table[[#This Row],[Unit_Price]]</f>
        <v>325</v>
      </c>
      <c r="T115" t="str">
        <f>IF(Inventory_Table[[#This Row],[Stock_Quantity]]&lt;=Inventory_Table[[#This Row],[Reorder_Level]],"REORDER","OK")</f>
        <v>OK</v>
      </c>
      <c r="U115" t="s">
        <v>3836</v>
      </c>
      <c r="V115" s="14">
        <f ca="1">TODAY()-Inventory_Table[[#This Row],[Last_Order_Date]]</f>
        <v>503</v>
      </c>
    </row>
    <row r="116" spans="1:22" x14ac:dyDescent="0.35">
      <c r="A116" t="s">
        <v>596</v>
      </c>
      <c r="B116" t="s">
        <v>18</v>
      </c>
      <c r="C116" t="s">
        <v>681</v>
      </c>
      <c r="D116" t="s">
        <v>682</v>
      </c>
      <c r="E116" t="s">
        <v>68</v>
      </c>
      <c r="F116" t="s">
        <v>683</v>
      </c>
      <c r="G116" t="s">
        <v>684</v>
      </c>
      <c r="H116" s="1">
        <v>46148</v>
      </c>
      <c r="I116" s="6">
        <v>45538</v>
      </c>
      <c r="J116" s="6">
        <v>46189</v>
      </c>
      <c r="K116">
        <v>40</v>
      </c>
      <c r="L116">
        <v>83</v>
      </c>
      <c r="M116">
        <v>50</v>
      </c>
      <c r="N116" s="8">
        <v>4</v>
      </c>
      <c r="O116">
        <v>92</v>
      </c>
      <c r="P116">
        <v>50</v>
      </c>
      <c r="Q116" s="3">
        <v>0.75</v>
      </c>
      <c r="R116">
        <f>Inventory_Table[[#This Row],[Stock_Quantity]]*Inventory_Table[[#This Row],[Unit_Price]]</f>
        <v>160</v>
      </c>
      <c r="S116">
        <f>Inventory_Table[[#This Row],[Sales_Volume]]*Inventory_Table[[#This Row],[Unit_Price]]</f>
        <v>368</v>
      </c>
      <c r="T116" t="str">
        <f>IF(Inventory_Table[[#This Row],[Stock_Quantity]]&lt;=Inventory_Table[[#This Row],[Reorder_Level]],"REORDER","OK")</f>
        <v>REORDER</v>
      </c>
      <c r="U116" t="s">
        <v>3837</v>
      </c>
      <c r="V116" s="14">
        <f ca="1">TODAY()-Inventory_Table[[#This Row],[Last_Order_Date]]</f>
        <v>638</v>
      </c>
    </row>
    <row r="117" spans="1:22" x14ac:dyDescent="0.35">
      <c r="A117" t="s">
        <v>685</v>
      </c>
      <c r="B117" t="s">
        <v>114</v>
      </c>
      <c r="C117" t="s">
        <v>686</v>
      </c>
      <c r="D117" t="s">
        <v>687</v>
      </c>
      <c r="E117" t="s">
        <v>30</v>
      </c>
      <c r="F117" t="s">
        <v>688</v>
      </c>
      <c r="G117" t="s">
        <v>689</v>
      </c>
      <c r="H117" s="1">
        <v>46149</v>
      </c>
      <c r="I117" s="6">
        <v>45499</v>
      </c>
      <c r="J117" s="6">
        <v>46120</v>
      </c>
      <c r="K117">
        <v>69</v>
      </c>
      <c r="L117">
        <v>65</v>
      </c>
      <c r="M117">
        <v>91</v>
      </c>
      <c r="N117" s="8">
        <v>3</v>
      </c>
      <c r="O117">
        <v>98</v>
      </c>
      <c r="P117">
        <v>50</v>
      </c>
      <c r="Q117" s="3">
        <v>0.46</v>
      </c>
      <c r="R117">
        <f>Inventory_Table[[#This Row],[Stock_Quantity]]*Inventory_Table[[#This Row],[Unit_Price]]</f>
        <v>207</v>
      </c>
      <c r="S117">
        <f>Inventory_Table[[#This Row],[Sales_Volume]]*Inventory_Table[[#This Row],[Unit_Price]]</f>
        <v>294</v>
      </c>
      <c r="T117" t="str">
        <f>IF(Inventory_Table[[#This Row],[Stock_Quantity]]&lt;=Inventory_Table[[#This Row],[Reorder_Level]],"REORDER","OK")</f>
        <v>OK</v>
      </c>
      <c r="U117" t="s">
        <v>3838</v>
      </c>
      <c r="V117" s="14">
        <f ca="1">TODAY()-Inventory_Table[[#This Row],[Last_Order_Date]]</f>
        <v>677</v>
      </c>
    </row>
    <row r="118" spans="1:22" x14ac:dyDescent="0.35">
      <c r="A118" t="s">
        <v>690</v>
      </c>
      <c r="B118" t="s">
        <v>36</v>
      </c>
      <c r="C118" t="s">
        <v>691</v>
      </c>
      <c r="D118" t="s">
        <v>692</v>
      </c>
      <c r="E118" t="s">
        <v>68</v>
      </c>
      <c r="F118" t="s">
        <v>693</v>
      </c>
      <c r="G118" t="s">
        <v>694</v>
      </c>
      <c r="H118" s="1">
        <v>46149</v>
      </c>
      <c r="I118" s="6">
        <v>45569</v>
      </c>
      <c r="J118" s="6">
        <v>46212</v>
      </c>
      <c r="K118">
        <v>60</v>
      </c>
      <c r="L118">
        <v>43</v>
      </c>
      <c r="M118">
        <v>32</v>
      </c>
      <c r="N118" s="8">
        <v>2.5</v>
      </c>
      <c r="O118">
        <v>77</v>
      </c>
      <c r="P118">
        <v>60</v>
      </c>
      <c r="Q118" s="3">
        <v>0.49</v>
      </c>
      <c r="R118">
        <f>Inventory_Table[[#This Row],[Stock_Quantity]]*Inventory_Table[[#This Row],[Unit_Price]]</f>
        <v>150</v>
      </c>
      <c r="S118">
        <f>Inventory_Table[[#This Row],[Sales_Volume]]*Inventory_Table[[#This Row],[Unit_Price]]</f>
        <v>192.5</v>
      </c>
      <c r="T118" t="str">
        <f>IF(Inventory_Table[[#This Row],[Stock_Quantity]]&lt;=Inventory_Table[[#This Row],[Reorder_Level]],"REORDER","OK")</f>
        <v>OK</v>
      </c>
      <c r="U118" t="s">
        <v>3836</v>
      </c>
      <c r="V118" s="14">
        <f ca="1">TODAY()-Inventory_Table[[#This Row],[Last_Order_Date]]</f>
        <v>607</v>
      </c>
    </row>
    <row r="119" spans="1:22" x14ac:dyDescent="0.35">
      <c r="A119" t="s">
        <v>695</v>
      </c>
      <c r="B119" t="s">
        <v>65</v>
      </c>
      <c r="C119" t="s">
        <v>696</v>
      </c>
      <c r="D119" t="s">
        <v>697</v>
      </c>
      <c r="E119" t="s">
        <v>21</v>
      </c>
      <c r="F119" t="s">
        <v>698</v>
      </c>
      <c r="G119" t="s">
        <v>699</v>
      </c>
      <c r="H119" s="1">
        <v>46149</v>
      </c>
      <c r="I119" s="6">
        <v>45573</v>
      </c>
      <c r="J119" s="6">
        <v>46266</v>
      </c>
      <c r="K119">
        <v>79</v>
      </c>
      <c r="L119">
        <v>38</v>
      </c>
      <c r="M119">
        <v>67</v>
      </c>
      <c r="N119" s="8">
        <v>2.5</v>
      </c>
      <c r="O119">
        <v>43</v>
      </c>
      <c r="P119">
        <v>93</v>
      </c>
      <c r="Q119" s="3">
        <v>0.22</v>
      </c>
      <c r="R119">
        <f>Inventory_Table[[#This Row],[Stock_Quantity]]*Inventory_Table[[#This Row],[Unit_Price]]</f>
        <v>197.5</v>
      </c>
      <c r="S119">
        <f>Inventory_Table[[#This Row],[Sales_Volume]]*Inventory_Table[[#This Row],[Unit_Price]]</f>
        <v>107.5</v>
      </c>
      <c r="T119" t="str">
        <f>IF(Inventory_Table[[#This Row],[Stock_Quantity]]&lt;=Inventory_Table[[#This Row],[Reorder_Level]],"REORDER","OK")</f>
        <v>OK</v>
      </c>
      <c r="U119" t="s">
        <v>3836</v>
      </c>
      <c r="V119" s="14">
        <f ca="1">TODAY()-Inventory_Table[[#This Row],[Last_Order_Date]]</f>
        <v>603</v>
      </c>
    </row>
    <row r="120" spans="1:22" x14ac:dyDescent="0.35">
      <c r="A120" t="s">
        <v>619</v>
      </c>
      <c r="B120" t="s">
        <v>18</v>
      </c>
      <c r="C120" t="s">
        <v>338</v>
      </c>
      <c r="D120" t="s">
        <v>700</v>
      </c>
      <c r="E120" t="s">
        <v>30</v>
      </c>
      <c r="F120" t="s">
        <v>701</v>
      </c>
      <c r="G120" t="s">
        <v>702</v>
      </c>
      <c r="H120" s="1">
        <v>46150</v>
      </c>
      <c r="I120" s="6">
        <v>45668</v>
      </c>
      <c r="J120" s="6">
        <v>46207</v>
      </c>
      <c r="K120">
        <v>68</v>
      </c>
      <c r="L120">
        <v>12</v>
      </c>
      <c r="M120">
        <v>73</v>
      </c>
      <c r="N120" s="8">
        <v>5</v>
      </c>
      <c r="O120">
        <v>84</v>
      </c>
      <c r="P120">
        <v>95</v>
      </c>
      <c r="Q120" s="3">
        <v>-1.1599999999999999</v>
      </c>
      <c r="R120">
        <f>Inventory_Table[[#This Row],[Stock_Quantity]]*Inventory_Table[[#This Row],[Unit_Price]]</f>
        <v>340</v>
      </c>
      <c r="S120">
        <f>Inventory_Table[[#This Row],[Sales_Volume]]*Inventory_Table[[#This Row],[Unit_Price]]</f>
        <v>420</v>
      </c>
      <c r="T120" t="str">
        <f>IF(Inventory_Table[[#This Row],[Stock_Quantity]]&lt;=Inventory_Table[[#This Row],[Reorder_Level]],"REORDER","OK")</f>
        <v>OK</v>
      </c>
      <c r="U120" t="s">
        <v>3836</v>
      </c>
      <c r="V120" s="14">
        <f ca="1">TODAY()-Inventory_Table[[#This Row],[Last_Order_Date]]</f>
        <v>508</v>
      </c>
    </row>
    <row r="121" spans="1:22" x14ac:dyDescent="0.35">
      <c r="A121" t="s">
        <v>388</v>
      </c>
      <c r="B121" t="s">
        <v>75</v>
      </c>
      <c r="C121" t="s">
        <v>703</v>
      </c>
      <c r="D121" t="s">
        <v>704</v>
      </c>
      <c r="E121" t="s">
        <v>68</v>
      </c>
      <c r="F121" t="s">
        <v>705</v>
      </c>
      <c r="G121" t="s">
        <v>706</v>
      </c>
      <c r="H121" s="1">
        <v>46151</v>
      </c>
      <c r="I121" s="6">
        <v>45556</v>
      </c>
      <c r="J121" s="6">
        <v>46105</v>
      </c>
      <c r="K121">
        <v>44</v>
      </c>
      <c r="L121">
        <v>67</v>
      </c>
      <c r="M121">
        <v>48</v>
      </c>
      <c r="N121" s="8">
        <v>6</v>
      </c>
      <c r="O121">
        <v>90</v>
      </c>
      <c r="P121">
        <v>11</v>
      </c>
      <c r="Q121" s="3">
        <v>-0.13</v>
      </c>
      <c r="R121">
        <f>Inventory_Table[[#This Row],[Stock_Quantity]]*Inventory_Table[[#This Row],[Unit_Price]]</f>
        <v>264</v>
      </c>
      <c r="S121">
        <f>Inventory_Table[[#This Row],[Sales_Volume]]*Inventory_Table[[#This Row],[Unit_Price]]</f>
        <v>540</v>
      </c>
      <c r="T121" t="str">
        <f>IF(Inventory_Table[[#This Row],[Stock_Quantity]]&lt;=Inventory_Table[[#This Row],[Reorder_Level]],"REORDER","OK")</f>
        <v>REORDER</v>
      </c>
      <c r="U121" t="s">
        <v>3838</v>
      </c>
      <c r="V121" s="14">
        <f ca="1">TODAY()-Inventory_Table[[#This Row],[Last_Order_Date]]</f>
        <v>620</v>
      </c>
    </row>
    <row r="122" spans="1:22" x14ac:dyDescent="0.35">
      <c r="A122" t="s">
        <v>708</v>
      </c>
      <c r="B122" t="s">
        <v>163</v>
      </c>
      <c r="C122" t="s">
        <v>201</v>
      </c>
      <c r="D122" t="s">
        <v>709</v>
      </c>
      <c r="E122" t="s">
        <v>68</v>
      </c>
      <c r="F122" t="s">
        <v>710</v>
      </c>
      <c r="G122" t="s">
        <v>711</v>
      </c>
      <c r="H122" s="1">
        <v>46151</v>
      </c>
      <c r="I122" s="6">
        <v>45588</v>
      </c>
      <c r="J122" s="6">
        <v>46145</v>
      </c>
      <c r="K122">
        <v>40</v>
      </c>
      <c r="L122">
        <v>30</v>
      </c>
      <c r="M122">
        <v>60</v>
      </c>
      <c r="N122" s="8">
        <v>15</v>
      </c>
      <c r="O122">
        <v>33</v>
      </c>
      <c r="P122">
        <v>84</v>
      </c>
      <c r="Q122" s="3">
        <v>0.88</v>
      </c>
      <c r="R122">
        <f>Inventory_Table[[#This Row],[Stock_Quantity]]*Inventory_Table[[#This Row],[Unit_Price]]</f>
        <v>600</v>
      </c>
      <c r="S122">
        <f>Inventory_Table[[#This Row],[Sales_Volume]]*Inventory_Table[[#This Row],[Unit_Price]]</f>
        <v>495</v>
      </c>
      <c r="T122" t="str">
        <f>IF(Inventory_Table[[#This Row],[Stock_Quantity]]&lt;=Inventory_Table[[#This Row],[Reorder_Level]],"REORDER","OK")</f>
        <v>OK</v>
      </c>
      <c r="U122" t="s">
        <v>3838</v>
      </c>
      <c r="V122" s="14">
        <f ca="1">TODAY()-Inventory_Table[[#This Row],[Last_Order_Date]]</f>
        <v>588</v>
      </c>
    </row>
    <row r="123" spans="1:22" x14ac:dyDescent="0.35">
      <c r="A123" t="s">
        <v>695</v>
      </c>
      <c r="B123" t="s">
        <v>65</v>
      </c>
      <c r="C123" t="s">
        <v>714</v>
      </c>
      <c r="D123" t="s">
        <v>715</v>
      </c>
      <c r="E123" t="s">
        <v>68</v>
      </c>
      <c r="F123" t="s">
        <v>716</v>
      </c>
      <c r="G123" t="s">
        <v>717</v>
      </c>
      <c r="H123" s="1">
        <v>46151</v>
      </c>
      <c r="I123" s="6">
        <v>45546</v>
      </c>
      <c r="J123" s="6">
        <v>46403</v>
      </c>
      <c r="K123">
        <v>46</v>
      </c>
      <c r="L123">
        <v>81</v>
      </c>
      <c r="M123">
        <v>47</v>
      </c>
      <c r="N123" s="8">
        <v>2.5</v>
      </c>
      <c r="O123">
        <v>48</v>
      </c>
      <c r="P123">
        <v>48</v>
      </c>
      <c r="Q123" s="3">
        <v>-1.55</v>
      </c>
      <c r="R123">
        <f>Inventory_Table[[#This Row],[Stock_Quantity]]*Inventory_Table[[#This Row],[Unit_Price]]</f>
        <v>115</v>
      </c>
      <c r="S123">
        <f>Inventory_Table[[#This Row],[Sales_Volume]]*Inventory_Table[[#This Row],[Unit_Price]]</f>
        <v>120</v>
      </c>
      <c r="T123" t="str">
        <f>IF(Inventory_Table[[#This Row],[Stock_Quantity]]&lt;=Inventory_Table[[#This Row],[Reorder_Level]],"REORDER","OK")</f>
        <v>REORDER</v>
      </c>
      <c r="U123" t="s">
        <v>3836</v>
      </c>
      <c r="V123" s="14">
        <f ca="1">TODAY()-Inventory_Table[[#This Row],[Last_Order_Date]]</f>
        <v>630</v>
      </c>
    </row>
    <row r="124" spans="1:22" x14ac:dyDescent="0.35">
      <c r="A124" t="s">
        <v>718</v>
      </c>
      <c r="B124" t="s">
        <v>65</v>
      </c>
      <c r="C124" t="s">
        <v>223</v>
      </c>
      <c r="D124" t="s">
        <v>719</v>
      </c>
      <c r="E124" t="s">
        <v>30</v>
      </c>
      <c r="F124" t="s">
        <v>720</v>
      </c>
      <c r="G124" t="s">
        <v>721</v>
      </c>
      <c r="H124" s="1">
        <v>46152</v>
      </c>
      <c r="I124" s="6">
        <v>45395</v>
      </c>
      <c r="J124" s="6">
        <v>46379</v>
      </c>
      <c r="K124">
        <v>24</v>
      </c>
      <c r="L124">
        <v>69</v>
      </c>
      <c r="M124">
        <v>2</v>
      </c>
      <c r="N124" s="8">
        <v>2</v>
      </c>
      <c r="O124">
        <v>20</v>
      </c>
      <c r="P124">
        <v>20</v>
      </c>
      <c r="Q124" s="3">
        <v>0</v>
      </c>
      <c r="R124">
        <f>Inventory_Table[[#This Row],[Stock_Quantity]]*Inventory_Table[[#This Row],[Unit_Price]]</f>
        <v>48</v>
      </c>
      <c r="S124">
        <f>Inventory_Table[[#This Row],[Sales_Volume]]*Inventory_Table[[#This Row],[Unit_Price]]</f>
        <v>40</v>
      </c>
      <c r="T124" t="str">
        <f>IF(Inventory_Table[[#This Row],[Stock_Quantity]]&lt;=Inventory_Table[[#This Row],[Reorder_Level]],"REORDER","OK")</f>
        <v>REORDER</v>
      </c>
      <c r="U124" t="s">
        <v>3836</v>
      </c>
      <c r="V124" s="14">
        <f ca="1">TODAY()-Inventory_Table[[#This Row],[Last_Order_Date]]</f>
        <v>781</v>
      </c>
    </row>
    <row r="125" spans="1:22" x14ac:dyDescent="0.35">
      <c r="A125" t="s">
        <v>200</v>
      </c>
      <c r="B125" t="s">
        <v>163</v>
      </c>
      <c r="C125" t="s">
        <v>723</v>
      </c>
      <c r="D125" t="s">
        <v>724</v>
      </c>
      <c r="E125" t="s">
        <v>68</v>
      </c>
      <c r="F125" t="s">
        <v>725</v>
      </c>
      <c r="G125" t="s">
        <v>726</v>
      </c>
      <c r="H125" s="1">
        <v>46152</v>
      </c>
      <c r="I125" s="6">
        <v>45483</v>
      </c>
      <c r="J125" s="6">
        <v>46250</v>
      </c>
      <c r="K125">
        <v>29</v>
      </c>
      <c r="L125">
        <v>91</v>
      </c>
      <c r="M125">
        <v>48</v>
      </c>
      <c r="N125" s="8">
        <v>12</v>
      </c>
      <c r="O125">
        <v>28</v>
      </c>
      <c r="P125">
        <v>40</v>
      </c>
      <c r="Q125" s="3">
        <v>0</v>
      </c>
      <c r="R125">
        <f>Inventory_Table[[#This Row],[Stock_Quantity]]*Inventory_Table[[#This Row],[Unit_Price]]</f>
        <v>348</v>
      </c>
      <c r="S125">
        <f>Inventory_Table[[#This Row],[Sales_Volume]]*Inventory_Table[[#This Row],[Unit_Price]]</f>
        <v>336</v>
      </c>
      <c r="T125" t="str">
        <f>IF(Inventory_Table[[#This Row],[Stock_Quantity]]&lt;=Inventory_Table[[#This Row],[Reorder_Level]],"REORDER","OK")</f>
        <v>REORDER</v>
      </c>
      <c r="U125" t="s">
        <v>3836</v>
      </c>
      <c r="V125" s="14">
        <f ca="1">TODAY()-Inventory_Table[[#This Row],[Last_Order_Date]]</f>
        <v>693</v>
      </c>
    </row>
    <row r="126" spans="1:22" x14ac:dyDescent="0.35">
      <c r="A126" t="s">
        <v>727</v>
      </c>
      <c r="B126" t="s">
        <v>36</v>
      </c>
      <c r="C126" t="s">
        <v>728</v>
      </c>
      <c r="D126" t="s">
        <v>729</v>
      </c>
      <c r="E126" t="s">
        <v>21</v>
      </c>
      <c r="F126" t="s">
        <v>730</v>
      </c>
      <c r="G126" t="s">
        <v>731</v>
      </c>
      <c r="H126" s="1">
        <v>46153</v>
      </c>
      <c r="I126" s="6">
        <v>45480</v>
      </c>
      <c r="J126" s="6">
        <v>46199</v>
      </c>
      <c r="K126">
        <v>97</v>
      </c>
      <c r="L126">
        <v>88</v>
      </c>
      <c r="M126">
        <v>81</v>
      </c>
      <c r="N126" s="8">
        <v>0.8</v>
      </c>
      <c r="O126">
        <v>97</v>
      </c>
      <c r="P126">
        <v>18</v>
      </c>
      <c r="Q126" s="3">
        <v>-0.43</v>
      </c>
      <c r="R126">
        <f>Inventory_Table[[#This Row],[Stock_Quantity]]*Inventory_Table[[#This Row],[Unit_Price]]</f>
        <v>77.600000000000009</v>
      </c>
      <c r="S126">
        <f>Inventory_Table[[#This Row],[Sales_Volume]]*Inventory_Table[[#This Row],[Unit_Price]]</f>
        <v>77.600000000000009</v>
      </c>
      <c r="T126" t="str">
        <f>IF(Inventory_Table[[#This Row],[Stock_Quantity]]&lt;=Inventory_Table[[#This Row],[Reorder_Level]],"REORDER","OK")</f>
        <v>OK</v>
      </c>
      <c r="U126" t="s">
        <v>3837</v>
      </c>
      <c r="V126" s="14">
        <f ca="1">TODAY()-Inventory_Table[[#This Row],[Last_Order_Date]]</f>
        <v>696</v>
      </c>
    </row>
    <row r="127" spans="1:22" x14ac:dyDescent="0.35">
      <c r="A127" t="s">
        <v>734</v>
      </c>
      <c r="B127" t="s">
        <v>163</v>
      </c>
      <c r="C127" t="s">
        <v>735</v>
      </c>
      <c r="D127" t="s">
        <v>736</v>
      </c>
      <c r="E127" t="s">
        <v>21</v>
      </c>
      <c r="F127" t="s">
        <v>737</v>
      </c>
      <c r="G127" t="s">
        <v>738</v>
      </c>
      <c r="H127" s="1">
        <v>46153</v>
      </c>
      <c r="I127" s="6">
        <v>45523</v>
      </c>
      <c r="J127" s="6">
        <v>46196</v>
      </c>
      <c r="K127">
        <v>77</v>
      </c>
      <c r="L127">
        <v>45</v>
      </c>
      <c r="M127">
        <v>75</v>
      </c>
      <c r="N127" s="8">
        <v>30</v>
      </c>
      <c r="O127">
        <v>25</v>
      </c>
      <c r="P127">
        <v>37</v>
      </c>
      <c r="Q127" s="3">
        <v>0.81</v>
      </c>
      <c r="R127">
        <f>Inventory_Table[[#This Row],[Stock_Quantity]]*Inventory_Table[[#This Row],[Unit_Price]]</f>
        <v>2310</v>
      </c>
      <c r="S127">
        <f>Inventory_Table[[#This Row],[Sales_Volume]]*Inventory_Table[[#This Row],[Unit_Price]]</f>
        <v>750</v>
      </c>
      <c r="T127" t="str">
        <f>IF(Inventory_Table[[#This Row],[Stock_Quantity]]&lt;=Inventory_Table[[#This Row],[Reorder_Level]],"REORDER","OK")</f>
        <v>OK</v>
      </c>
      <c r="U127" t="s">
        <v>3837</v>
      </c>
      <c r="V127" s="14">
        <f ca="1">TODAY()-Inventory_Table[[#This Row],[Last_Order_Date]]</f>
        <v>653</v>
      </c>
    </row>
    <row r="128" spans="1:22" x14ac:dyDescent="0.35">
      <c r="A128" t="s">
        <v>741</v>
      </c>
      <c r="B128" t="s">
        <v>27</v>
      </c>
      <c r="C128" t="s">
        <v>460</v>
      </c>
      <c r="D128" t="s">
        <v>742</v>
      </c>
      <c r="E128" t="s">
        <v>21</v>
      </c>
      <c r="F128" t="s">
        <v>743</v>
      </c>
      <c r="G128" t="s">
        <v>744</v>
      </c>
      <c r="H128" s="1">
        <v>46153</v>
      </c>
      <c r="I128" s="6">
        <v>45484</v>
      </c>
      <c r="J128" s="6">
        <v>46133</v>
      </c>
      <c r="K128">
        <v>33</v>
      </c>
      <c r="L128">
        <v>78</v>
      </c>
      <c r="M128">
        <v>79</v>
      </c>
      <c r="N128" s="8">
        <v>5</v>
      </c>
      <c r="O128">
        <v>60</v>
      </c>
      <c r="P128">
        <v>25</v>
      </c>
      <c r="Q128" s="3">
        <v>-0.48</v>
      </c>
      <c r="R128">
        <f>Inventory_Table[[#This Row],[Stock_Quantity]]*Inventory_Table[[#This Row],[Unit_Price]]</f>
        <v>165</v>
      </c>
      <c r="S128">
        <f>Inventory_Table[[#This Row],[Sales_Volume]]*Inventory_Table[[#This Row],[Unit_Price]]</f>
        <v>300</v>
      </c>
      <c r="T128" t="str">
        <f>IF(Inventory_Table[[#This Row],[Stock_Quantity]]&lt;=Inventory_Table[[#This Row],[Reorder_Level]],"REORDER","OK")</f>
        <v>REORDER</v>
      </c>
      <c r="U128" t="s">
        <v>3838</v>
      </c>
      <c r="V128" s="14">
        <f ca="1">TODAY()-Inventory_Table[[#This Row],[Last_Order_Date]]</f>
        <v>692</v>
      </c>
    </row>
    <row r="129" spans="1:22" x14ac:dyDescent="0.35">
      <c r="A129" t="s">
        <v>350</v>
      </c>
      <c r="B129" t="s">
        <v>36</v>
      </c>
      <c r="C129" t="s">
        <v>746</v>
      </c>
      <c r="D129" t="s">
        <v>747</v>
      </c>
      <c r="E129" t="s">
        <v>21</v>
      </c>
      <c r="F129" t="s">
        <v>748</v>
      </c>
      <c r="G129" t="s">
        <v>749</v>
      </c>
      <c r="H129" s="1">
        <v>46153</v>
      </c>
      <c r="I129" s="6">
        <v>45693</v>
      </c>
      <c r="J129" s="6">
        <v>46102</v>
      </c>
      <c r="K129">
        <v>77</v>
      </c>
      <c r="L129">
        <v>1</v>
      </c>
      <c r="M129">
        <v>41</v>
      </c>
      <c r="N129" s="8">
        <v>1</v>
      </c>
      <c r="O129">
        <v>58</v>
      </c>
      <c r="P129">
        <v>55</v>
      </c>
      <c r="Q129" s="3">
        <v>0.57999999999999996</v>
      </c>
      <c r="R129">
        <f>Inventory_Table[[#This Row],[Stock_Quantity]]*Inventory_Table[[#This Row],[Unit_Price]]</f>
        <v>77</v>
      </c>
      <c r="S129">
        <f>Inventory_Table[[#This Row],[Sales_Volume]]*Inventory_Table[[#This Row],[Unit_Price]]</f>
        <v>58</v>
      </c>
      <c r="T129" t="str">
        <f>IF(Inventory_Table[[#This Row],[Stock_Quantity]]&lt;=Inventory_Table[[#This Row],[Reorder_Level]],"REORDER","OK")</f>
        <v>OK</v>
      </c>
      <c r="U129" t="s">
        <v>3838</v>
      </c>
      <c r="V129" s="14">
        <f ca="1">TODAY()-Inventory_Table[[#This Row],[Last_Order_Date]]</f>
        <v>483</v>
      </c>
    </row>
    <row r="130" spans="1:22" x14ac:dyDescent="0.35">
      <c r="A130" t="s">
        <v>750</v>
      </c>
      <c r="B130" t="s">
        <v>36</v>
      </c>
      <c r="C130" t="s">
        <v>751</v>
      </c>
      <c r="D130" t="s">
        <v>752</v>
      </c>
      <c r="E130" t="s">
        <v>68</v>
      </c>
      <c r="F130" t="s">
        <v>753</v>
      </c>
      <c r="G130" t="s">
        <v>754</v>
      </c>
      <c r="H130" s="1">
        <v>46153</v>
      </c>
      <c r="I130" s="6">
        <v>45702</v>
      </c>
      <c r="J130" s="6">
        <v>46415</v>
      </c>
      <c r="K130">
        <v>28</v>
      </c>
      <c r="L130">
        <v>90</v>
      </c>
      <c r="M130">
        <v>70</v>
      </c>
      <c r="N130" s="8">
        <v>2.4500000000000002</v>
      </c>
      <c r="O130">
        <v>76</v>
      </c>
      <c r="P130">
        <v>78</v>
      </c>
      <c r="Q130" s="3">
        <v>0.05</v>
      </c>
      <c r="R130">
        <f>Inventory_Table[[#This Row],[Stock_Quantity]]*Inventory_Table[[#This Row],[Unit_Price]]</f>
        <v>68.600000000000009</v>
      </c>
      <c r="S130">
        <f>Inventory_Table[[#This Row],[Sales_Volume]]*Inventory_Table[[#This Row],[Unit_Price]]</f>
        <v>186.20000000000002</v>
      </c>
      <c r="T130" t="str">
        <f>IF(Inventory_Table[[#This Row],[Stock_Quantity]]&lt;=Inventory_Table[[#This Row],[Reorder_Level]],"REORDER","OK")</f>
        <v>REORDER</v>
      </c>
      <c r="U130" t="s">
        <v>3836</v>
      </c>
      <c r="V130" s="14">
        <f ca="1">TODAY()-Inventory_Table[[#This Row],[Last_Order_Date]]</f>
        <v>474</v>
      </c>
    </row>
    <row r="131" spans="1:22" x14ac:dyDescent="0.35">
      <c r="A131" t="s">
        <v>532</v>
      </c>
      <c r="B131" t="s">
        <v>75</v>
      </c>
      <c r="C131" t="s">
        <v>338</v>
      </c>
      <c r="D131" t="s">
        <v>757</v>
      </c>
      <c r="E131" t="s">
        <v>21</v>
      </c>
      <c r="F131" t="s">
        <v>758</v>
      </c>
      <c r="G131" t="s">
        <v>759</v>
      </c>
      <c r="H131" s="1">
        <v>46153</v>
      </c>
      <c r="I131" s="6">
        <v>45475</v>
      </c>
      <c r="J131" s="6">
        <v>46120</v>
      </c>
      <c r="K131">
        <v>85</v>
      </c>
      <c r="L131">
        <v>17</v>
      </c>
      <c r="M131">
        <v>96</v>
      </c>
      <c r="N131" s="8">
        <v>18</v>
      </c>
      <c r="O131">
        <v>92</v>
      </c>
      <c r="P131">
        <v>34</v>
      </c>
      <c r="Q131" s="3">
        <v>-0.03</v>
      </c>
      <c r="R131">
        <f>Inventory_Table[[#This Row],[Stock_Quantity]]*Inventory_Table[[#This Row],[Unit_Price]]</f>
        <v>1530</v>
      </c>
      <c r="S131">
        <f>Inventory_Table[[#This Row],[Sales_Volume]]*Inventory_Table[[#This Row],[Unit_Price]]</f>
        <v>1656</v>
      </c>
      <c r="T131" t="str">
        <f>IF(Inventory_Table[[#This Row],[Stock_Quantity]]&lt;=Inventory_Table[[#This Row],[Reorder_Level]],"REORDER","OK")</f>
        <v>OK</v>
      </c>
      <c r="U131" t="s">
        <v>3838</v>
      </c>
      <c r="V131" s="14">
        <f ca="1">TODAY()-Inventory_Table[[#This Row],[Last_Order_Date]]</f>
        <v>701</v>
      </c>
    </row>
    <row r="132" spans="1:22" x14ac:dyDescent="0.35">
      <c r="A132" t="s">
        <v>177</v>
      </c>
      <c r="B132" t="s">
        <v>18</v>
      </c>
      <c r="C132" t="s">
        <v>760</v>
      </c>
      <c r="D132" t="s">
        <v>761</v>
      </c>
      <c r="E132" t="s">
        <v>68</v>
      </c>
      <c r="F132" t="s">
        <v>762</v>
      </c>
      <c r="G132" t="s">
        <v>763</v>
      </c>
      <c r="H132" s="1">
        <v>46153</v>
      </c>
      <c r="I132" s="6">
        <v>45426</v>
      </c>
      <c r="J132" s="6">
        <v>46282</v>
      </c>
      <c r="K132">
        <v>73</v>
      </c>
      <c r="L132">
        <v>69</v>
      </c>
      <c r="M132">
        <v>1</v>
      </c>
      <c r="N132" s="8">
        <v>5</v>
      </c>
      <c r="O132">
        <v>50</v>
      </c>
      <c r="P132">
        <v>67</v>
      </c>
      <c r="Q132" s="3">
        <v>0.63</v>
      </c>
      <c r="R132">
        <f>Inventory_Table[[#This Row],[Stock_Quantity]]*Inventory_Table[[#This Row],[Unit_Price]]</f>
        <v>365</v>
      </c>
      <c r="S132">
        <f>Inventory_Table[[#This Row],[Sales_Volume]]*Inventory_Table[[#This Row],[Unit_Price]]</f>
        <v>250</v>
      </c>
      <c r="T132" t="str">
        <f>IF(Inventory_Table[[#This Row],[Stock_Quantity]]&lt;=Inventory_Table[[#This Row],[Reorder_Level]],"REORDER","OK")</f>
        <v>OK</v>
      </c>
      <c r="U132" t="s">
        <v>3836</v>
      </c>
      <c r="V132" s="14">
        <f ca="1">TODAY()-Inventory_Table[[#This Row],[Last_Order_Date]]</f>
        <v>750</v>
      </c>
    </row>
    <row r="133" spans="1:22" x14ac:dyDescent="0.35">
      <c r="A133" t="s">
        <v>435</v>
      </c>
      <c r="B133" t="s">
        <v>18</v>
      </c>
      <c r="C133" t="s">
        <v>404</v>
      </c>
      <c r="D133" t="s">
        <v>765</v>
      </c>
      <c r="E133" t="s">
        <v>30</v>
      </c>
      <c r="F133" t="s">
        <v>766</v>
      </c>
      <c r="G133" t="s">
        <v>767</v>
      </c>
      <c r="H133" s="1">
        <v>46153</v>
      </c>
      <c r="I133" s="6">
        <v>45604</v>
      </c>
      <c r="J133" s="6">
        <v>46374</v>
      </c>
      <c r="K133">
        <v>88</v>
      </c>
      <c r="L133">
        <v>24</v>
      </c>
      <c r="M133">
        <v>44</v>
      </c>
      <c r="N133" s="8">
        <v>6</v>
      </c>
      <c r="O133">
        <v>72</v>
      </c>
      <c r="P133">
        <v>88</v>
      </c>
      <c r="Q133" s="3">
        <v>-0.34</v>
      </c>
      <c r="R133">
        <f>Inventory_Table[[#This Row],[Stock_Quantity]]*Inventory_Table[[#This Row],[Unit_Price]]</f>
        <v>528</v>
      </c>
      <c r="S133">
        <f>Inventory_Table[[#This Row],[Sales_Volume]]*Inventory_Table[[#This Row],[Unit_Price]]</f>
        <v>432</v>
      </c>
      <c r="T133" t="str">
        <f>IF(Inventory_Table[[#This Row],[Stock_Quantity]]&lt;=Inventory_Table[[#This Row],[Reorder_Level]],"REORDER","OK")</f>
        <v>OK</v>
      </c>
      <c r="U133" t="s">
        <v>3836</v>
      </c>
      <c r="V133" s="14">
        <f ca="1">TODAY()-Inventory_Table[[#This Row],[Last_Order_Date]]</f>
        <v>572</v>
      </c>
    </row>
    <row r="134" spans="1:22" x14ac:dyDescent="0.35">
      <c r="A134" t="s">
        <v>769</v>
      </c>
      <c r="B134" t="s">
        <v>36</v>
      </c>
      <c r="C134" t="s">
        <v>770</v>
      </c>
      <c r="D134" t="s">
        <v>771</v>
      </c>
      <c r="E134" t="s">
        <v>68</v>
      </c>
      <c r="F134" t="s">
        <v>772</v>
      </c>
      <c r="G134" t="s">
        <v>773</v>
      </c>
      <c r="H134" s="1">
        <v>46153</v>
      </c>
      <c r="I134" s="6">
        <v>45603</v>
      </c>
      <c r="J134" s="6">
        <v>46080</v>
      </c>
      <c r="K134">
        <v>64</v>
      </c>
      <c r="L134">
        <v>28</v>
      </c>
      <c r="M134">
        <v>35</v>
      </c>
      <c r="N134" s="8">
        <v>2</v>
      </c>
      <c r="O134">
        <v>74</v>
      </c>
      <c r="P134">
        <v>50</v>
      </c>
      <c r="Q134" s="3">
        <v>-0.22</v>
      </c>
      <c r="R134">
        <f>Inventory_Table[[#This Row],[Stock_Quantity]]*Inventory_Table[[#This Row],[Unit_Price]]</f>
        <v>128</v>
      </c>
      <c r="S134">
        <f>Inventory_Table[[#This Row],[Sales_Volume]]*Inventory_Table[[#This Row],[Unit_Price]]</f>
        <v>148</v>
      </c>
      <c r="T134" t="str">
        <f>IF(Inventory_Table[[#This Row],[Stock_Quantity]]&lt;=Inventory_Table[[#This Row],[Reorder_Level]],"REORDER","OK")</f>
        <v>OK</v>
      </c>
      <c r="U134" t="s">
        <v>3838</v>
      </c>
      <c r="V134" s="14">
        <f ca="1">TODAY()-Inventory_Table[[#This Row],[Last_Order_Date]]</f>
        <v>573</v>
      </c>
    </row>
    <row r="135" spans="1:22" x14ac:dyDescent="0.35">
      <c r="A135" t="s">
        <v>283</v>
      </c>
      <c r="B135" t="s">
        <v>163</v>
      </c>
      <c r="C135" t="s">
        <v>775</v>
      </c>
      <c r="D135" t="s">
        <v>776</v>
      </c>
      <c r="E135" t="s">
        <v>30</v>
      </c>
      <c r="F135" t="s">
        <v>777</v>
      </c>
      <c r="G135" t="s">
        <v>778</v>
      </c>
      <c r="H135" s="1">
        <v>46154</v>
      </c>
      <c r="I135" s="6">
        <v>45709</v>
      </c>
      <c r="J135" s="6">
        <v>46378</v>
      </c>
      <c r="K135">
        <v>68</v>
      </c>
      <c r="L135">
        <v>12</v>
      </c>
      <c r="M135">
        <v>42</v>
      </c>
      <c r="N135" s="8">
        <v>10</v>
      </c>
      <c r="O135">
        <v>39</v>
      </c>
      <c r="P135">
        <v>6</v>
      </c>
      <c r="Q135" s="3">
        <v>0.32</v>
      </c>
      <c r="R135">
        <f>Inventory_Table[[#This Row],[Stock_Quantity]]*Inventory_Table[[#This Row],[Unit_Price]]</f>
        <v>680</v>
      </c>
      <c r="S135">
        <f>Inventory_Table[[#This Row],[Sales_Volume]]*Inventory_Table[[#This Row],[Unit_Price]]</f>
        <v>390</v>
      </c>
      <c r="T135" t="str">
        <f>IF(Inventory_Table[[#This Row],[Stock_Quantity]]&lt;=Inventory_Table[[#This Row],[Reorder_Level]],"REORDER","OK")</f>
        <v>OK</v>
      </c>
      <c r="U135" t="s">
        <v>3836</v>
      </c>
      <c r="V135" s="14">
        <f ca="1">TODAY()-Inventory_Table[[#This Row],[Last_Order_Date]]</f>
        <v>467</v>
      </c>
    </row>
    <row r="136" spans="1:22" x14ac:dyDescent="0.35">
      <c r="A136" t="s">
        <v>228</v>
      </c>
      <c r="B136" t="s">
        <v>18</v>
      </c>
      <c r="C136" t="s">
        <v>615</v>
      </c>
      <c r="D136" t="s">
        <v>781</v>
      </c>
      <c r="E136" t="s">
        <v>21</v>
      </c>
      <c r="F136" t="s">
        <v>782</v>
      </c>
      <c r="G136" t="s">
        <v>783</v>
      </c>
      <c r="H136" s="1">
        <v>46176</v>
      </c>
      <c r="I136" s="6">
        <v>45488</v>
      </c>
      <c r="J136" s="6">
        <v>46408</v>
      </c>
      <c r="K136">
        <v>85</v>
      </c>
      <c r="L136">
        <v>33</v>
      </c>
      <c r="M136">
        <v>50</v>
      </c>
      <c r="N136" s="8">
        <v>1.8</v>
      </c>
      <c r="O136">
        <v>64</v>
      </c>
      <c r="P136">
        <v>38</v>
      </c>
      <c r="Q136" s="3">
        <v>0.85</v>
      </c>
      <c r="R136">
        <f>Inventory_Table[[#This Row],[Stock_Quantity]]*Inventory_Table[[#This Row],[Unit_Price]]</f>
        <v>153</v>
      </c>
      <c r="S136">
        <f>Inventory_Table[[#This Row],[Sales_Volume]]*Inventory_Table[[#This Row],[Unit_Price]]</f>
        <v>115.2</v>
      </c>
      <c r="T136" t="str">
        <f>IF(Inventory_Table[[#This Row],[Stock_Quantity]]&lt;=Inventory_Table[[#This Row],[Reorder_Level]],"REORDER","OK")</f>
        <v>OK</v>
      </c>
      <c r="U136" t="s">
        <v>3836</v>
      </c>
      <c r="V136" s="14">
        <f ca="1">TODAY()-Inventory_Table[[#This Row],[Last_Order_Date]]</f>
        <v>688</v>
      </c>
    </row>
    <row r="137" spans="1:22" x14ac:dyDescent="0.35">
      <c r="A137" t="s">
        <v>786</v>
      </c>
      <c r="B137" t="s">
        <v>65</v>
      </c>
      <c r="C137" t="s">
        <v>787</v>
      </c>
      <c r="D137" t="s">
        <v>788</v>
      </c>
      <c r="E137" t="s">
        <v>30</v>
      </c>
      <c r="F137" t="s">
        <v>789</v>
      </c>
      <c r="G137" t="s">
        <v>790</v>
      </c>
      <c r="H137" s="1">
        <v>46176</v>
      </c>
      <c r="I137" s="6">
        <v>45351</v>
      </c>
      <c r="J137" s="6">
        <v>46278</v>
      </c>
      <c r="K137">
        <v>46</v>
      </c>
      <c r="L137">
        <v>20</v>
      </c>
      <c r="M137">
        <v>30</v>
      </c>
      <c r="N137" s="8">
        <v>2.5</v>
      </c>
      <c r="O137">
        <v>54</v>
      </c>
      <c r="P137">
        <v>24</v>
      </c>
      <c r="Q137" s="3">
        <v>0.41</v>
      </c>
      <c r="R137">
        <f>Inventory_Table[[#This Row],[Stock_Quantity]]*Inventory_Table[[#This Row],[Unit_Price]]</f>
        <v>115</v>
      </c>
      <c r="S137">
        <f>Inventory_Table[[#This Row],[Sales_Volume]]*Inventory_Table[[#This Row],[Unit_Price]]</f>
        <v>135</v>
      </c>
      <c r="T137" t="str">
        <f>IF(Inventory_Table[[#This Row],[Stock_Quantity]]&lt;=Inventory_Table[[#This Row],[Reorder_Level]],"REORDER","OK")</f>
        <v>OK</v>
      </c>
      <c r="U137" t="s">
        <v>3836</v>
      </c>
      <c r="V137" s="14">
        <f ca="1">TODAY()-Inventory_Table[[#This Row],[Last_Order_Date]]</f>
        <v>825</v>
      </c>
    </row>
    <row r="138" spans="1:22" x14ac:dyDescent="0.35">
      <c r="A138" t="s">
        <v>793</v>
      </c>
      <c r="B138" t="s">
        <v>75</v>
      </c>
      <c r="C138" t="s">
        <v>794</v>
      </c>
      <c r="D138" t="s">
        <v>795</v>
      </c>
      <c r="E138" t="s">
        <v>21</v>
      </c>
      <c r="F138" t="s">
        <v>796</v>
      </c>
      <c r="G138" t="s">
        <v>797</v>
      </c>
      <c r="H138" s="1">
        <v>46176</v>
      </c>
      <c r="I138" s="6">
        <v>45389</v>
      </c>
      <c r="J138" s="6">
        <v>46105</v>
      </c>
      <c r="K138">
        <v>72</v>
      </c>
      <c r="L138">
        <v>29</v>
      </c>
      <c r="M138">
        <v>10</v>
      </c>
      <c r="N138" s="8">
        <v>8</v>
      </c>
      <c r="O138">
        <v>54</v>
      </c>
      <c r="P138">
        <v>38</v>
      </c>
      <c r="Q138" s="3">
        <v>0.56000000000000005</v>
      </c>
      <c r="R138">
        <f>Inventory_Table[[#This Row],[Stock_Quantity]]*Inventory_Table[[#This Row],[Unit_Price]]</f>
        <v>576</v>
      </c>
      <c r="S138">
        <f>Inventory_Table[[#This Row],[Sales_Volume]]*Inventory_Table[[#This Row],[Unit_Price]]</f>
        <v>432</v>
      </c>
      <c r="T138" t="str">
        <f>IF(Inventory_Table[[#This Row],[Stock_Quantity]]&lt;=Inventory_Table[[#This Row],[Reorder_Level]],"REORDER","OK")</f>
        <v>OK</v>
      </c>
      <c r="U138" t="s">
        <v>3838</v>
      </c>
      <c r="V138" s="14">
        <f ca="1">TODAY()-Inventory_Table[[#This Row],[Last_Order_Date]]</f>
        <v>787</v>
      </c>
    </row>
    <row r="139" spans="1:22" x14ac:dyDescent="0.35">
      <c r="A139" t="s">
        <v>671</v>
      </c>
      <c r="B139" t="s">
        <v>65</v>
      </c>
      <c r="C139" t="s">
        <v>799</v>
      </c>
      <c r="D139" t="s">
        <v>800</v>
      </c>
      <c r="E139" t="s">
        <v>21</v>
      </c>
      <c r="F139" t="s">
        <v>801</v>
      </c>
      <c r="G139" t="s">
        <v>802</v>
      </c>
      <c r="H139" s="1">
        <v>46177</v>
      </c>
      <c r="I139" s="6">
        <v>45413</v>
      </c>
      <c r="J139" s="6">
        <v>46343</v>
      </c>
      <c r="K139">
        <v>67</v>
      </c>
      <c r="L139">
        <v>88</v>
      </c>
      <c r="M139">
        <v>32</v>
      </c>
      <c r="N139" s="8">
        <v>1.5</v>
      </c>
      <c r="O139">
        <v>66</v>
      </c>
      <c r="P139">
        <v>42</v>
      </c>
      <c r="Q139" s="3">
        <v>0.3</v>
      </c>
      <c r="R139">
        <f>Inventory_Table[[#This Row],[Stock_Quantity]]*Inventory_Table[[#This Row],[Unit_Price]]</f>
        <v>100.5</v>
      </c>
      <c r="S139">
        <f>Inventory_Table[[#This Row],[Sales_Volume]]*Inventory_Table[[#This Row],[Unit_Price]]</f>
        <v>99</v>
      </c>
      <c r="T139" t="str">
        <f>IF(Inventory_Table[[#This Row],[Stock_Quantity]]&lt;=Inventory_Table[[#This Row],[Reorder_Level]],"REORDER","OK")</f>
        <v>REORDER</v>
      </c>
      <c r="U139" t="s">
        <v>3836</v>
      </c>
      <c r="V139" s="14">
        <f ca="1">TODAY()-Inventory_Table[[#This Row],[Last_Order_Date]]</f>
        <v>763</v>
      </c>
    </row>
    <row r="140" spans="1:22" x14ac:dyDescent="0.35">
      <c r="A140" t="s">
        <v>129</v>
      </c>
      <c r="B140" t="s">
        <v>18</v>
      </c>
      <c r="C140" t="s">
        <v>804</v>
      </c>
      <c r="D140" t="s">
        <v>805</v>
      </c>
      <c r="E140" t="s">
        <v>30</v>
      </c>
      <c r="F140" t="s">
        <v>806</v>
      </c>
      <c r="G140" t="s">
        <v>807</v>
      </c>
      <c r="H140" s="1">
        <v>46177</v>
      </c>
      <c r="I140" s="6">
        <v>45406</v>
      </c>
      <c r="J140" s="6">
        <v>46308</v>
      </c>
      <c r="K140">
        <v>41</v>
      </c>
      <c r="L140">
        <v>52</v>
      </c>
      <c r="M140">
        <v>75</v>
      </c>
      <c r="N140" s="8">
        <v>4.5</v>
      </c>
      <c r="O140">
        <v>57</v>
      </c>
      <c r="P140">
        <v>62</v>
      </c>
      <c r="Q140" s="3">
        <v>0.36</v>
      </c>
      <c r="R140">
        <f>Inventory_Table[[#This Row],[Stock_Quantity]]*Inventory_Table[[#This Row],[Unit_Price]]</f>
        <v>184.5</v>
      </c>
      <c r="S140">
        <f>Inventory_Table[[#This Row],[Sales_Volume]]*Inventory_Table[[#This Row],[Unit_Price]]</f>
        <v>256.5</v>
      </c>
      <c r="T140" t="str">
        <f>IF(Inventory_Table[[#This Row],[Stock_Quantity]]&lt;=Inventory_Table[[#This Row],[Reorder_Level]],"REORDER","OK")</f>
        <v>REORDER</v>
      </c>
      <c r="U140" t="s">
        <v>3836</v>
      </c>
      <c r="V140" s="14">
        <f ca="1">TODAY()-Inventory_Table[[#This Row],[Last_Order_Date]]</f>
        <v>770</v>
      </c>
    </row>
    <row r="141" spans="1:22" x14ac:dyDescent="0.35">
      <c r="A141" t="s">
        <v>122</v>
      </c>
      <c r="B141" t="s">
        <v>18</v>
      </c>
      <c r="C141" t="s">
        <v>327</v>
      </c>
      <c r="D141" t="s">
        <v>809</v>
      </c>
      <c r="E141" t="s">
        <v>30</v>
      </c>
      <c r="F141" t="s">
        <v>810</v>
      </c>
      <c r="G141" t="s">
        <v>811</v>
      </c>
      <c r="H141" s="1">
        <v>46177</v>
      </c>
      <c r="I141" s="6">
        <v>45654</v>
      </c>
      <c r="J141" s="6">
        <v>46120</v>
      </c>
      <c r="K141">
        <v>66</v>
      </c>
      <c r="L141">
        <v>31</v>
      </c>
      <c r="M141">
        <v>18</v>
      </c>
      <c r="N141" s="8">
        <v>2.5</v>
      </c>
      <c r="O141">
        <v>85</v>
      </c>
      <c r="P141">
        <v>39</v>
      </c>
      <c r="Q141" s="3">
        <v>-0.09</v>
      </c>
      <c r="R141">
        <f>Inventory_Table[[#This Row],[Stock_Quantity]]*Inventory_Table[[#This Row],[Unit_Price]]</f>
        <v>165</v>
      </c>
      <c r="S141">
        <f>Inventory_Table[[#This Row],[Sales_Volume]]*Inventory_Table[[#This Row],[Unit_Price]]</f>
        <v>212.5</v>
      </c>
      <c r="T141" t="str">
        <f>IF(Inventory_Table[[#This Row],[Stock_Quantity]]&lt;=Inventory_Table[[#This Row],[Reorder_Level]],"REORDER","OK")</f>
        <v>OK</v>
      </c>
      <c r="U141" t="s">
        <v>3838</v>
      </c>
      <c r="V141" s="14">
        <f ca="1">TODAY()-Inventory_Table[[#This Row],[Last_Order_Date]]</f>
        <v>522</v>
      </c>
    </row>
    <row r="142" spans="1:22" x14ac:dyDescent="0.35">
      <c r="A142" t="s">
        <v>708</v>
      </c>
      <c r="B142" t="s">
        <v>163</v>
      </c>
      <c r="C142" t="s">
        <v>28</v>
      </c>
      <c r="D142" t="s">
        <v>813</v>
      </c>
      <c r="E142" t="s">
        <v>68</v>
      </c>
      <c r="F142" t="s">
        <v>814</v>
      </c>
      <c r="G142" t="s">
        <v>815</v>
      </c>
      <c r="H142" s="1">
        <v>46177</v>
      </c>
      <c r="I142" s="6">
        <v>45482</v>
      </c>
      <c r="J142" s="6">
        <v>46277</v>
      </c>
      <c r="K142">
        <v>78</v>
      </c>
      <c r="L142">
        <v>38</v>
      </c>
      <c r="M142">
        <v>27</v>
      </c>
      <c r="N142" s="8">
        <v>15</v>
      </c>
      <c r="O142">
        <v>54</v>
      </c>
      <c r="P142">
        <v>42</v>
      </c>
      <c r="Q142" s="3">
        <v>0.54</v>
      </c>
      <c r="R142">
        <f>Inventory_Table[[#This Row],[Stock_Quantity]]*Inventory_Table[[#This Row],[Unit_Price]]</f>
        <v>1170</v>
      </c>
      <c r="S142">
        <f>Inventory_Table[[#This Row],[Sales_Volume]]*Inventory_Table[[#This Row],[Unit_Price]]</f>
        <v>810</v>
      </c>
      <c r="T142" t="str">
        <f>IF(Inventory_Table[[#This Row],[Stock_Quantity]]&lt;=Inventory_Table[[#This Row],[Reorder_Level]],"REORDER","OK")</f>
        <v>OK</v>
      </c>
      <c r="U142" t="s">
        <v>3836</v>
      </c>
      <c r="V142" s="14">
        <f ca="1">TODAY()-Inventory_Table[[#This Row],[Last_Order_Date]]</f>
        <v>694</v>
      </c>
    </row>
    <row r="143" spans="1:22" x14ac:dyDescent="0.35">
      <c r="A143" t="s">
        <v>154</v>
      </c>
      <c r="B143" t="s">
        <v>65</v>
      </c>
      <c r="C143" t="s">
        <v>259</v>
      </c>
      <c r="D143" t="s">
        <v>816</v>
      </c>
      <c r="E143" t="s">
        <v>30</v>
      </c>
      <c r="F143" t="s">
        <v>817</v>
      </c>
      <c r="G143" t="s">
        <v>818</v>
      </c>
      <c r="H143" s="1">
        <v>46177</v>
      </c>
      <c r="I143" s="6">
        <v>45440</v>
      </c>
      <c r="J143" s="6">
        <v>46423</v>
      </c>
      <c r="K143">
        <v>86</v>
      </c>
      <c r="L143">
        <v>100</v>
      </c>
      <c r="M143">
        <v>78</v>
      </c>
      <c r="N143" s="8">
        <v>2.75</v>
      </c>
      <c r="O143">
        <v>52</v>
      </c>
      <c r="P143">
        <v>91</v>
      </c>
      <c r="Q143" s="3">
        <v>0.22</v>
      </c>
      <c r="R143">
        <f>Inventory_Table[[#This Row],[Stock_Quantity]]*Inventory_Table[[#This Row],[Unit_Price]]</f>
        <v>236.5</v>
      </c>
      <c r="S143">
        <f>Inventory_Table[[#This Row],[Sales_Volume]]*Inventory_Table[[#This Row],[Unit_Price]]</f>
        <v>143</v>
      </c>
      <c r="T143" t="str">
        <f>IF(Inventory_Table[[#This Row],[Stock_Quantity]]&lt;=Inventory_Table[[#This Row],[Reorder_Level]],"REORDER","OK")</f>
        <v>REORDER</v>
      </c>
      <c r="U143" t="s">
        <v>3836</v>
      </c>
      <c r="V143" s="14">
        <f ca="1">TODAY()-Inventory_Table[[#This Row],[Last_Order_Date]]</f>
        <v>736</v>
      </c>
    </row>
    <row r="144" spans="1:22" x14ac:dyDescent="0.35">
      <c r="A144" t="s">
        <v>690</v>
      </c>
      <c r="B144" t="s">
        <v>36</v>
      </c>
      <c r="C144" t="s">
        <v>760</v>
      </c>
      <c r="D144" t="s">
        <v>819</v>
      </c>
      <c r="E144" t="s">
        <v>21</v>
      </c>
      <c r="F144" t="s">
        <v>820</v>
      </c>
      <c r="G144" t="s">
        <v>821</v>
      </c>
      <c r="H144" s="1">
        <v>46178</v>
      </c>
      <c r="I144" s="6">
        <v>45415</v>
      </c>
      <c r="J144" s="6">
        <v>46431</v>
      </c>
      <c r="K144">
        <v>90</v>
      </c>
      <c r="L144">
        <v>3</v>
      </c>
      <c r="M144">
        <v>49</v>
      </c>
      <c r="N144" s="8">
        <v>2.5</v>
      </c>
      <c r="O144">
        <v>51</v>
      </c>
      <c r="P144">
        <v>87</v>
      </c>
      <c r="Q144" s="3">
        <v>-0.75</v>
      </c>
      <c r="R144">
        <f>Inventory_Table[[#This Row],[Stock_Quantity]]*Inventory_Table[[#This Row],[Unit_Price]]</f>
        <v>225</v>
      </c>
      <c r="S144">
        <f>Inventory_Table[[#This Row],[Sales_Volume]]*Inventory_Table[[#This Row],[Unit_Price]]</f>
        <v>127.5</v>
      </c>
      <c r="T144" t="str">
        <f>IF(Inventory_Table[[#This Row],[Stock_Quantity]]&lt;=Inventory_Table[[#This Row],[Reorder_Level]],"REORDER","OK")</f>
        <v>OK</v>
      </c>
      <c r="U144" t="s">
        <v>3836</v>
      </c>
      <c r="V144" s="14">
        <f ca="1">TODAY()-Inventory_Table[[#This Row],[Last_Order_Date]]</f>
        <v>761</v>
      </c>
    </row>
    <row r="145" spans="1:22" x14ac:dyDescent="0.35">
      <c r="A145" t="s">
        <v>423</v>
      </c>
      <c r="B145" t="s">
        <v>65</v>
      </c>
      <c r="C145" t="s">
        <v>823</v>
      </c>
      <c r="D145" t="s">
        <v>824</v>
      </c>
      <c r="E145" t="s">
        <v>68</v>
      </c>
      <c r="F145" t="s">
        <v>825</v>
      </c>
      <c r="G145" t="s">
        <v>826</v>
      </c>
      <c r="H145" s="1">
        <v>46178</v>
      </c>
      <c r="I145" s="6">
        <v>45621</v>
      </c>
      <c r="J145" s="6">
        <v>46082</v>
      </c>
      <c r="K145">
        <v>41</v>
      </c>
      <c r="L145">
        <v>56</v>
      </c>
      <c r="M145">
        <v>12</v>
      </c>
      <c r="N145" s="8">
        <v>9.75</v>
      </c>
      <c r="O145">
        <v>93</v>
      </c>
      <c r="P145">
        <v>88</v>
      </c>
      <c r="Q145" s="3">
        <v>-0.71</v>
      </c>
      <c r="R145">
        <f>Inventory_Table[[#This Row],[Stock_Quantity]]*Inventory_Table[[#This Row],[Unit_Price]]</f>
        <v>399.75</v>
      </c>
      <c r="S145">
        <f>Inventory_Table[[#This Row],[Sales_Volume]]*Inventory_Table[[#This Row],[Unit_Price]]</f>
        <v>906.75</v>
      </c>
      <c r="T145" t="str">
        <f>IF(Inventory_Table[[#This Row],[Stock_Quantity]]&lt;=Inventory_Table[[#This Row],[Reorder_Level]],"REORDER","OK")</f>
        <v>REORDER</v>
      </c>
      <c r="U145" t="s">
        <v>3838</v>
      </c>
      <c r="V145" s="14">
        <f ca="1">TODAY()-Inventory_Table[[#This Row],[Last_Order_Date]]</f>
        <v>555</v>
      </c>
    </row>
    <row r="146" spans="1:22" x14ac:dyDescent="0.35">
      <c r="A146" t="s">
        <v>418</v>
      </c>
      <c r="B146" t="s">
        <v>65</v>
      </c>
      <c r="C146" t="s">
        <v>828</v>
      </c>
      <c r="D146" t="s">
        <v>829</v>
      </c>
      <c r="E146" t="s">
        <v>68</v>
      </c>
      <c r="F146" t="s">
        <v>830</v>
      </c>
      <c r="G146" t="s">
        <v>831</v>
      </c>
      <c r="H146" s="1">
        <v>46179</v>
      </c>
      <c r="I146" s="6">
        <v>45629</v>
      </c>
      <c r="J146" s="6">
        <v>46211</v>
      </c>
      <c r="K146">
        <v>11</v>
      </c>
      <c r="L146">
        <v>58</v>
      </c>
      <c r="M146">
        <v>26</v>
      </c>
      <c r="N146" s="8">
        <v>6.2</v>
      </c>
      <c r="O146">
        <v>49</v>
      </c>
      <c r="P146">
        <v>34</v>
      </c>
      <c r="Q146" s="3">
        <v>0.05</v>
      </c>
      <c r="R146">
        <f>Inventory_Table[[#This Row],[Stock_Quantity]]*Inventory_Table[[#This Row],[Unit_Price]]</f>
        <v>68.2</v>
      </c>
      <c r="S146">
        <f>Inventory_Table[[#This Row],[Sales_Volume]]*Inventory_Table[[#This Row],[Unit_Price]]</f>
        <v>303.8</v>
      </c>
      <c r="T146" t="str">
        <f>IF(Inventory_Table[[#This Row],[Stock_Quantity]]&lt;=Inventory_Table[[#This Row],[Reorder_Level]],"REORDER","OK")</f>
        <v>REORDER</v>
      </c>
      <c r="U146" t="s">
        <v>3836</v>
      </c>
      <c r="V146" s="14">
        <f ca="1">TODAY()-Inventory_Table[[#This Row],[Last_Order_Date]]</f>
        <v>547</v>
      </c>
    </row>
    <row r="147" spans="1:22" x14ac:dyDescent="0.35">
      <c r="A147" t="s">
        <v>832</v>
      </c>
      <c r="B147" t="s">
        <v>18</v>
      </c>
      <c r="C147" t="s">
        <v>833</v>
      </c>
      <c r="D147" t="s">
        <v>834</v>
      </c>
      <c r="E147" t="s">
        <v>21</v>
      </c>
      <c r="F147" t="s">
        <v>835</v>
      </c>
      <c r="G147" t="s">
        <v>836</v>
      </c>
      <c r="H147" s="1">
        <v>46180</v>
      </c>
      <c r="I147" s="6">
        <v>45429</v>
      </c>
      <c r="J147" s="6">
        <v>46410</v>
      </c>
      <c r="K147">
        <v>37</v>
      </c>
      <c r="L147">
        <v>8</v>
      </c>
      <c r="M147">
        <v>50</v>
      </c>
      <c r="N147" s="8">
        <v>6</v>
      </c>
      <c r="O147">
        <v>47</v>
      </c>
      <c r="P147">
        <v>62</v>
      </c>
      <c r="Q147" s="3">
        <v>0.31</v>
      </c>
      <c r="R147">
        <f>Inventory_Table[[#This Row],[Stock_Quantity]]*Inventory_Table[[#This Row],[Unit_Price]]</f>
        <v>222</v>
      </c>
      <c r="S147">
        <f>Inventory_Table[[#This Row],[Sales_Volume]]*Inventory_Table[[#This Row],[Unit_Price]]</f>
        <v>282</v>
      </c>
      <c r="T147" t="str">
        <f>IF(Inventory_Table[[#This Row],[Stock_Quantity]]&lt;=Inventory_Table[[#This Row],[Reorder_Level]],"REORDER","OK")</f>
        <v>OK</v>
      </c>
      <c r="U147" t="s">
        <v>3836</v>
      </c>
      <c r="V147" s="14">
        <f ca="1">TODAY()-Inventory_Table[[#This Row],[Last_Order_Date]]</f>
        <v>747</v>
      </c>
    </row>
    <row r="148" spans="1:22" x14ac:dyDescent="0.35">
      <c r="A148" t="s">
        <v>58</v>
      </c>
      <c r="B148" t="s">
        <v>18</v>
      </c>
      <c r="C148" t="s">
        <v>838</v>
      </c>
      <c r="D148" t="s">
        <v>839</v>
      </c>
      <c r="E148" t="s">
        <v>30</v>
      </c>
      <c r="F148" t="s">
        <v>840</v>
      </c>
      <c r="G148" t="s">
        <v>841</v>
      </c>
      <c r="H148" s="1">
        <v>46180</v>
      </c>
      <c r="I148" s="6">
        <v>45613</v>
      </c>
      <c r="J148" s="6">
        <v>46122</v>
      </c>
      <c r="K148">
        <v>72</v>
      </c>
      <c r="L148">
        <v>32</v>
      </c>
      <c r="M148">
        <v>80</v>
      </c>
      <c r="N148" s="8">
        <v>2.4500000000000002</v>
      </c>
      <c r="O148">
        <v>25</v>
      </c>
      <c r="P148">
        <v>9</v>
      </c>
      <c r="Q148" s="3">
        <v>-0.32</v>
      </c>
      <c r="R148">
        <f>Inventory_Table[[#This Row],[Stock_Quantity]]*Inventory_Table[[#This Row],[Unit_Price]]</f>
        <v>176.4</v>
      </c>
      <c r="S148">
        <f>Inventory_Table[[#This Row],[Sales_Volume]]*Inventory_Table[[#This Row],[Unit_Price]]</f>
        <v>61.250000000000007</v>
      </c>
      <c r="T148" t="str">
        <f>IF(Inventory_Table[[#This Row],[Stock_Quantity]]&lt;=Inventory_Table[[#This Row],[Reorder_Level]],"REORDER","OK")</f>
        <v>OK</v>
      </c>
      <c r="U148" t="s">
        <v>3838</v>
      </c>
      <c r="V148" s="14">
        <f ca="1">TODAY()-Inventory_Table[[#This Row],[Last_Order_Date]]</f>
        <v>563</v>
      </c>
    </row>
    <row r="149" spans="1:22" x14ac:dyDescent="0.35">
      <c r="A149" t="s">
        <v>842</v>
      </c>
      <c r="B149" t="s">
        <v>75</v>
      </c>
      <c r="C149" t="s">
        <v>794</v>
      </c>
      <c r="D149" t="s">
        <v>843</v>
      </c>
      <c r="E149" t="s">
        <v>30</v>
      </c>
      <c r="F149" t="s">
        <v>844</v>
      </c>
      <c r="G149" t="s">
        <v>845</v>
      </c>
      <c r="H149" s="1">
        <v>46180</v>
      </c>
      <c r="I149" s="6">
        <v>45568</v>
      </c>
      <c r="J149" s="6">
        <v>46258</v>
      </c>
      <c r="K149">
        <v>75</v>
      </c>
      <c r="L149">
        <v>80</v>
      </c>
      <c r="M149">
        <v>87</v>
      </c>
      <c r="N149" s="8">
        <v>9</v>
      </c>
      <c r="O149">
        <v>49</v>
      </c>
      <c r="P149">
        <v>40</v>
      </c>
      <c r="Q149" s="3">
        <v>0.64</v>
      </c>
      <c r="R149">
        <f>Inventory_Table[[#This Row],[Stock_Quantity]]*Inventory_Table[[#This Row],[Unit_Price]]</f>
        <v>675</v>
      </c>
      <c r="S149">
        <f>Inventory_Table[[#This Row],[Sales_Volume]]*Inventory_Table[[#This Row],[Unit_Price]]</f>
        <v>441</v>
      </c>
      <c r="T149" t="str">
        <f>IF(Inventory_Table[[#This Row],[Stock_Quantity]]&lt;=Inventory_Table[[#This Row],[Reorder_Level]],"REORDER","OK")</f>
        <v>REORDER</v>
      </c>
      <c r="U149" t="s">
        <v>3836</v>
      </c>
      <c r="V149" s="14">
        <f ca="1">TODAY()-Inventory_Table[[#This Row],[Last_Order_Date]]</f>
        <v>608</v>
      </c>
    </row>
    <row r="150" spans="1:22" x14ac:dyDescent="0.35">
      <c r="A150" t="s">
        <v>162</v>
      </c>
      <c r="B150" t="s">
        <v>163</v>
      </c>
      <c r="C150" t="s">
        <v>846</v>
      </c>
      <c r="D150" t="s">
        <v>847</v>
      </c>
      <c r="E150" t="s">
        <v>68</v>
      </c>
      <c r="F150" t="s">
        <v>848</v>
      </c>
      <c r="G150" t="s">
        <v>849</v>
      </c>
      <c r="H150" s="1">
        <v>46180</v>
      </c>
      <c r="I150" s="6">
        <v>45688</v>
      </c>
      <c r="J150" s="6">
        <v>46382</v>
      </c>
      <c r="K150">
        <v>98</v>
      </c>
      <c r="L150">
        <v>83</v>
      </c>
      <c r="M150">
        <v>5</v>
      </c>
      <c r="N150" s="8">
        <v>20</v>
      </c>
      <c r="O150">
        <v>39</v>
      </c>
      <c r="P150">
        <v>79</v>
      </c>
      <c r="Q150" s="3">
        <v>0.18</v>
      </c>
      <c r="R150">
        <f>Inventory_Table[[#This Row],[Stock_Quantity]]*Inventory_Table[[#This Row],[Unit_Price]]</f>
        <v>1960</v>
      </c>
      <c r="S150">
        <f>Inventory_Table[[#This Row],[Sales_Volume]]*Inventory_Table[[#This Row],[Unit_Price]]</f>
        <v>780</v>
      </c>
      <c r="T150" t="str">
        <f>IF(Inventory_Table[[#This Row],[Stock_Quantity]]&lt;=Inventory_Table[[#This Row],[Reorder_Level]],"REORDER","OK")</f>
        <v>OK</v>
      </c>
      <c r="U150" t="s">
        <v>3836</v>
      </c>
      <c r="V150" s="14">
        <f ca="1">TODAY()-Inventory_Table[[#This Row],[Last_Order_Date]]</f>
        <v>488</v>
      </c>
    </row>
    <row r="151" spans="1:22" x14ac:dyDescent="0.35">
      <c r="A151" t="s">
        <v>741</v>
      </c>
      <c r="B151" t="s">
        <v>27</v>
      </c>
      <c r="C151" t="s">
        <v>851</v>
      </c>
      <c r="D151" t="s">
        <v>852</v>
      </c>
      <c r="E151" t="s">
        <v>68</v>
      </c>
      <c r="F151" t="s">
        <v>853</v>
      </c>
      <c r="G151" t="s">
        <v>854</v>
      </c>
      <c r="H151" s="1">
        <v>46180</v>
      </c>
      <c r="I151" s="6">
        <v>45658</v>
      </c>
      <c r="J151" s="6">
        <v>46265</v>
      </c>
      <c r="K151">
        <v>90</v>
      </c>
      <c r="L151">
        <v>75</v>
      </c>
      <c r="M151">
        <v>6</v>
      </c>
      <c r="N151" s="8">
        <v>5</v>
      </c>
      <c r="O151">
        <v>55</v>
      </c>
      <c r="P151">
        <v>64</v>
      </c>
      <c r="Q151" s="3">
        <v>-1.03</v>
      </c>
      <c r="R151">
        <f>Inventory_Table[[#This Row],[Stock_Quantity]]*Inventory_Table[[#This Row],[Unit_Price]]</f>
        <v>450</v>
      </c>
      <c r="S151">
        <f>Inventory_Table[[#This Row],[Sales_Volume]]*Inventory_Table[[#This Row],[Unit_Price]]</f>
        <v>275</v>
      </c>
      <c r="T151" t="str">
        <f>IF(Inventory_Table[[#This Row],[Stock_Quantity]]&lt;=Inventory_Table[[#This Row],[Reorder_Level]],"REORDER","OK")</f>
        <v>OK</v>
      </c>
      <c r="U151" t="s">
        <v>3836</v>
      </c>
      <c r="V151" s="14">
        <f ca="1">TODAY()-Inventory_Table[[#This Row],[Last_Order_Date]]</f>
        <v>518</v>
      </c>
    </row>
    <row r="152" spans="1:22" x14ac:dyDescent="0.35">
      <c r="A152" t="s">
        <v>856</v>
      </c>
      <c r="B152" t="s">
        <v>18</v>
      </c>
      <c r="C152" t="s">
        <v>857</v>
      </c>
      <c r="D152" t="s">
        <v>858</v>
      </c>
      <c r="E152" t="s">
        <v>21</v>
      </c>
      <c r="F152" t="s">
        <v>859</v>
      </c>
      <c r="G152" t="s">
        <v>860</v>
      </c>
      <c r="H152" s="1">
        <v>46180</v>
      </c>
      <c r="I152" s="6">
        <v>45404</v>
      </c>
      <c r="J152" s="6">
        <v>46169</v>
      </c>
      <c r="K152">
        <v>32</v>
      </c>
      <c r="L152">
        <v>49</v>
      </c>
      <c r="M152">
        <v>73</v>
      </c>
      <c r="N152" s="8">
        <v>2.5</v>
      </c>
      <c r="O152">
        <v>80</v>
      </c>
      <c r="P152">
        <v>36</v>
      </c>
      <c r="Q152" s="3">
        <v>-0.16</v>
      </c>
      <c r="R152">
        <f>Inventory_Table[[#This Row],[Stock_Quantity]]*Inventory_Table[[#This Row],[Unit_Price]]</f>
        <v>80</v>
      </c>
      <c r="S152">
        <f>Inventory_Table[[#This Row],[Sales_Volume]]*Inventory_Table[[#This Row],[Unit_Price]]</f>
        <v>200</v>
      </c>
      <c r="T152" t="str">
        <f>IF(Inventory_Table[[#This Row],[Stock_Quantity]]&lt;=Inventory_Table[[#This Row],[Reorder_Level]],"REORDER","OK")</f>
        <v>REORDER</v>
      </c>
      <c r="U152" t="s">
        <v>3838</v>
      </c>
      <c r="V152" s="14">
        <f ca="1">TODAY()-Inventory_Table[[#This Row],[Last_Order_Date]]</f>
        <v>772</v>
      </c>
    </row>
    <row r="153" spans="1:22" x14ac:dyDescent="0.35">
      <c r="A153" t="s">
        <v>861</v>
      </c>
      <c r="B153" t="s">
        <v>36</v>
      </c>
      <c r="C153" t="s">
        <v>862</v>
      </c>
      <c r="D153" t="s">
        <v>863</v>
      </c>
      <c r="E153" t="s">
        <v>30</v>
      </c>
      <c r="F153" t="s">
        <v>864</v>
      </c>
      <c r="G153" t="s">
        <v>865</v>
      </c>
      <c r="H153" s="1">
        <v>46181</v>
      </c>
      <c r="I153" s="6">
        <v>45446</v>
      </c>
      <c r="J153" s="6">
        <v>46274</v>
      </c>
      <c r="K153">
        <v>68</v>
      </c>
      <c r="L153">
        <v>29</v>
      </c>
      <c r="M153">
        <v>31</v>
      </c>
      <c r="N153" s="8">
        <v>7</v>
      </c>
      <c r="O153">
        <v>53</v>
      </c>
      <c r="P153">
        <v>20</v>
      </c>
      <c r="Q153" s="3">
        <v>0.55000000000000004</v>
      </c>
      <c r="R153">
        <f>Inventory_Table[[#This Row],[Stock_Quantity]]*Inventory_Table[[#This Row],[Unit_Price]]</f>
        <v>476</v>
      </c>
      <c r="S153">
        <f>Inventory_Table[[#This Row],[Sales_Volume]]*Inventory_Table[[#This Row],[Unit_Price]]</f>
        <v>371</v>
      </c>
      <c r="T153" t="str">
        <f>IF(Inventory_Table[[#This Row],[Stock_Quantity]]&lt;=Inventory_Table[[#This Row],[Reorder_Level]],"REORDER","OK")</f>
        <v>OK</v>
      </c>
      <c r="U153" t="s">
        <v>3836</v>
      </c>
      <c r="V153" s="14">
        <f ca="1">TODAY()-Inventory_Table[[#This Row],[Last_Order_Date]]</f>
        <v>730</v>
      </c>
    </row>
    <row r="154" spans="1:22" x14ac:dyDescent="0.35">
      <c r="A154" t="s">
        <v>413</v>
      </c>
      <c r="B154" t="s">
        <v>65</v>
      </c>
      <c r="C154" t="s">
        <v>866</v>
      </c>
      <c r="D154" t="s">
        <v>867</v>
      </c>
      <c r="E154" t="s">
        <v>30</v>
      </c>
      <c r="F154" t="s">
        <v>868</v>
      </c>
      <c r="G154" t="s">
        <v>869</v>
      </c>
      <c r="H154" s="1">
        <v>46182</v>
      </c>
      <c r="I154" s="6">
        <v>45599</v>
      </c>
      <c r="J154" s="6">
        <v>46164</v>
      </c>
      <c r="K154">
        <v>78</v>
      </c>
      <c r="L154">
        <v>94</v>
      </c>
      <c r="M154">
        <v>7</v>
      </c>
      <c r="N154" s="8">
        <v>4.3499999999999996</v>
      </c>
      <c r="O154">
        <v>69</v>
      </c>
      <c r="P154">
        <v>40</v>
      </c>
      <c r="Q154" s="3">
        <v>0.62</v>
      </c>
      <c r="R154">
        <f>Inventory_Table[[#This Row],[Stock_Quantity]]*Inventory_Table[[#This Row],[Unit_Price]]</f>
        <v>339.29999999999995</v>
      </c>
      <c r="S154">
        <f>Inventory_Table[[#This Row],[Sales_Volume]]*Inventory_Table[[#This Row],[Unit_Price]]</f>
        <v>300.14999999999998</v>
      </c>
      <c r="T154" t="str">
        <f>IF(Inventory_Table[[#This Row],[Stock_Quantity]]&lt;=Inventory_Table[[#This Row],[Reorder_Level]],"REORDER","OK")</f>
        <v>REORDER</v>
      </c>
      <c r="U154" t="s">
        <v>3838</v>
      </c>
      <c r="V154" s="14">
        <f ca="1">TODAY()-Inventory_Table[[#This Row],[Last_Order_Date]]</f>
        <v>577</v>
      </c>
    </row>
    <row r="155" spans="1:22" x14ac:dyDescent="0.35">
      <c r="A155" t="s">
        <v>872</v>
      </c>
      <c r="B155" t="s">
        <v>18</v>
      </c>
      <c r="C155" t="s">
        <v>265</v>
      </c>
      <c r="D155" t="s">
        <v>873</v>
      </c>
      <c r="E155" t="s">
        <v>68</v>
      </c>
      <c r="F155" t="s">
        <v>874</v>
      </c>
      <c r="G155" t="s">
        <v>875</v>
      </c>
      <c r="H155" s="1">
        <v>46182</v>
      </c>
      <c r="I155" s="6">
        <v>45654</v>
      </c>
      <c r="J155" s="6">
        <v>46330</v>
      </c>
      <c r="K155">
        <v>88</v>
      </c>
      <c r="L155">
        <v>78</v>
      </c>
      <c r="M155">
        <v>17</v>
      </c>
      <c r="N155" s="8">
        <v>2.5</v>
      </c>
      <c r="O155">
        <v>58</v>
      </c>
      <c r="P155">
        <v>21</v>
      </c>
      <c r="Q155" s="3">
        <v>0.42</v>
      </c>
      <c r="R155">
        <f>Inventory_Table[[#This Row],[Stock_Quantity]]*Inventory_Table[[#This Row],[Unit_Price]]</f>
        <v>220</v>
      </c>
      <c r="S155">
        <f>Inventory_Table[[#This Row],[Sales_Volume]]*Inventory_Table[[#This Row],[Unit_Price]]</f>
        <v>145</v>
      </c>
      <c r="T155" t="str">
        <f>IF(Inventory_Table[[#This Row],[Stock_Quantity]]&lt;=Inventory_Table[[#This Row],[Reorder_Level]],"REORDER","OK")</f>
        <v>OK</v>
      </c>
      <c r="U155" t="s">
        <v>3836</v>
      </c>
      <c r="V155" s="14">
        <f ca="1">TODAY()-Inventory_Table[[#This Row],[Last_Order_Date]]</f>
        <v>522</v>
      </c>
    </row>
    <row r="156" spans="1:22" x14ac:dyDescent="0.35">
      <c r="A156" t="s">
        <v>289</v>
      </c>
      <c r="B156" t="s">
        <v>114</v>
      </c>
      <c r="C156" t="s">
        <v>723</v>
      </c>
      <c r="D156" t="s">
        <v>876</v>
      </c>
      <c r="E156" t="s">
        <v>30</v>
      </c>
      <c r="F156" t="s">
        <v>877</v>
      </c>
      <c r="G156" t="s">
        <v>878</v>
      </c>
      <c r="H156" s="1">
        <v>46183</v>
      </c>
      <c r="I156" s="6">
        <v>45671</v>
      </c>
      <c r="J156" s="6">
        <v>46362</v>
      </c>
      <c r="K156">
        <v>37</v>
      </c>
      <c r="L156">
        <v>96</v>
      </c>
      <c r="M156">
        <v>82</v>
      </c>
      <c r="N156" s="8">
        <v>5</v>
      </c>
      <c r="O156">
        <v>35</v>
      </c>
      <c r="P156">
        <v>23</v>
      </c>
      <c r="Q156" s="3">
        <v>0.64</v>
      </c>
      <c r="R156">
        <f>Inventory_Table[[#This Row],[Stock_Quantity]]*Inventory_Table[[#This Row],[Unit_Price]]</f>
        <v>185</v>
      </c>
      <c r="S156">
        <f>Inventory_Table[[#This Row],[Sales_Volume]]*Inventory_Table[[#This Row],[Unit_Price]]</f>
        <v>175</v>
      </c>
      <c r="T156" t="str">
        <f>IF(Inventory_Table[[#This Row],[Stock_Quantity]]&lt;=Inventory_Table[[#This Row],[Reorder_Level]],"REORDER","OK")</f>
        <v>REORDER</v>
      </c>
      <c r="U156" t="s">
        <v>3836</v>
      </c>
      <c r="V156" s="14">
        <f ca="1">TODAY()-Inventory_Table[[#This Row],[Last_Order_Date]]</f>
        <v>505</v>
      </c>
    </row>
    <row r="157" spans="1:22" x14ac:dyDescent="0.35">
      <c r="A157" t="s">
        <v>880</v>
      </c>
      <c r="B157" t="s">
        <v>27</v>
      </c>
      <c r="C157" t="s">
        <v>497</v>
      </c>
      <c r="D157" t="s">
        <v>881</v>
      </c>
      <c r="E157" t="s">
        <v>68</v>
      </c>
      <c r="F157" t="s">
        <v>882</v>
      </c>
      <c r="G157" t="s">
        <v>883</v>
      </c>
      <c r="H157" s="1">
        <v>46183</v>
      </c>
      <c r="I157" s="6">
        <v>45415</v>
      </c>
      <c r="J157" s="6">
        <v>46172</v>
      </c>
      <c r="K157">
        <v>97</v>
      </c>
      <c r="L157">
        <v>32</v>
      </c>
      <c r="M157">
        <v>43</v>
      </c>
      <c r="N157" s="8">
        <v>2.2999999999999998</v>
      </c>
      <c r="O157">
        <v>82</v>
      </c>
      <c r="P157">
        <v>98</v>
      </c>
      <c r="Q157" s="3">
        <v>0.34</v>
      </c>
      <c r="R157">
        <f>Inventory_Table[[#This Row],[Stock_Quantity]]*Inventory_Table[[#This Row],[Unit_Price]]</f>
        <v>223.1</v>
      </c>
      <c r="S157">
        <f>Inventory_Table[[#This Row],[Sales_Volume]]*Inventory_Table[[#This Row],[Unit_Price]]</f>
        <v>188.6</v>
      </c>
      <c r="T157" t="str">
        <f>IF(Inventory_Table[[#This Row],[Stock_Quantity]]&lt;=Inventory_Table[[#This Row],[Reorder_Level]],"REORDER","OK")</f>
        <v>OK</v>
      </c>
      <c r="U157" t="s">
        <v>3838</v>
      </c>
      <c r="V157" s="14">
        <f ca="1">TODAY()-Inventory_Table[[#This Row],[Last_Order_Date]]</f>
        <v>761</v>
      </c>
    </row>
    <row r="158" spans="1:22" x14ac:dyDescent="0.35">
      <c r="A158" t="s">
        <v>240</v>
      </c>
      <c r="B158" t="s">
        <v>36</v>
      </c>
      <c r="C158" t="s">
        <v>635</v>
      </c>
      <c r="D158" t="s">
        <v>885</v>
      </c>
      <c r="E158" t="s">
        <v>30</v>
      </c>
      <c r="F158" t="s">
        <v>886</v>
      </c>
      <c r="G158" t="s">
        <v>887</v>
      </c>
      <c r="H158" s="1">
        <v>46184</v>
      </c>
      <c r="I158" s="6">
        <v>45646</v>
      </c>
      <c r="J158" s="6">
        <v>46133</v>
      </c>
      <c r="K158">
        <v>12</v>
      </c>
      <c r="L158">
        <v>54</v>
      </c>
      <c r="M158">
        <v>48</v>
      </c>
      <c r="N158" s="8">
        <v>1</v>
      </c>
      <c r="O158">
        <v>31</v>
      </c>
      <c r="P158">
        <v>88</v>
      </c>
      <c r="Q158" s="3">
        <v>-0.2</v>
      </c>
      <c r="R158">
        <f>Inventory_Table[[#This Row],[Stock_Quantity]]*Inventory_Table[[#This Row],[Unit_Price]]</f>
        <v>12</v>
      </c>
      <c r="S158">
        <f>Inventory_Table[[#This Row],[Sales_Volume]]*Inventory_Table[[#This Row],[Unit_Price]]</f>
        <v>31</v>
      </c>
      <c r="T158" t="str">
        <f>IF(Inventory_Table[[#This Row],[Stock_Quantity]]&lt;=Inventory_Table[[#This Row],[Reorder_Level]],"REORDER","OK")</f>
        <v>REORDER</v>
      </c>
      <c r="U158" t="s">
        <v>3838</v>
      </c>
      <c r="V158" s="14">
        <f ca="1">TODAY()-Inventory_Table[[#This Row],[Last_Order_Date]]</f>
        <v>530</v>
      </c>
    </row>
    <row r="159" spans="1:22" x14ac:dyDescent="0.35">
      <c r="A159" t="s">
        <v>467</v>
      </c>
      <c r="B159" t="s">
        <v>65</v>
      </c>
      <c r="C159" t="s">
        <v>735</v>
      </c>
      <c r="D159" t="s">
        <v>889</v>
      </c>
      <c r="E159" t="s">
        <v>68</v>
      </c>
      <c r="F159" t="s">
        <v>890</v>
      </c>
      <c r="G159" t="s">
        <v>891</v>
      </c>
      <c r="H159" s="1">
        <v>46184</v>
      </c>
      <c r="I159" s="6">
        <v>45707</v>
      </c>
      <c r="J159" s="6">
        <v>46227</v>
      </c>
      <c r="K159">
        <v>50</v>
      </c>
      <c r="L159">
        <v>42</v>
      </c>
      <c r="M159">
        <v>20</v>
      </c>
      <c r="N159" s="8">
        <v>1.75</v>
      </c>
      <c r="O159">
        <v>87</v>
      </c>
      <c r="P159">
        <v>59</v>
      </c>
      <c r="Q159" s="3">
        <v>-1.84</v>
      </c>
      <c r="R159">
        <f>Inventory_Table[[#This Row],[Stock_Quantity]]*Inventory_Table[[#This Row],[Unit_Price]]</f>
        <v>87.5</v>
      </c>
      <c r="S159">
        <f>Inventory_Table[[#This Row],[Sales_Volume]]*Inventory_Table[[#This Row],[Unit_Price]]</f>
        <v>152.25</v>
      </c>
      <c r="T159" t="str">
        <f>IF(Inventory_Table[[#This Row],[Stock_Quantity]]&lt;=Inventory_Table[[#This Row],[Reorder_Level]],"REORDER","OK")</f>
        <v>OK</v>
      </c>
      <c r="U159" t="s">
        <v>3836</v>
      </c>
      <c r="V159" s="14">
        <f ca="1">TODAY()-Inventory_Table[[#This Row],[Last_Order_Date]]</f>
        <v>469</v>
      </c>
    </row>
    <row r="160" spans="1:22" x14ac:dyDescent="0.35">
      <c r="A160" t="s">
        <v>893</v>
      </c>
      <c r="B160" t="s">
        <v>65</v>
      </c>
      <c r="C160" t="s">
        <v>229</v>
      </c>
      <c r="D160" t="s">
        <v>894</v>
      </c>
      <c r="E160" t="s">
        <v>21</v>
      </c>
      <c r="F160" t="s">
        <v>895</v>
      </c>
      <c r="G160" t="s">
        <v>896</v>
      </c>
      <c r="H160" s="1">
        <v>46185</v>
      </c>
      <c r="I160" s="6">
        <v>45457</v>
      </c>
      <c r="J160" s="6">
        <v>46279</v>
      </c>
      <c r="K160">
        <v>15</v>
      </c>
      <c r="L160">
        <v>49</v>
      </c>
      <c r="M160">
        <v>40</v>
      </c>
      <c r="N160" s="8">
        <v>4.5</v>
      </c>
      <c r="O160">
        <v>68</v>
      </c>
      <c r="P160">
        <v>74</v>
      </c>
      <c r="Q160" s="3">
        <v>0.32</v>
      </c>
      <c r="R160">
        <f>Inventory_Table[[#This Row],[Stock_Quantity]]*Inventory_Table[[#This Row],[Unit_Price]]</f>
        <v>67.5</v>
      </c>
      <c r="S160">
        <f>Inventory_Table[[#This Row],[Sales_Volume]]*Inventory_Table[[#This Row],[Unit_Price]]</f>
        <v>306</v>
      </c>
      <c r="T160" t="str">
        <f>IF(Inventory_Table[[#This Row],[Stock_Quantity]]&lt;=Inventory_Table[[#This Row],[Reorder_Level]],"REORDER","OK")</f>
        <v>REORDER</v>
      </c>
      <c r="U160" t="s">
        <v>3836</v>
      </c>
      <c r="V160" s="14">
        <f ca="1">TODAY()-Inventory_Table[[#This Row],[Last_Order_Date]]</f>
        <v>719</v>
      </c>
    </row>
    <row r="161" spans="1:22" x14ac:dyDescent="0.35">
      <c r="A161" t="s">
        <v>640</v>
      </c>
      <c r="B161" t="s">
        <v>163</v>
      </c>
      <c r="C161" t="s">
        <v>899</v>
      </c>
      <c r="D161" t="s">
        <v>900</v>
      </c>
      <c r="E161" t="s">
        <v>21</v>
      </c>
      <c r="F161" t="s">
        <v>901</v>
      </c>
      <c r="G161" t="s">
        <v>902</v>
      </c>
      <c r="H161" s="1">
        <v>46185</v>
      </c>
      <c r="I161" s="6">
        <v>45473</v>
      </c>
      <c r="J161" s="6">
        <v>46185</v>
      </c>
      <c r="K161">
        <v>59</v>
      </c>
      <c r="L161">
        <v>20</v>
      </c>
      <c r="M161">
        <v>17</v>
      </c>
      <c r="N161" s="8">
        <v>5</v>
      </c>
      <c r="O161">
        <v>45</v>
      </c>
      <c r="P161">
        <v>15</v>
      </c>
      <c r="Q161" s="3">
        <v>-0.09</v>
      </c>
      <c r="R161">
        <f>Inventory_Table[[#This Row],[Stock_Quantity]]*Inventory_Table[[#This Row],[Unit_Price]]</f>
        <v>295</v>
      </c>
      <c r="S161">
        <f>Inventory_Table[[#This Row],[Sales_Volume]]*Inventory_Table[[#This Row],[Unit_Price]]</f>
        <v>225</v>
      </c>
      <c r="T161" t="str">
        <f>IF(Inventory_Table[[#This Row],[Stock_Quantity]]&lt;=Inventory_Table[[#This Row],[Reorder_Level]],"REORDER","OK")</f>
        <v>OK</v>
      </c>
      <c r="U161" t="s">
        <v>3837</v>
      </c>
      <c r="V161" s="14">
        <f ca="1">TODAY()-Inventory_Table[[#This Row],[Last_Order_Date]]</f>
        <v>703</v>
      </c>
    </row>
    <row r="162" spans="1:22" x14ac:dyDescent="0.35">
      <c r="A162" t="s">
        <v>695</v>
      </c>
      <c r="B162" t="s">
        <v>65</v>
      </c>
      <c r="C162" t="s">
        <v>904</v>
      </c>
      <c r="D162" t="s">
        <v>905</v>
      </c>
      <c r="E162" t="s">
        <v>68</v>
      </c>
      <c r="F162" t="s">
        <v>906</v>
      </c>
      <c r="G162" t="s">
        <v>907</v>
      </c>
      <c r="H162" s="1">
        <v>46185</v>
      </c>
      <c r="I162" s="6">
        <v>45357</v>
      </c>
      <c r="J162" s="6">
        <v>46245</v>
      </c>
      <c r="K162">
        <v>39</v>
      </c>
      <c r="L162">
        <v>57</v>
      </c>
      <c r="M162">
        <v>54</v>
      </c>
      <c r="N162" s="8">
        <v>2.5</v>
      </c>
      <c r="O162">
        <v>77</v>
      </c>
      <c r="P162">
        <v>32</v>
      </c>
      <c r="Q162" s="3">
        <v>0.67</v>
      </c>
      <c r="R162">
        <f>Inventory_Table[[#This Row],[Stock_Quantity]]*Inventory_Table[[#This Row],[Unit_Price]]</f>
        <v>97.5</v>
      </c>
      <c r="S162">
        <f>Inventory_Table[[#This Row],[Sales_Volume]]*Inventory_Table[[#This Row],[Unit_Price]]</f>
        <v>192.5</v>
      </c>
      <c r="T162" t="str">
        <f>IF(Inventory_Table[[#This Row],[Stock_Quantity]]&lt;=Inventory_Table[[#This Row],[Reorder_Level]],"REORDER","OK")</f>
        <v>REORDER</v>
      </c>
      <c r="U162" t="s">
        <v>3836</v>
      </c>
      <c r="V162" s="14">
        <f ca="1">TODAY()-Inventory_Table[[#This Row],[Last_Order_Date]]</f>
        <v>819</v>
      </c>
    </row>
    <row r="163" spans="1:22" x14ac:dyDescent="0.35">
      <c r="A163" t="s">
        <v>247</v>
      </c>
      <c r="B163" t="s">
        <v>18</v>
      </c>
      <c r="C163" t="s">
        <v>908</v>
      </c>
      <c r="D163" t="s">
        <v>909</v>
      </c>
      <c r="E163" t="s">
        <v>30</v>
      </c>
      <c r="F163" t="s">
        <v>910</v>
      </c>
      <c r="G163" t="s">
        <v>911</v>
      </c>
      <c r="H163" s="1">
        <v>46185</v>
      </c>
      <c r="I163" s="6">
        <v>45466</v>
      </c>
      <c r="J163" s="6">
        <v>46250</v>
      </c>
      <c r="K163">
        <v>76</v>
      </c>
      <c r="L163">
        <v>39</v>
      </c>
      <c r="M163">
        <v>15</v>
      </c>
      <c r="N163" s="8">
        <v>2</v>
      </c>
      <c r="O163">
        <v>77</v>
      </c>
      <c r="P163">
        <v>70</v>
      </c>
      <c r="Q163" s="3">
        <v>0.57999999999999996</v>
      </c>
      <c r="R163">
        <f>Inventory_Table[[#This Row],[Stock_Quantity]]*Inventory_Table[[#This Row],[Unit_Price]]</f>
        <v>152</v>
      </c>
      <c r="S163">
        <f>Inventory_Table[[#This Row],[Sales_Volume]]*Inventory_Table[[#This Row],[Unit_Price]]</f>
        <v>154</v>
      </c>
      <c r="T163" t="str">
        <f>IF(Inventory_Table[[#This Row],[Stock_Quantity]]&lt;=Inventory_Table[[#This Row],[Reorder_Level]],"REORDER","OK")</f>
        <v>OK</v>
      </c>
      <c r="U163" t="s">
        <v>3836</v>
      </c>
      <c r="V163" s="14">
        <f ca="1">TODAY()-Inventory_Table[[#This Row],[Last_Order_Date]]</f>
        <v>710</v>
      </c>
    </row>
    <row r="164" spans="1:22" x14ac:dyDescent="0.35">
      <c r="A164" t="s">
        <v>596</v>
      </c>
      <c r="B164" t="s">
        <v>18</v>
      </c>
      <c r="C164" t="s">
        <v>703</v>
      </c>
      <c r="D164" t="s">
        <v>912</v>
      </c>
      <c r="E164" t="s">
        <v>30</v>
      </c>
      <c r="F164" t="s">
        <v>913</v>
      </c>
      <c r="G164" t="s">
        <v>914</v>
      </c>
      <c r="H164" s="1">
        <v>46185</v>
      </c>
      <c r="I164" s="6">
        <v>45469</v>
      </c>
      <c r="J164" s="6">
        <v>46341</v>
      </c>
      <c r="K164">
        <v>45</v>
      </c>
      <c r="L164">
        <v>79</v>
      </c>
      <c r="M164">
        <v>95</v>
      </c>
      <c r="N164" s="8">
        <v>4</v>
      </c>
      <c r="O164">
        <v>84</v>
      </c>
      <c r="P164">
        <v>62</v>
      </c>
      <c r="Q164" s="3">
        <v>0.09</v>
      </c>
      <c r="R164">
        <f>Inventory_Table[[#This Row],[Stock_Quantity]]*Inventory_Table[[#This Row],[Unit_Price]]</f>
        <v>180</v>
      </c>
      <c r="S164">
        <f>Inventory_Table[[#This Row],[Sales_Volume]]*Inventory_Table[[#This Row],[Unit_Price]]</f>
        <v>336</v>
      </c>
      <c r="T164" t="str">
        <f>IF(Inventory_Table[[#This Row],[Stock_Quantity]]&lt;=Inventory_Table[[#This Row],[Reorder_Level]],"REORDER","OK")</f>
        <v>REORDER</v>
      </c>
      <c r="U164" t="s">
        <v>3836</v>
      </c>
      <c r="V164" s="14">
        <f ca="1">TODAY()-Inventory_Table[[#This Row],[Last_Order_Date]]</f>
        <v>707</v>
      </c>
    </row>
    <row r="165" spans="1:22" x14ac:dyDescent="0.35">
      <c r="A165" t="s">
        <v>916</v>
      </c>
      <c r="B165" t="s">
        <v>114</v>
      </c>
      <c r="C165" t="s">
        <v>794</v>
      </c>
      <c r="D165" t="s">
        <v>917</v>
      </c>
      <c r="E165" t="s">
        <v>68</v>
      </c>
      <c r="F165" t="s">
        <v>918</v>
      </c>
      <c r="G165" t="s">
        <v>919</v>
      </c>
      <c r="H165" s="1">
        <v>46206</v>
      </c>
      <c r="I165" s="6">
        <v>45658</v>
      </c>
      <c r="J165" s="6">
        <v>46138</v>
      </c>
      <c r="K165">
        <v>41</v>
      </c>
      <c r="L165">
        <v>21</v>
      </c>
      <c r="M165">
        <v>47</v>
      </c>
      <c r="N165" s="8">
        <v>5</v>
      </c>
      <c r="O165">
        <v>50</v>
      </c>
      <c r="P165">
        <v>99</v>
      </c>
      <c r="Q165" s="3">
        <v>0.26</v>
      </c>
      <c r="R165">
        <f>Inventory_Table[[#This Row],[Stock_Quantity]]*Inventory_Table[[#This Row],[Unit_Price]]</f>
        <v>205</v>
      </c>
      <c r="S165">
        <f>Inventory_Table[[#This Row],[Sales_Volume]]*Inventory_Table[[#This Row],[Unit_Price]]</f>
        <v>250</v>
      </c>
      <c r="T165" t="str">
        <f>IF(Inventory_Table[[#This Row],[Stock_Quantity]]&lt;=Inventory_Table[[#This Row],[Reorder_Level]],"REORDER","OK")</f>
        <v>OK</v>
      </c>
      <c r="U165" t="s">
        <v>3838</v>
      </c>
      <c r="V165" s="14">
        <f ca="1">TODAY()-Inventory_Table[[#This Row],[Last_Order_Date]]</f>
        <v>518</v>
      </c>
    </row>
    <row r="166" spans="1:22" x14ac:dyDescent="0.35">
      <c r="A166" t="s">
        <v>734</v>
      </c>
      <c r="B166" t="s">
        <v>163</v>
      </c>
      <c r="C166" t="s">
        <v>921</v>
      </c>
      <c r="D166" t="s">
        <v>922</v>
      </c>
      <c r="E166" t="s">
        <v>68</v>
      </c>
      <c r="F166" t="s">
        <v>923</v>
      </c>
      <c r="G166" t="s">
        <v>924</v>
      </c>
      <c r="H166" s="1">
        <v>46206</v>
      </c>
      <c r="I166" s="6">
        <v>45567</v>
      </c>
      <c r="J166" s="6">
        <v>46335</v>
      </c>
      <c r="K166">
        <v>61</v>
      </c>
      <c r="L166">
        <v>22</v>
      </c>
      <c r="M166">
        <v>98</v>
      </c>
      <c r="N166" s="8">
        <v>30</v>
      </c>
      <c r="O166">
        <v>90</v>
      </c>
      <c r="P166">
        <v>11</v>
      </c>
      <c r="Q166" s="3">
        <v>-0.98</v>
      </c>
      <c r="R166">
        <f>Inventory_Table[[#This Row],[Stock_Quantity]]*Inventory_Table[[#This Row],[Unit_Price]]</f>
        <v>1830</v>
      </c>
      <c r="S166">
        <f>Inventory_Table[[#This Row],[Sales_Volume]]*Inventory_Table[[#This Row],[Unit_Price]]</f>
        <v>2700</v>
      </c>
      <c r="T166" t="str">
        <f>IF(Inventory_Table[[#This Row],[Stock_Quantity]]&lt;=Inventory_Table[[#This Row],[Reorder_Level]],"REORDER","OK")</f>
        <v>OK</v>
      </c>
      <c r="U166" t="s">
        <v>3836</v>
      </c>
      <c r="V166" s="14">
        <f ca="1">TODAY()-Inventory_Table[[#This Row],[Last_Order_Date]]</f>
        <v>609</v>
      </c>
    </row>
    <row r="167" spans="1:22" x14ac:dyDescent="0.35">
      <c r="A167" t="s">
        <v>624</v>
      </c>
      <c r="B167" t="s">
        <v>18</v>
      </c>
      <c r="C167" t="s">
        <v>550</v>
      </c>
      <c r="D167" t="s">
        <v>925</v>
      </c>
      <c r="E167" t="s">
        <v>68</v>
      </c>
      <c r="F167" t="s">
        <v>926</v>
      </c>
      <c r="G167" t="s">
        <v>927</v>
      </c>
      <c r="H167" s="1">
        <v>46207</v>
      </c>
      <c r="I167" s="6">
        <v>45379</v>
      </c>
      <c r="J167" s="6">
        <v>46402</v>
      </c>
      <c r="K167">
        <v>51</v>
      </c>
      <c r="L167">
        <v>62</v>
      </c>
      <c r="M167">
        <v>95</v>
      </c>
      <c r="N167" s="8">
        <v>6</v>
      </c>
      <c r="O167">
        <v>52</v>
      </c>
      <c r="P167">
        <v>21</v>
      </c>
      <c r="Q167" s="3">
        <v>0.88</v>
      </c>
      <c r="R167">
        <f>Inventory_Table[[#This Row],[Stock_Quantity]]*Inventory_Table[[#This Row],[Unit_Price]]</f>
        <v>306</v>
      </c>
      <c r="S167">
        <f>Inventory_Table[[#This Row],[Sales_Volume]]*Inventory_Table[[#This Row],[Unit_Price]]</f>
        <v>312</v>
      </c>
      <c r="T167" t="str">
        <f>IF(Inventory_Table[[#This Row],[Stock_Quantity]]&lt;=Inventory_Table[[#This Row],[Reorder_Level]],"REORDER","OK")</f>
        <v>REORDER</v>
      </c>
      <c r="U167" t="s">
        <v>3836</v>
      </c>
      <c r="V167" s="14">
        <f ca="1">TODAY()-Inventory_Table[[#This Row],[Last_Order_Date]]</f>
        <v>797</v>
      </c>
    </row>
    <row r="168" spans="1:22" x14ac:dyDescent="0.35">
      <c r="A168" t="s">
        <v>665</v>
      </c>
      <c r="B168" t="s">
        <v>65</v>
      </c>
      <c r="C168" t="s">
        <v>928</v>
      </c>
      <c r="D168" t="s">
        <v>929</v>
      </c>
      <c r="E168" t="s">
        <v>30</v>
      </c>
      <c r="F168" t="s">
        <v>930</v>
      </c>
      <c r="G168" t="s">
        <v>931</v>
      </c>
      <c r="H168" s="1">
        <v>46207</v>
      </c>
      <c r="I168" s="6">
        <v>45674</v>
      </c>
      <c r="J168" s="6">
        <v>46208</v>
      </c>
      <c r="K168">
        <v>54</v>
      </c>
      <c r="L168">
        <v>53</v>
      </c>
      <c r="M168">
        <v>33</v>
      </c>
      <c r="N168" s="8">
        <v>1.8</v>
      </c>
      <c r="O168">
        <v>94</v>
      </c>
      <c r="P168">
        <v>82</v>
      </c>
      <c r="Q168" s="3">
        <v>0.6</v>
      </c>
      <c r="R168">
        <f>Inventory_Table[[#This Row],[Stock_Quantity]]*Inventory_Table[[#This Row],[Unit_Price]]</f>
        <v>97.2</v>
      </c>
      <c r="S168">
        <f>Inventory_Table[[#This Row],[Sales_Volume]]*Inventory_Table[[#This Row],[Unit_Price]]</f>
        <v>169.20000000000002</v>
      </c>
      <c r="T168" t="str">
        <f>IF(Inventory_Table[[#This Row],[Stock_Quantity]]&lt;=Inventory_Table[[#This Row],[Reorder_Level]],"REORDER","OK")</f>
        <v>OK</v>
      </c>
      <c r="U168" t="s">
        <v>3836</v>
      </c>
      <c r="V168" s="14">
        <f ca="1">TODAY()-Inventory_Table[[#This Row],[Last_Order_Date]]</f>
        <v>502</v>
      </c>
    </row>
    <row r="169" spans="1:22" x14ac:dyDescent="0.35">
      <c r="A169" t="s">
        <v>58</v>
      </c>
      <c r="B169" t="s">
        <v>18</v>
      </c>
      <c r="C169" t="s">
        <v>933</v>
      </c>
      <c r="D169" t="s">
        <v>934</v>
      </c>
      <c r="E169" t="s">
        <v>21</v>
      </c>
      <c r="F169" t="s">
        <v>935</v>
      </c>
      <c r="G169" t="s">
        <v>936</v>
      </c>
      <c r="H169" s="1">
        <v>46207</v>
      </c>
      <c r="I169" s="6">
        <v>45572</v>
      </c>
      <c r="J169" s="6">
        <v>46222</v>
      </c>
      <c r="K169">
        <v>87</v>
      </c>
      <c r="L169">
        <v>1</v>
      </c>
      <c r="M169">
        <v>98</v>
      </c>
      <c r="N169" s="8">
        <v>2.5</v>
      </c>
      <c r="O169">
        <v>61</v>
      </c>
      <c r="P169">
        <v>84</v>
      </c>
      <c r="Q169" s="3">
        <v>0.13</v>
      </c>
      <c r="R169">
        <f>Inventory_Table[[#This Row],[Stock_Quantity]]*Inventory_Table[[#This Row],[Unit_Price]]</f>
        <v>217.5</v>
      </c>
      <c r="S169">
        <f>Inventory_Table[[#This Row],[Sales_Volume]]*Inventory_Table[[#This Row],[Unit_Price]]</f>
        <v>152.5</v>
      </c>
      <c r="T169" t="str">
        <f>IF(Inventory_Table[[#This Row],[Stock_Quantity]]&lt;=Inventory_Table[[#This Row],[Reorder_Level]],"REORDER","OK")</f>
        <v>OK</v>
      </c>
      <c r="U169" t="s">
        <v>3836</v>
      </c>
      <c r="V169" s="14">
        <f ca="1">TODAY()-Inventory_Table[[#This Row],[Last_Order_Date]]</f>
        <v>604</v>
      </c>
    </row>
    <row r="170" spans="1:22" x14ac:dyDescent="0.35">
      <c r="A170" t="s">
        <v>880</v>
      </c>
      <c r="B170" t="s">
        <v>27</v>
      </c>
      <c r="C170" t="s">
        <v>937</v>
      </c>
      <c r="D170" t="s">
        <v>938</v>
      </c>
      <c r="E170" t="s">
        <v>21</v>
      </c>
      <c r="F170" t="s">
        <v>939</v>
      </c>
      <c r="G170" t="s">
        <v>940</v>
      </c>
      <c r="H170" s="1">
        <v>46208</v>
      </c>
      <c r="I170" s="6">
        <v>45650</v>
      </c>
      <c r="J170" s="6">
        <v>46182</v>
      </c>
      <c r="K170">
        <v>46</v>
      </c>
      <c r="L170">
        <v>51</v>
      </c>
      <c r="M170">
        <v>92</v>
      </c>
      <c r="N170" s="8">
        <v>2.2999999999999998</v>
      </c>
      <c r="O170">
        <v>47</v>
      </c>
      <c r="P170">
        <v>25</v>
      </c>
      <c r="Q170" s="3">
        <v>-0.38</v>
      </c>
      <c r="R170">
        <f>Inventory_Table[[#This Row],[Stock_Quantity]]*Inventory_Table[[#This Row],[Unit_Price]]</f>
        <v>105.8</v>
      </c>
      <c r="S170">
        <f>Inventory_Table[[#This Row],[Sales_Volume]]*Inventory_Table[[#This Row],[Unit_Price]]</f>
        <v>108.1</v>
      </c>
      <c r="T170" t="str">
        <f>IF(Inventory_Table[[#This Row],[Stock_Quantity]]&lt;=Inventory_Table[[#This Row],[Reorder_Level]],"REORDER","OK")</f>
        <v>REORDER</v>
      </c>
      <c r="U170" t="s">
        <v>3837</v>
      </c>
      <c r="V170" s="14">
        <f ca="1">TODAY()-Inventory_Table[[#This Row],[Last_Order_Date]]</f>
        <v>526</v>
      </c>
    </row>
    <row r="171" spans="1:22" x14ac:dyDescent="0.35">
      <c r="A171" t="s">
        <v>718</v>
      </c>
      <c r="B171" t="s">
        <v>65</v>
      </c>
      <c r="C171" t="s">
        <v>942</v>
      </c>
      <c r="D171" t="s">
        <v>943</v>
      </c>
      <c r="E171" t="s">
        <v>21</v>
      </c>
      <c r="F171" t="s">
        <v>944</v>
      </c>
      <c r="G171" t="s">
        <v>945</v>
      </c>
      <c r="H171" s="1">
        <v>46208</v>
      </c>
      <c r="I171" s="6">
        <v>45704</v>
      </c>
      <c r="J171" s="6">
        <v>46306</v>
      </c>
      <c r="K171">
        <v>13</v>
      </c>
      <c r="L171">
        <v>32</v>
      </c>
      <c r="M171">
        <v>79</v>
      </c>
      <c r="N171" s="8">
        <v>2</v>
      </c>
      <c r="O171">
        <v>38</v>
      </c>
      <c r="P171">
        <v>61</v>
      </c>
      <c r="Q171" s="3">
        <v>0.47</v>
      </c>
      <c r="R171">
        <f>Inventory_Table[[#This Row],[Stock_Quantity]]*Inventory_Table[[#This Row],[Unit_Price]]</f>
        <v>26</v>
      </c>
      <c r="S171">
        <f>Inventory_Table[[#This Row],[Sales_Volume]]*Inventory_Table[[#This Row],[Unit_Price]]</f>
        <v>76</v>
      </c>
      <c r="T171" t="str">
        <f>IF(Inventory_Table[[#This Row],[Stock_Quantity]]&lt;=Inventory_Table[[#This Row],[Reorder_Level]],"REORDER","OK")</f>
        <v>REORDER</v>
      </c>
      <c r="U171" t="s">
        <v>3836</v>
      </c>
      <c r="V171" s="14">
        <f ca="1">TODAY()-Inventory_Table[[#This Row],[Last_Order_Date]]</f>
        <v>472</v>
      </c>
    </row>
    <row r="172" spans="1:22" x14ac:dyDescent="0.35">
      <c r="A172" t="s">
        <v>496</v>
      </c>
      <c r="B172" t="s">
        <v>18</v>
      </c>
      <c r="C172" t="s">
        <v>946</v>
      </c>
      <c r="D172" t="s">
        <v>947</v>
      </c>
      <c r="E172" t="s">
        <v>21</v>
      </c>
      <c r="F172" t="s">
        <v>948</v>
      </c>
      <c r="G172" t="s">
        <v>949</v>
      </c>
      <c r="H172" s="1">
        <v>46209</v>
      </c>
      <c r="I172" s="6">
        <v>45633</v>
      </c>
      <c r="J172" s="6">
        <v>46360</v>
      </c>
      <c r="K172">
        <v>25</v>
      </c>
      <c r="L172">
        <v>74</v>
      </c>
      <c r="M172">
        <v>100</v>
      </c>
      <c r="N172" s="8">
        <v>5.5</v>
      </c>
      <c r="O172">
        <v>41</v>
      </c>
      <c r="P172">
        <v>59</v>
      </c>
      <c r="Q172" s="3">
        <v>-0.61</v>
      </c>
      <c r="R172">
        <f>Inventory_Table[[#This Row],[Stock_Quantity]]*Inventory_Table[[#This Row],[Unit_Price]]</f>
        <v>137.5</v>
      </c>
      <c r="S172">
        <f>Inventory_Table[[#This Row],[Sales_Volume]]*Inventory_Table[[#This Row],[Unit_Price]]</f>
        <v>225.5</v>
      </c>
      <c r="T172" t="str">
        <f>IF(Inventory_Table[[#This Row],[Stock_Quantity]]&lt;=Inventory_Table[[#This Row],[Reorder_Level]],"REORDER","OK")</f>
        <v>REORDER</v>
      </c>
      <c r="U172" t="s">
        <v>3836</v>
      </c>
      <c r="V172" s="14">
        <f ca="1">TODAY()-Inventory_Table[[#This Row],[Last_Order_Date]]</f>
        <v>543</v>
      </c>
    </row>
    <row r="173" spans="1:22" x14ac:dyDescent="0.35">
      <c r="A173" t="s">
        <v>183</v>
      </c>
      <c r="B173" t="s">
        <v>18</v>
      </c>
      <c r="C173" t="s">
        <v>115</v>
      </c>
      <c r="D173" t="s">
        <v>950</v>
      </c>
      <c r="E173" t="s">
        <v>21</v>
      </c>
      <c r="F173" t="s">
        <v>951</v>
      </c>
      <c r="G173" t="s">
        <v>952</v>
      </c>
      <c r="H173" s="1">
        <v>46209</v>
      </c>
      <c r="I173" s="6">
        <v>45709</v>
      </c>
      <c r="J173" s="6">
        <v>46123</v>
      </c>
      <c r="K173">
        <v>60</v>
      </c>
      <c r="L173">
        <v>15</v>
      </c>
      <c r="M173">
        <v>89</v>
      </c>
      <c r="N173" s="8">
        <v>4</v>
      </c>
      <c r="O173">
        <v>21</v>
      </c>
      <c r="P173">
        <v>29</v>
      </c>
      <c r="Q173" s="3">
        <v>-0.44</v>
      </c>
      <c r="R173">
        <f>Inventory_Table[[#This Row],[Stock_Quantity]]*Inventory_Table[[#This Row],[Unit_Price]]</f>
        <v>240</v>
      </c>
      <c r="S173">
        <f>Inventory_Table[[#This Row],[Sales_Volume]]*Inventory_Table[[#This Row],[Unit_Price]]</f>
        <v>84</v>
      </c>
      <c r="T173" t="str">
        <f>IF(Inventory_Table[[#This Row],[Stock_Quantity]]&lt;=Inventory_Table[[#This Row],[Reorder_Level]],"REORDER","OK")</f>
        <v>OK</v>
      </c>
      <c r="U173" t="s">
        <v>3838</v>
      </c>
      <c r="V173" s="14">
        <f ca="1">TODAY()-Inventory_Table[[#This Row],[Last_Order_Date]]</f>
        <v>467</v>
      </c>
    </row>
    <row r="174" spans="1:22" x14ac:dyDescent="0.35">
      <c r="A174" t="s">
        <v>671</v>
      </c>
      <c r="B174" t="s">
        <v>65</v>
      </c>
      <c r="C174" t="s">
        <v>953</v>
      </c>
      <c r="D174" t="s">
        <v>954</v>
      </c>
      <c r="E174" t="s">
        <v>21</v>
      </c>
      <c r="F174" t="s">
        <v>955</v>
      </c>
      <c r="G174" t="s">
        <v>956</v>
      </c>
      <c r="H174" s="1">
        <v>46210</v>
      </c>
      <c r="I174" s="6">
        <v>45411</v>
      </c>
      <c r="J174" s="6">
        <v>46142</v>
      </c>
      <c r="K174">
        <v>69</v>
      </c>
      <c r="L174">
        <v>82</v>
      </c>
      <c r="M174">
        <v>58</v>
      </c>
      <c r="N174" s="8">
        <v>1.5</v>
      </c>
      <c r="O174">
        <v>34</v>
      </c>
      <c r="P174">
        <v>22</v>
      </c>
      <c r="Q174" s="3">
        <v>-0.38</v>
      </c>
      <c r="R174">
        <f>Inventory_Table[[#This Row],[Stock_Quantity]]*Inventory_Table[[#This Row],[Unit_Price]]</f>
        <v>103.5</v>
      </c>
      <c r="S174">
        <f>Inventory_Table[[#This Row],[Sales_Volume]]*Inventory_Table[[#This Row],[Unit_Price]]</f>
        <v>51</v>
      </c>
      <c r="T174" t="str">
        <f>IF(Inventory_Table[[#This Row],[Stock_Quantity]]&lt;=Inventory_Table[[#This Row],[Reorder_Level]],"REORDER","OK")</f>
        <v>REORDER</v>
      </c>
      <c r="U174" t="s">
        <v>3838</v>
      </c>
      <c r="V174" s="14">
        <f ca="1">TODAY()-Inventory_Table[[#This Row],[Last_Order_Date]]</f>
        <v>765</v>
      </c>
    </row>
    <row r="175" spans="1:22" x14ac:dyDescent="0.35">
      <c r="A175" t="s">
        <v>413</v>
      </c>
      <c r="B175" t="s">
        <v>65</v>
      </c>
      <c r="C175" t="s">
        <v>959</v>
      </c>
      <c r="D175" t="s">
        <v>960</v>
      </c>
      <c r="E175" t="s">
        <v>21</v>
      </c>
      <c r="F175" t="s">
        <v>961</v>
      </c>
      <c r="G175" t="s">
        <v>962</v>
      </c>
      <c r="H175" s="1">
        <v>46210</v>
      </c>
      <c r="I175" s="6">
        <v>45646</v>
      </c>
      <c r="J175" s="6">
        <v>46265</v>
      </c>
      <c r="K175">
        <v>36</v>
      </c>
      <c r="L175">
        <v>81</v>
      </c>
      <c r="M175">
        <v>54</v>
      </c>
      <c r="N175" s="8">
        <v>4.75</v>
      </c>
      <c r="O175">
        <v>73</v>
      </c>
      <c r="P175">
        <v>60</v>
      </c>
      <c r="Q175" s="3">
        <v>0.35</v>
      </c>
      <c r="R175">
        <f>Inventory_Table[[#This Row],[Stock_Quantity]]*Inventory_Table[[#This Row],[Unit_Price]]</f>
        <v>171</v>
      </c>
      <c r="S175">
        <f>Inventory_Table[[#This Row],[Sales_Volume]]*Inventory_Table[[#This Row],[Unit_Price]]</f>
        <v>346.75</v>
      </c>
      <c r="T175" t="str">
        <f>IF(Inventory_Table[[#This Row],[Stock_Quantity]]&lt;=Inventory_Table[[#This Row],[Reorder_Level]],"REORDER","OK")</f>
        <v>REORDER</v>
      </c>
      <c r="U175" t="s">
        <v>3836</v>
      </c>
      <c r="V175" s="14">
        <f ca="1">TODAY()-Inventory_Table[[#This Row],[Last_Order_Date]]</f>
        <v>530</v>
      </c>
    </row>
    <row r="176" spans="1:22" x14ac:dyDescent="0.35">
      <c r="A176" t="s">
        <v>277</v>
      </c>
      <c r="B176" t="s">
        <v>114</v>
      </c>
      <c r="C176" t="s">
        <v>963</v>
      </c>
      <c r="D176" t="s">
        <v>964</v>
      </c>
      <c r="E176" t="s">
        <v>30</v>
      </c>
      <c r="F176" t="s">
        <v>965</v>
      </c>
      <c r="G176" t="s">
        <v>966</v>
      </c>
      <c r="H176" s="1">
        <v>46210</v>
      </c>
      <c r="I176" s="6">
        <v>45444</v>
      </c>
      <c r="J176" s="6">
        <v>46103</v>
      </c>
      <c r="K176">
        <v>36</v>
      </c>
      <c r="L176">
        <v>53</v>
      </c>
      <c r="M176">
        <v>92</v>
      </c>
      <c r="N176" s="8">
        <v>3.5</v>
      </c>
      <c r="O176">
        <v>67</v>
      </c>
      <c r="P176">
        <v>43</v>
      </c>
      <c r="Q176" s="3">
        <v>0.18</v>
      </c>
      <c r="R176">
        <f>Inventory_Table[[#This Row],[Stock_Quantity]]*Inventory_Table[[#This Row],[Unit_Price]]</f>
        <v>126</v>
      </c>
      <c r="S176">
        <f>Inventory_Table[[#This Row],[Sales_Volume]]*Inventory_Table[[#This Row],[Unit_Price]]</f>
        <v>234.5</v>
      </c>
      <c r="T176" t="str">
        <f>IF(Inventory_Table[[#This Row],[Stock_Quantity]]&lt;=Inventory_Table[[#This Row],[Reorder_Level]],"REORDER","OK")</f>
        <v>REORDER</v>
      </c>
      <c r="U176" t="s">
        <v>3838</v>
      </c>
      <c r="V176" s="14">
        <f ca="1">TODAY()-Inventory_Table[[#This Row],[Last_Order_Date]]</f>
        <v>732</v>
      </c>
    </row>
    <row r="177" spans="1:22" x14ac:dyDescent="0.35">
      <c r="A177" t="s">
        <v>183</v>
      </c>
      <c r="B177" t="s">
        <v>18</v>
      </c>
      <c r="C177" t="s">
        <v>968</v>
      </c>
      <c r="D177" t="s">
        <v>969</v>
      </c>
      <c r="E177" t="s">
        <v>30</v>
      </c>
      <c r="F177" t="s">
        <v>970</v>
      </c>
      <c r="G177" t="s">
        <v>971</v>
      </c>
      <c r="H177" s="1">
        <v>46211</v>
      </c>
      <c r="I177" s="6">
        <v>45391</v>
      </c>
      <c r="J177" s="6">
        <v>46313</v>
      </c>
      <c r="K177">
        <v>79</v>
      </c>
      <c r="L177">
        <v>74</v>
      </c>
      <c r="M177">
        <v>87</v>
      </c>
      <c r="N177" s="8">
        <v>4</v>
      </c>
      <c r="O177">
        <v>80</v>
      </c>
      <c r="P177">
        <v>26</v>
      </c>
      <c r="Q177" s="3">
        <v>0.36</v>
      </c>
      <c r="R177">
        <f>Inventory_Table[[#This Row],[Stock_Quantity]]*Inventory_Table[[#This Row],[Unit_Price]]</f>
        <v>316</v>
      </c>
      <c r="S177">
        <f>Inventory_Table[[#This Row],[Sales_Volume]]*Inventory_Table[[#This Row],[Unit_Price]]</f>
        <v>320</v>
      </c>
      <c r="T177" t="str">
        <f>IF(Inventory_Table[[#This Row],[Stock_Quantity]]&lt;=Inventory_Table[[#This Row],[Reorder_Level]],"REORDER","OK")</f>
        <v>OK</v>
      </c>
      <c r="U177" t="s">
        <v>3836</v>
      </c>
      <c r="V177" s="14">
        <f ca="1">TODAY()-Inventory_Table[[#This Row],[Last_Order_Date]]</f>
        <v>785</v>
      </c>
    </row>
    <row r="178" spans="1:22" x14ac:dyDescent="0.35">
      <c r="A178" t="s">
        <v>135</v>
      </c>
      <c r="B178" t="s">
        <v>36</v>
      </c>
      <c r="C178" t="s">
        <v>51</v>
      </c>
      <c r="D178" t="s">
        <v>972</v>
      </c>
      <c r="E178" t="s">
        <v>68</v>
      </c>
      <c r="F178" t="s">
        <v>973</v>
      </c>
      <c r="G178" t="s">
        <v>974</v>
      </c>
      <c r="H178" s="1">
        <v>46212</v>
      </c>
      <c r="I178" s="6">
        <v>45618</v>
      </c>
      <c r="J178" s="6">
        <v>46312</v>
      </c>
      <c r="K178">
        <v>63</v>
      </c>
      <c r="L178">
        <v>7</v>
      </c>
      <c r="M178">
        <v>23</v>
      </c>
      <c r="N178" s="8">
        <v>2.35</v>
      </c>
      <c r="O178">
        <v>78</v>
      </c>
      <c r="P178">
        <v>100</v>
      </c>
      <c r="Q178" s="3">
        <v>0.68</v>
      </c>
      <c r="R178">
        <f>Inventory_Table[[#This Row],[Stock_Quantity]]*Inventory_Table[[#This Row],[Unit_Price]]</f>
        <v>148.05000000000001</v>
      </c>
      <c r="S178">
        <f>Inventory_Table[[#This Row],[Sales_Volume]]*Inventory_Table[[#This Row],[Unit_Price]]</f>
        <v>183.3</v>
      </c>
      <c r="T178" t="str">
        <f>IF(Inventory_Table[[#This Row],[Stock_Quantity]]&lt;=Inventory_Table[[#This Row],[Reorder_Level]],"REORDER","OK")</f>
        <v>OK</v>
      </c>
      <c r="U178" t="s">
        <v>3836</v>
      </c>
      <c r="V178" s="14">
        <f ca="1">TODAY()-Inventory_Table[[#This Row],[Last_Order_Date]]</f>
        <v>558</v>
      </c>
    </row>
    <row r="179" spans="1:22" x14ac:dyDescent="0.35">
      <c r="A179" t="s">
        <v>975</v>
      </c>
      <c r="B179" t="s">
        <v>18</v>
      </c>
      <c r="C179" t="s">
        <v>696</v>
      </c>
      <c r="D179" t="s">
        <v>976</v>
      </c>
      <c r="E179" t="s">
        <v>21</v>
      </c>
      <c r="F179" t="s">
        <v>977</v>
      </c>
      <c r="G179" t="s">
        <v>978</v>
      </c>
      <c r="H179" s="1">
        <v>46212</v>
      </c>
      <c r="I179" s="6">
        <v>45361</v>
      </c>
      <c r="J179" s="6">
        <v>46329</v>
      </c>
      <c r="K179">
        <v>26</v>
      </c>
      <c r="L179">
        <v>70</v>
      </c>
      <c r="M179">
        <v>52</v>
      </c>
      <c r="N179" s="8">
        <v>2</v>
      </c>
      <c r="O179">
        <v>36</v>
      </c>
      <c r="P179">
        <v>10</v>
      </c>
      <c r="Q179" s="3">
        <v>-0.28000000000000003</v>
      </c>
      <c r="R179">
        <f>Inventory_Table[[#This Row],[Stock_Quantity]]*Inventory_Table[[#This Row],[Unit_Price]]</f>
        <v>52</v>
      </c>
      <c r="S179">
        <f>Inventory_Table[[#This Row],[Sales_Volume]]*Inventory_Table[[#This Row],[Unit_Price]]</f>
        <v>72</v>
      </c>
      <c r="T179" t="str">
        <f>IF(Inventory_Table[[#This Row],[Stock_Quantity]]&lt;=Inventory_Table[[#This Row],[Reorder_Level]],"REORDER","OK")</f>
        <v>REORDER</v>
      </c>
      <c r="U179" t="s">
        <v>3836</v>
      </c>
      <c r="V179" s="14">
        <f ca="1">TODAY()-Inventory_Table[[#This Row],[Last_Order_Date]]</f>
        <v>815</v>
      </c>
    </row>
    <row r="180" spans="1:22" x14ac:dyDescent="0.35">
      <c r="A180" t="s">
        <v>872</v>
      </c>
      <c r="B180" t="s">
        <v>18</v>
      </c>
      <c r="C180" t="s">
        <v>115</v>
      </c>
      <c r="D180" t="s">
        <v>979</v>
      </c>
      <c r="E180" t="s">
        <v>21</v>
      </c>
      <c r="F180" t="s">
        <v>980</v>
      </c>
      <c r="G180" t="s">
        <v>981</v>
      </c>
      <c r="H180" s="1">
        <v>46213</v>
      </c>
      <c r="I180" s="6">
        <v>45440</v>
      </c>
      <c r="J180" s="6">
        <v>46195</v>
      </c>
      <c r="K180">
        <v>72</v>
      </c>
      <c r="L180">
        <v>70</v>
      </c>
      <c r="M180">
        <v>99</v>
      </c>
      <c r="N180" s="8">
        <v>2.5</v>
      </c>
      <c r="O180">
        <v>82</v>
      </c>
      <c r="P180">
        <v>32</v>
      </c>
      <c r="Q180" s="3">
        <v>0.72</v>
      </c>
      <c r="R180">
        <f>Inventory_Table[[#This Row],[Stock_Quantity]]*Inventory_Table[[#This Row],[Unit_Price]]</f>
        <v>180</v>
      </c>
      <c r="S180">
        <f>Inventory_Table[[#This Row],[Sales_Volume]]*Inventory_Table[[#This Row],[Unit_Price]]</f>
        <v>205</v>
      </c>
      <c r="T180" t="str">
        <f>IF(Inventory_Table[[#This Row],[Stock_Quantity]]&lt;=Inventory_Table[[#This Row],[Reorder_Level]],"REORDER","OK")</f>
        <v>OK</v>
      </c>
      <c r="U180" t="s">
        <v>3837</v>
      </c>
      <c r="V180" s="14">
        <f ca="1">TODAY()-Inventory_Table[[#This Row],[Last_Order_Date]]</f>
        <v>736</v>
      </c>
    </row>
    <row r="181" spans="1:22" x14ac:dyDescent="0.35">
      <c r="A181" t="s">
        <v>326</v>
      </c>
      <c r="B181" t="s">
        <v>18</v>
      </c>
      <c r="C181" t="s">
        <v>490</v>
      </c>
      <c r="D181" t="s">
        <v>983</v>
      </c>
      <c r="E181" t="s">
        <v>68</v>
      </c>
      <c r="F181" t="s">
        <v>984</v>
      </c>
      <c r="G181" t="s">
        <v>985</v>
      </c>
      <c r="H181" s="1">
        <v>46213</v>
      </c>
      <c r="I181" s="6">
        <v>45428</v>
      </c>
      <c r="J181" s="6">
        <v>46150</v>
      </c>
      <c r="K181">
        <v>38</v>
      </c>
      <c r="L181">
        <v>22</v>
      </c>
      <c r="M181">
        <v>71</v>
      </c>
      <c r="N181" s="8">
        <v>5</v>
      </c>
      <c r="O181">
        <v>33</v>
      </c>
      <c r="P181">
        <v>62</v>
      </c>
      <c r="Q181" s="3">
        <v>0.61</v>
      </c>
      <c r="R181">
        <f>Inventory_Table[[#This Row],[Stock_Quantity]]*Inventory_Table[[#This Row],[Unit_Price]]</f>
        <v>190</v>
      </c>
      <c r="S181">
        <f>Inventory_Table[[#This Row],[Sales_Volume]]*Inventory_Table[[#This Row],[Unit_Price]]</f>
        <v>165</v>
      </c>
      <c r="T181" t="str">
        <f>IF(Inventory_Table[[#This Row],[Stock_Quantity]]&lt;=Inventory_Table[[#This Row],[Reorder_Level]],"REORDER","OK")</f>
        <v>OK</v>
      </c>
      <c r="U181" t="s">
        <v>3838</v>
      </c>
      <c r="V181" s="14">
        <f ca="1">TODAY()-Inventory_Table[[#This Row],[Last_Order_Date]]</f>
        <v>748</v>
      </c>
    </row>
    <row r="182" spans="1:22" x14ac:dyDescent="0.35">
      <c r="A182" t="s">
        <v>916</v>
      </c>
      <c r="B182" t="s">
        <v>114</v>
      </c>
      <c r="C182" t="s">
        <v>581</v>
      </c>
      <c r="D182" t="s">
        <v>987</v>
      </c>
      <c r="E182" t="s">
        <v>68</v>
      </c>
      <c r="F182" t="s">
        <v>988</v>
      </c>
      <c r="G182" t="s">
        <v>989</v>
      </c>
      <c r="H182" s="1">
        <v>46214</v>
      </c>
      <c r="I182" s="6">
        <v>45411</v>
      </c>
      <c r="J182" s="6">
        <v>46151</v>
      </c>
      <c r="K182">
        <v>82</v>
      </c>
      <c r="L182">
        <v>6</v>
      </c>
      <c r="M182">
        <v>53</v>
      </c>
      <c r="N182" s="8">
        <v>5</v>
      </c>
      <c r="O182">
        <v>21</v>
      </c>
      <c r="P182">
        <v>58</v>
      </c>
      <c r="Q182" s="3">
        <v>-0.88</v>
      </c>
      <c r="R182">
        <f>Inventory_Table[[#This Row],[Stock_Quantity]]*Inventory_Table[[#This Row],[Unit_Price]]</f>
        <v>410</v>
      </c>
      <c r="S182">
        <f>Inventory_Table[[#This Row],[Sales_Volume]]*Inventory_Table[[#This Row],[Unit_Price]]</f>
        <v>105</v>
      </c>
      <c r="T182" t="str">
        <f>IF(Inventory_Table[[#This Row],[Stock_Quantity]]&lt;=Inventory_Table[[#This Row],[Reorder_Level]],"REORDER","OK")</f>
        <v>OK</v>
      </c>
      <c r="U182" t="s">
        <v>3838</v>
      </c>
      <c r="V182" s="14">
        <f ca="1">TODAY()-Inventory_Table[[#This Row],[Last_Order_Date]]</f>
        <v>765</v>
      </c>
    </row>
    <row r="183" spans="1:22" x14ac:dyDescent="0.35">
      <c r="A183" t="s">
        <v>423</v>
      </c>
      <c r="B183" t="s">
        <v>65</v>
      </c>
      <c r="C183" t="s">
        <v>573</v>
      </c>
      <c r="D183" t="s">
        <v>990</v>
      </c>
      <c r="E183" t="s">
        <v>68</v>
      </c>
      <c r="F183" t="s">
        <v>991</v>
      </c>
      <c r="G183" t="s">
        <v>992</v>
      </c>
      <c r="H183" s="1">
        <v>46214</v>
      </c>
      <c r="I183" s="6">
        <v>45704</v>
      </c>
      <c r="J183" s="6">
        <v>46259</v>
      </c>
      <c r="K183">
        <v>19</v>
      </c>
      <c r="L183">
        <v>77</v>
      </c>
      <c r="M183">
        <v>66</v>
      </c>
      <c r="N183" s="8">
        <v>10</v>
      </c>
      <c r="O183">
        <v>62</v>
      </c>
      <c r="P183">
        <v>100</v>
      </c>
      <c r="Q183" s="3">
        <v>-1.76</v>
      </c>
      <c r="R183">
        <f>Inventory_Table[[#This Row],[Stock_Quantity]]*Inventory_Table[[#This Row],[Unit_Price]]</f>
        <v>190</v>
      </c>
      <c r="S183">
        <f>Inventory_Table[[#This Row],[Sales_Volume]]*Inventory_Table[[#This Row],[Unit_Price]]</f>
        <v>620</v>
      </c>
      <c r="T183" t="str">
        <f>IF(Inventory_Table[[#This Row],[Stock_Quantity]]&lt;=Inventory_Table[[#This Row],[Reorder_Level]],"REORDER","OK")</f>
        <v>REORDER</v>
      </c>
      <c r="U183" t="s">
        <v>3836</v>
      </c>
      <c r="V183" s="14">
        <f ca="1">TODAY()-Inventory_Table[[#This Row],[Last_Order_Date]]</f>
        <v>472</v>
      </c>
    </row>
    <row r="184" spans="1:22" x14ac:dyDescent="0.35">
      <c r="A184" t="s">
        <v>277</v>
      </c>
      <c r="B184" t="s">
        <v>114</v>
      </c>
      <c r="C184" t="s">
        <v>399</v>
      </c>
      <c r="D184" t="s">
        <v>994</v>
      </c>
      <c r="E184" t="s">
        <v>68</v>
      </c>
      <c r="F184" t="s">
        <v>995</v>
      </c>
      <c r="G184" t="s">
        <v>996</v>
      </c>
      <c r="H184" s="1">
        <v>46215</v>
      </c>
      <c r="I184" s="6">
        <v>45507</v>
      </c>
      <c r="J184" s="6">
        <v>46100</v>
      </c>
      <c r="K184">
        <v>58</v>
      </c>
      <c r="L184">
        <v>48</v>
      </c>
      <c r="M184">
        <v>9</v>
      </c>
      <c r="N184" s="8">
        <v>3.5</v>
      </c>
      <c r="O184">
        <v>98</v>
      </c>
      <c r="P184">
        <v>69</v>
      </c>
      <c r="Q184" s="3">
        <v>-0.61</v>
      </c>
      <c r="R184">
        <f>Inventory_Table[[#This Row],[Stock_Quantity]]*Inventory_Table[[#This Row],[Unit_Price]]</f>
        <v>203</v>
      </c>
      <c r="S184">
        <f>Inventory_Table[[#This Row],[Sales_Volume]]*Inventory_Table[[#This Row],[Unit_Price]]</f>
        <v>343</v>
      </c>
      <c r="T184" t="str">
        <f>IF(Inventory_Table[[#This Row],[Stock_Quantity]]&lt;=Inventory_Table[[#This Row],[Reorder_Level]],"REORDER","OK")</f>
        <v>OK</v>
      </c>
      <c r="U184" t="s">
        <v>3838</v>
      </c>
      <c r="V184" s="14">
        <f ca="1">TODAY()-Inventory_Table[[#This Row],[Last_Order_Date]]</f>
        <v>669</v>
      </c>
    </row>
    <row r="185" spans="1:22" x14ac:dyDescent="0.35">
      <c r="A185" t="s">
        <v>480</v>
      </c>
      <c r="B185" t="s">
        <v>36</v>
      </c>
      <c r="C185" t="s">
        <v>997</v>
      </c>
      <c r="D185" t="s">
        <v>998</v>
      </c>
      <c r="E185" t="s">
        <v>68</v>
      </c>
      <c r="F185" t="s">
        <v>999</v>
      </c>
      <c r="G185" t="s">
        <v>1000</v>
      </c>
      <c r="H185" s="1">
        <v>46237</v>
      </c>
      <c r="I185" s="6">
        <v>45647</v>
      </c>
      <c r="J185" s="6">
        <v>46165</v>
      </c>
      <c r="K185">
        <v>98</v>
      </c>
      <c r="L185">
        <v>24</v>
      </c>
      <c r="M185">
        <v>4</v>
      </c>
      <c r="N185" s="8">
        <v>4.0999999999999996</v>
      </c>
      <c r="O185">
        <v>89</v>
      </c>
      <c r="P185">
        <v>80</v>
      </c>
      <c r="Q185" s="3">
        <v>0.3</v>
      </c>
      <c r="R185">
        <f>Inventory_Table[[#This Row],[Stock_Quantity]]*Inventory_Table[[#This Row],[Unit_Price]]</f>
        <v>401.79999999999995</v>
      </c>
      <c r="S185">
        <f>Inventory_Table[[#This Row],[Sales_Volume]]*Inventory_Table[[#This Row],[Unit_Price]]</f>
        <v>364.9</v>
      </c>
      <c r="T185" t="str">
        <f>IF(Inventory_Table[[#This Row],[Stock_Quantity]]&lt;=Inventory_Table[[#This Row],[Reorder_Level]],"REORDER","OK")</f>
        <v>OK</v>
      </c>
      <c r="U185" t="s">
        <v>3838</v>
      </c>
      <c r="V185" s="14">
        <f ca="1">TODAY()-Inventory_Table[[#This Row],[Last_Order_Date]]</f>
        <v>529</v>
      </c>
    </row>
    <row r="186" spans="1:22" x14ac:dyDescent="0.35">
      <c r="A186" t="s">
        <v>1003</v>
      </c>
      <c r="B186" t="s">
        <v>18</v>
      </c>
      <c r="C186" t="s">
        <v>1004</v>
      </c>
      <c r="D186" t="s">
        <v>1005</v>
      </c>
      <c r="E186" t="s">
        <v>68</v>
      </c>
      <c r="F186" t="s">
        <v>1006</v>
      </c>
      <c r="G186" t="s">
        <v>1007</v>
      </c>
      <c r="H186" s="1">
        <v>46237</v>
      </c>
      <c r="I186" s="6">
        <v>45668</v>
      </c>
      <c r="J186" s="6">
        <v>46290</v>
      </c>
      <c r="K186">
        <v>44</v>
      </c>
      <c r="L186">
        <v>92</v>
      </c>
      <c r="M186">
        <v>92</v>
      </c>
      <c r="N186" s="8">
        <v>3.5</v>
      </c>
      <c r="O186">
        <v>41</v>
      </c>
      <c r="P186">
        <v>61</v>
      </c>
      <c r="Q186" s="3">
        <v>0.1</v>
      </c>
      <c r="R186">
        <f>Inventory_Table[[#This Row],[Stock_Quantity]]*Inventory_Table[[#This Row],[Unit_Price]]</f>
        <v>154</v>
      </c>
      <c r="S186">
        <f>Inventory_Table[[#This Row],[Sales_Volume]]*Inventory_Table[[#This Row],[Unit_Price]]</f>
        <v>143.5</v>
      </c>
      <c r="T186" t="str">
        <f>IF(Inventory_Table[[#This Row],[Stock_Quantity]]&lt;=Inventory_Table[[#This Row],[Reorder_Level]],"REORDER","OK")</f>
        <v>REORDER</v>
      </c>
      <c r="U186" t="s">
        <v>3836</v>
      </c>
      <c r="V186" s="14">
        <f ca="1">TODAY()-Inventory_Table[[#This Row],[Last_Order_Date]]</f>
        <v>508</v>
      </c>
    </row>
    <row r="187" spans="1:22" x14ac:dyDescent="0.35">
      <c r="A187" t="s">
        <v>1008</v>
      </c>
      <c r="B187" t="s">
        <v>18</v>
      </c>
      <c r="C187" t="s">
        <v>1009</v>
      </c>
      <c r="D187" t="s">
        <v>1010</v>
      </c>
      <c r="E187" t="s">
        <v>30</v>
      </c>
      <c r="F187" t="s">
        <v>1011</v>
      </c>
      <c r="G187" t="s">
        <v>1012</v>
      </c>
      <c r="H187" s="1">
        <v>46237</v>
      </c>
      <c r="I187" s="6">
        <v>45625</v>
      </c>
      <c r="J187" s="6">
        <v>46312</v>
      </c>
      <c r="K187">
        <v>100</v>
      </c>
      <c r="L187">
        <v>52</v>
      </c>
      <c r="M187">
        <v>2</v>
      </c>
      <c r="N187" s="8">
        <v>3</v>
      </c>
      <c r="O187">
        <v>86</v>
      </c>
      <c r="P187">
        <v>70</v>
      </c>
      <c r="Q187" s="3">
        <v>-0.49</v>
      </c>
      <c r="R187">
        <f>Inventory_Table[[#This Row],[Stock_Quantity]]*Inventory_Table[[#This Row],[Unit_Price]]</f>
        <v>300</v>
      </c>
      <c r="S187">
        <f>Inventory_Table[[#This Row],[Sales_Volume]]*Inventory_Table[[#This Row],[Unit_Price]]</f>
        <v>258</v>
      </c>
      <c r="T187" t="str">
        <f>IF(Inventory_Table[[#This Row],[Stock_Quantity]]&lt;=Inventory_Table[[#This Row],[Reorder_Level]],"REORDER","OK")</f>
        <v>OK</v>
      </c>
      <c r="U187" t="s">
        <v>3836</v>
      </c>
      <c r="V187" s="14">
        <f ca="1">TODAY()-Inventory_Table[[#This Row],[Last_Order_Date]]</f>
        <v>551</v>
      </c>
    </row>
    <row r="188" spans="1:22" x14ac:dyDescent="0.35">
      <c r="A188" t="s">
        <v>283</v>
      </c>
      <c r="B188" t="s">
        <v>163</v>
      </c>
      <c r="C188" t="s">
        <v>504</v>
      </c>
      <c r="D188" t="s">
        <v>1013</v>
      </c>
      <c r="E188" t="s">
        <v>21</v>
      </c>
      <c r="F188" t="s">
        <v>1014</v>
      </c>
      <c r="G188" t="s">
        <v>1015</v>
      </c>
      <c r="H188" s="1">
        <v>46238</v>
      </c>
      <c r="I188" s="6">
        <v>45533</v>
      </c>
      <c r="J188" s="6">
        <v>46107</v>
      </c>
      <c r="K188">
        <v>62</v>
      </c>
      <c r="L188">
        <v>78</v>
      </c>
      <c r="M188">
        <v>97</v>
      </c>
      <c r="N188" s="8">
        <v>10</v>
      </c>
      <c r="O188">
        <v>62</v>
      </c>
      <c r="P188">
        <v>97</v>
      </c>
      <c r="Q188" s="3">
        <v>0.19</v>
      </c>
      <c r="R188">
        <f>Inventory_Table[[#This Row],[Stock_Quantity]]*Inventory_Table[[#This Row],[Unit_Price]]</f>
        <v>620</v>
      </c>
      <c r="S188">
        <f>Inventory_Table[[#This Row],[Sales_Volume]]*Inventory_Table[[#This Row],[Unit_Price]]</f>
        <v>620</v>
      </c>
      <c r="T188" t="str">
        <f>IF(Inventory_Table[[#This Row],[Stock_Quantity]]&lt;=Inventory_Table[[#This Row],[Reorder_Level]],"REORDER","OK")</f>
        <v>REORDER</v>
      </c>
      <c r="U188" t="s">
        <v>3838</v>
      </c>
      <c r="V188" s="14">
        <f ca="1">TODAY()-Inventory_Table[[#This Row],[Last_Order_Date]]</f>
        <v>643</v>
      </c>
    </row>
    <row r="189" spans="1:22" x14ac:dyDescent="0.35">
      <c r="A189" t="s">
        <v>856</v>
      </c>
      <c r="B189" t="s">
        <v>18</v>
      </c>
      <c r="C189" t="s">
        <v>254</v>
      </c>
      <c r="D189" t="s">
        <v>1018</v>
      </c>
      <c r="E189" t="s">
        <v>30</v>
      </c>
      <c r="F189" t="s">
        <v>1019</v>
      </c>
      <c r="G189" t="s">
        <v>1020</v>
      </c>
      <c r="H189" s="1">
        <v>46238</v>
      </c>
      <c r="I189" s="6">
        <v>45667</v>
      </c>
      <c r="J189" s="6">
        <v>46114</v>
      </c>
      <c r="K189">
        <v>84</v>
      </c>
      <c r="L189">
        <v>20</v>
      </c>
      <c r="M189">
        <v>58</v>
      </c>
      <c r="N189" s="8">
        <v>2.5</v>
      </c>
      <c r="O189">
        <v>86</v>
      </c>
      <c r="P189">
        <v>64</v>
      </c>
      <c r="Q189" s="3">
        <v>-0.56000000000000005</v>
      </c>
      <c r="R189">
        <f>Inventory_Table[[#This Row],[Stock_Quantity]]*Inventory_Table[[#This Row],[Unit_Price]]</f>
        <v>210</v>
      </c>
      <c r="S189">
        <f>Inventory_Table[[#This Row],[Sales_Volume]]*Inventory_Table[[#This Row],[Unit_Price]]</f>
        <v>215</v>
      </c>
      <c r="T189" t="str">
        <f>IF(Inventory_Table[[#This Row],[Stock_Quantity]]&lt;=Inventory_Table[[#This Row],[Reorder_Level]],"REORDER","OK")</f>
        <v>OK</v>
      </c>
      <c r="U189" t="s">
        <v>3838</v>
      </c>
      <c r="V189" s="14">
        <f ca="1">TODAY()-Inventory_Table[[#This Row],[Last_Order_Date]]</f>
        <v>509</v>
      </c>
    </row>
    <row r="190" spans="1:22" x14ac:dyDescent="0.35">
      <c r="A190" t="s">
        <v>1021</v>
      </c>
      <c r="B190" t="s">
        <v>36</v>
      </c>
      <c r="C190" t="s">
        <v>164</v>
      </c>
      <c r="D190" t="s">
        <v>1022</v>
      </c>
      <c r="E190" t="s">
        <v>30</v>
      </c>
      <c r="F190" t="s">
        <v>1023</v>
      </c>
      <c r="G190" t="s">
        <v>1024</v>
      </c>
      <c r="H190" s="1">
        <v>46238</v>
      </c>
      <c r="I190" s="6">
        <v>45528</v>
      </c>
      <c r="J190" s="6">
        <v>46117</v>
      </c>
      <c r="K190">
        <v>68</v>
      </c>
      <c r="L190">
        <v>82</v>
      </c>
      <c r="M190">
        <v>58</v>
      </c>
      <c r="N190" s="8">
        <v>4.8</v>
      </c>
      <c r="O190">
        <v>90</v>
      </c>
      <c r="P190">
        <v>2</v>
      </c>
      <c r="Q190" s="3">
        <v>0.26</v>
      </c>
      <c r="R190">
        <f>Inventory_Table[[#This Row],[Stock_Quantity]]*Inventory_Table[[#This Row],[Unit_Price]]</f>
        <v>326.39999999999998</v>
      </c>
      <c r="S190">
        <f>Inventory_Table[[#This Row],[Sales_Volume]]*Inventory_Table[[#This Row],[Unit_Price]]</f>
        <v>432</v>
      </c>
      <c r="T190" t="str">
        <f>IF(Inventory_Table[[#This Row],[Stock_Quantity]]&lt;=Inventory_Table[[#This Row],[Reorder_Level]],"REORDER","OK")</f>
        <v>REORDER</v>
      </c>
      <c r="U190" t="s">
        <v>3838</v>
      </c>
      <c r="V190" s="14">
        <f ca="1">TODAY()-Inventory_Table[[#This Row],[Last_Order_Date]]</f>
        <v>648</v>
      </c>
    </row>
    <row r="191" spans="1:22" x14ac:dyDescent="0.35">
      <c r="A191" t="s">
        <v>356</v>
      </c>
      <c r="B191" t="s">
        <v>18</v>
      </c>
      <c r="C191" t="s">
        <v>1025</v>
      </c>
      <c r="D191" t="s">
        <v>1026</v>
      </c>
      <c r="E191" t="s">
        <v>68</v>
      </c>
      <c r="F191" t="s">
        <v>1027</v>
      </c>
      <c r="G191" t="s">
        <v>1028</v>
      </c>
      <c r="H191" s="1">
        <v>46239</v>
      </c>
      <c r="I191" s="6">
        <v>45434</v>
      </c>
      <c r="J191" s="6">
        <v>46435</v>
      </c>
      <c r="K191">
        <v>55</v>
      </c>
      <c r="L191">
        <v>91</v>
      </c>
      <c r="M191">
        <v>35</v>
      </c>
      <c r="N191" s="8">
        <v>3.5</v>
      </c>
      <c r="O191">
        <v>81</v>
      </c>
      <c r="P191">
        <v>19</v>
      </c>
      <c r="Q191" s="3">
        <v>0.98</v>
      </c>
      <c r="R191">
        <f>Inventory_Table[[#This Row],[Stock_Quantity]]*Inventory_Table[[#This Row],[Unit_Price]]</f>
        <v>192.5</v>
      </c>
      <c r="S191">
        <f>Inventory_Table[[#This Row],[Sales_Volume]]*Inventory_Table[[#This Row],[Unit_Price]]</f>
        <v>283.5</v>
      </c>
      <c r="T191" t="str">
        <f>IF(Inventory_Table[[#This Row],[Stock_Quantity]]&lt;=Inventory_Table[[#This Row],[Reorder_Level]],"REORDER","OK")</f>
        <v>REORDER</v>
      </c>
      <c r="U191" t="s">
        <v>3836</v>
      </c>
      <c r="V191" s="14">
        <f ca="1">TODAY()-Inventory_Table[[#This Row],[Last_Order_Date]]</f>
        <v>742</v>
      </c>
    </row>
    <row r="192" spans="1:22" x14ac:dyDescent="0.35">
      <c r="A192" t="s">
        <v>1030</v>
      </c>
      <c r="B192" t="s">
        <v>114</v>
      </c>
      <c r="C192" t="s">
        <v>189</v>
      </c>
      <c r="D192" t="s">
        <v>1031</v>
      </c>
      <c r="E192" t="s">
        <v>68</v>
      </c>
      <c r="F192" t="s">
        <v>1032</v>
      </c>
      <c r="G192" t="s">
        <v>1033</v>
      </c>
      <c r="H192" s="1">
        <v>46239</v>
      </c>
      <c r="I192" s="6">
        <v>45349</v>
      </c>
      <c r="J192" s="6">
        <v>46420</v>
      </c>
      <c r="K192">
        <v>87</v>
      </c>
      <c r="L192">
        <v>70</v>
      </c>
      <c r="M192">
        <v>77</v>
      </c>
      <c r="N192" s="8">
        <v>3.2</v>
      </c>
      <c r="O192">
        <v>73</v>
      </c>
      <c r="P192">
        <v>44</v>
      </c>
      <c r="Q192" s="3">
        <v>0.77</v>
      </c>
      <c r="R192">
        <f>Inventory_Table[[#This Row],[Stock_Quantity]]*Inventory_Table[[#This Row],[Unit_Price]]</f>
        <v>278.40000000000003</v>
      </c>
      <c r="S192">
        <f>Inventory_Table[[#This Row],[Sales_Volume]]*Inventory_Table[[#This Row],[Unit_Price]]</f>
        <v>233.60000000000002</v>
      </c>
      <c r="T192" t="str">
        <f>IF(Inventory_Table[[#This Row],[Stock_Quantity]]&lt;=Inventory_Table[[#This Row],[Reorder_Level]],"REORDER","OK")</f>
        <v>OK</v>
      </c>
      <c r="U192" t="s">
        <v>3836</v>
      </c>
      <c r="V192" s="14">
        <f ca="1">TODAY()-Inventory_Table[[#This Row],[Last_Order_Date]]</f>
        <v>827</v>
      </c>
    </row>
    <row r="193" spans="1:22" x14ac:dyDescent="0.35">
      <c r="A193" t="s">
        <v>567</v>
      </c>
      <c r="B193" t="s">
        <v>65</v>
      </c>
      <c r="C193" t="s">
        <v>265</v>
      </c>
      <c r="D193" t="s">
        <v>1035</v>
      </c>
      <c r="E193" t="s">
        <v>68</v>
      </c>
      <c r="F193" t="s">
        <v>1036</v>
      </c>
      <c r="G193" t="s">
        <v>1037</v>
      </c>
      <c r="H193" s="1">
        <v>46239</v>
      </c>
      <c r="I193" s="6">
        <v>45641</v>
      </c>
      <c r="J193" s="6">
        <v>46155</v>
      </c>
      <c r="K193">
        <v>12</v>
      </c>
      <c r="L193">
        <v>56</v>
      </c>
      <c r="M193">
        <v>92</v>
      </c>
      <c r="N193" s="8">
        <v>9.5</v>
      </c>
      <c r="O193">
        <v>56</v>
      </c>
      <c r="P193">
        <v>6</v>
      </c>
      <c r="Q193" s="3">
        <v>0.4</v>
      </c>
      <c r="R193">
        <f>Inventory_Table[[#This Row],[Stock_Quantity]]*Inventory_Table[[#This Row],[Unit_Price]]</f>
        <v>114</v>
      </c>
      <c r="S193">
        <f>Inventory_Table[[#This Row],[Sales_Volume]]*Inventory_Table[[#This Row],[Unit_Price]]</f>
        <v>532</v>
      </c>
      <c r="T193" t="str">
        <f>IF(Inventory_Table[[#This Row],[Stock_Quantity]]&lt;=Inventory_Table[[#This Row],[Reorder_Level]],"REORDER","OK")</f>
        <v>REORDER</v>
      </c>
      <c r="U193" t="s">
        <v>3838</v>
      </c>
      <c r="V193" s="14">
        <f ca="1">TODAY()-Inventory_Table[[#This Row],[Last_Order_Date]]</f>
        <v>535</v>
      </c>
    </row>
    <row r="194" spans="1:22" x14ac:dyDescent="0.35">
      <c r="A194" t="s">
        <v>122</v>
      </c>
      <c r="B194" t="s">
        <v>18</v>
      </c>
      <c r="C194" t="s">
        <v>963</v>
      </c>
      <c r="D194" t="s">
        <v>1040</v>
      </c>
      <c r="E194" t="s">
        <v>30</v>
      </c>
      <c r="F194" t="s">
        <v>1041</v>
      </c>
      <c r="G194" t="s">
        <v>1042</v>
      </c>
      <c r="H194" s="1">
        <v>46240</v>
      </c>
      <c r="I194" s="6">
        <v>45379</v>
      </c>
      <c r="J194" s="6">
        <v>46422</v>
      </c>
      <c r="K194">
        <v>95</v>
      </c>
      <c r="L194">
        <v>66</v>
      </c>
      <c r="M194">
        <v>69</v>
      </c>
      <c r="N194" s="8">
        <v>2.48</v>
      </c>
      <c r="O194">
        <v>92</v>
      </c>
      <c r="P194">
        <v>72</v>
      </c>
      <c r="Q194" s="3">
        <v>0.89</v>
      </c>
      <c r="R194">
        <f>Inventory_Table[[#This Row],[Stock_Quantity]]*Inventory_Table[[#This Row],[Unit_Price]]</f>
        <v>235.6</v>
      </c>
      <c r="S194">
        <f>Inventory_Table[[#This Row],[Sales_Volume]]*Inventory_Table[[#This Row],[Unit_Price]]</f>
        <v>228.16</v>
      </c>
      <c r="T194" t="str">
        <f>IF(Inventory_Table[[#This Row],[Stock_Quantity]]&lt;=Inventory_Table[[#This Row],[Reorder_Level]],"REORDER","OK")</f>
        <v>OK</v>
      </c>
      <c r="U194" t="s">
        <v>3836</v>
      </c>
      <c r="V194" s="14">
        <f ca="1">TODAY()-Inventory_Table[[#This Row],[Last_Order_Date]]</f>
        <v>797</v>
      </c>
    </row>
    <row r="195" spans="1:22" x14ac:dyDescent="0.35">
      <c r="A195" t="s">
        <v>177</v>
      </c>
      <c r="B195" t="s">
        <v>18</v>
      </c>
      <c r="C195" t="s">
        <v>942</v>
      </c>
      <c r="D195" t="s">
        <v>1044</v>
      </c>
      <c r="E195" t="s">
        <v>30</v>
      </c>
      <c r="F195" t="s">
        <v>1045</v>
      </c>
      <c r="G195" t="s">
        <v>1046</v>
      </c>
      <c r="H195" s="1">
        <v>46240</v>
      </c>
      <c r="I195" s="6">
        <v>45431</v>
      </c>
      <c r="J195" s="6">
        <v>46366</v>
      </c>
      <c r="K195">
        <v>84</v>
      </c>
      <c r="L195">
        <v>9</v>
      </c>
      <c r="M195">
        <v>46</v>
      </c>
      <c r="N195" s="8">
        <v>5</v>
      </c>
      <c r="O195">
        <v>30</v>
      </c>
      <c r="P195">
        <v>68</v>
      </c>
      <c r="Q195" s="3">
        <v>0.22</v>
      </c>
      <c r="R195">
        <f>Inventory_Table[[#This Row],[Stock_Quantity]]*Inventory_Table[[#This Row],[Unit_Price]]</f>
        <v>420</v>
      </c>
      <c r="S195">
        <f>Inventory_Table[[#This Row],[Sales_Volume]]*Inventory_Table[[#This Row],[Unit_Price]]</f>
        <v>150</v>
      </c>
      <c r="T195" t="str">
        <f>IF(Inventory_Table[[#This Row],[Stock_Quantity]]&lt;=Inventory_Table[[#This Row],[Reorder_Level]],"REORDER","OK")</f>
        <v>OK</v>
      </c>
      <c r="U195" t="s">
        <v>3836</v>
      </c>
      <c r="V195" s="14">
        <f ca="1">TODAY()-Inventory_Table[[#This Row],[Last_Order_Date]]</f>
        <v>745</v>
      </c>
    </row>
    <row r="196" spans="1:22" x14ac:dyDescent="0.35">
      <c r="A196" t="s">
        <v>418</v>
      </c>
      <c r="B196" t="s">
        <v>65</v>
      </c>
      <c r="C196" t="s">
        <v>1047</v>
      </c>
      <c r="D196" t="s">
        <v>1048</v>
      </c>
      <c r="E196" t="s">
        <v>21</v>
      </c>
      <c r="F196" t="s">
        <v>1049</v>
      </c>
      <c r="G196" t="s">
        <v>1050</v>
      </c>
      <c r="H196" s="1">
        <v>46241</v>
      </c>
      <c r="I196" s="6">
        <v>45488</v>
      </c>
      <c r="J196" s="6">
        <v>46196</v>
      </c>
      <c r="K196">
        <v>68</v>
      </c>
      <c r="L196">
        <v>68</v>
      </c>
      <c r="M196">
        <v>97</v>
      </c>
      <c r="N196" s="8">
        <v>6</v>
      </c>
      <c r="O196">
        <v>37</v>
      </c>
      <c r="P196">
        <v>31</v>
      </c>
      <c r="Q196" s="3">
        <v>-1.27</v>
      </c>
      <c r="R196">
        <f>Inventory_Table[[#This Row],[Stock_Quantity]]*Inventory_Table[[#This Row],[Unit_Price]]</f>
        <v>408</v>
      </c>
      <c r="S196">
        <f>Inventory_Table[[#This Row],[Sales_Volume]]*Inventory_Table[[#This Row],[Unit_Price]]</f>
        <v>222</v>
      </c>
      <c r="T196" t="str">
        <f>IF(Inventory_Table[[#This Row],[Stock_Quantity]]&lt;=Inventory_Table[[#This Row],[Reorder_Level]],"REORDER","OK")</f>
        <v>REORDER</v>
      </c>
      <c r="U196" t="s">
        <v>3837</v>
      </c>
      <c r="V196" s="14">
        <f ca="1">TODAY()-Inventory_Table[[#This Row],[Last_Order_Date]]</f>
        <v>688</v>
      </c>
    </row>
    <row r="197" spans="1:22" x14ac:dyDescent="0.35">
      <c r="A197" t="s">
        <v>708</v>
      </c>
      <c r="B197" t="s">
        <v>163</v>
      </c>
      <c r="C197" t="s">
        <v>550</v>
      </c>
      <c r="D197" t="s">
        <v>1051</v>
      </c>
      <c r="E197" t="s">
        <v>68</v>
      </c>
      <c r="F197" t="s">
        <v>1052</v>
      </c>
      <c r="G197" t="s">
        <v>1053</v>
      </c>
      <c r="H197" s="1">
        <v>46241</v>
      </c>
      <c r="I197" s="6">
        <v>45576</v>
      </c>
      <c r="J197" s="6">
        <v>46429</v>
      </c>
      <c r="K197">
        <v>11</v>
      </c>
      <c r="L197">
        <v>72</v>
      </c>
      <c r="M197">
        <v>5</v>
      </c>
      <c r="N197" s="8">
        <v>15</v>
      </c>
      <c r="O197">
        <v>89</v>
      </c>
      <c r="P197">
        <v>4</v>
      </c>
      <c r="Q197" s="3">
        <v>0.16</v>
      </c>
      <c r="R197">
        <f>Inventory_Table[[#This Row],[Stock_Quantity]]*Inventory_Table[[#This Row],[Unit_Price]]</f>
        <v>165</v>
      </c>
      <c r="S197">
        <f>Inventory_Table[[#This Row],[Sales_Volume]]*Inventory_Table[[#This Row],[Unit_Price]]</f>
        <v>1335</v>
      </c>
      <c r="T197" t="str">
        <f>IF(Inventory_Table[[#This Row],[Stock_Quantity]]&lt;=Inventory_Table[[#This Row],[Reorder_Level]],"REORDER","OK")</f>
        <v>REORDER</v>
      </c>
      <c r="U197" t="s">
        <v>3836</v>
      </c>
      <c r="V197" s="14">
        <f ca="1">TODAY()-Inventory_Table[[#This Row],[Last_Order_Date]]</f>
        <v>600</v>
      </c>
    </row>
    <row r="198" spans="1:22" x14ac:dyDescent="0.35">
      <c r="A198" t="s">
        <v>296</v>
      </c>
      <c r="B198" t="s">
        <v>27</v>
      </c>
      <c r="C198" t="s">
        <v>828</v>
      </c>
      <c r="D198" t="s">
        <v>1054</v>
      </c>
      <c r="E198" t="s">
        <v>21</v>
      </c>
      <c r="F198" t="s">
        <v>1055</v>
      </c>
      <c r="G198" t="s">
        <v>1056</v>
      </c>
      <c r="H198" s="1">
        <v>46241</v>
      </c>
      <c r="I198" s="6">
        <v>45664</v>
      </c>
      <c r="J198" s="6">
        <v>46254</v>
      </c>
      <c r="K198">
        <v>44</v>
      </c>
      <c r="L198">
        <v>83</v>
      </c>
      <c r="M198">
        <v>78</v>
      </c>
      <c r="N198" s="8">
        <v>1.8</v>
      </c>
      <c r="O198">
        <v>46</v>
      </c>
      <c r="P198">
        <v>4</v>
      </c>
      <c r="Q198" s="3">
        <v>0.96</v>
      </c>
      <c r="R198">
        <f>Inventory_Table[[#This Row],[Stock_Quantity]]*Inventory_Table[[#This Row],[Unit_Price]]</f>
        <v>79.2</v>
      </c>
      <c r="S198">
        <f>Inventory_Table[[#This Row],[Sales_Volume]]*Inventory_Table[[#This Row],[Unit_Price]]</f>
        <v>82.8</v>
      </c>
      <c r="T198" t="str">
        <f>IF(Inventory_Table[[#This Row],[Stock_Quantity]]&lt;=Inventory_Table[[#This Row],[Reorder_Level]],"REORDER","OK")</f>
        <v>REORDER</v>
      </c>
      <c r="U198" t="s">
        <v>3836</v>
      </c>
      <c r="V198" s="14">
        <f ca="1">TODAY()-Inventory_Table[[#This Row],[Last_Order_Date]]</f>
        <v>512</v>
      </c>
    </row>
    <row r="199" spans="1:22" x14ac:dyDescent="0.35">
      <c r="A199" t="s">
        <v>106</v>
      </c>
      <c r="B199" t="s">
        <v>18</v>
      </c>
      <c r="C199" t="s">
        <v>562</v>
      </c>
      <c r="D199" t="s">
        <v>1057</v>
      </c>
      <c r="E199" t="s">
        <v>21</v>
      </c>
      <c r="F199" t="s">
        <v>1058</v>
      </c>
      <c r="G199" t="s">
        <v>1059</v>
      </c>
      <c r="H199" s="1">
        <v>46241</v>
      </c>
      <c r="I199" s="6">
        <v>45635</v>
      </c>
      <c r="J199" s="6">
        <v>46337</v>
      </c>
      <c r="K199">
        <v>36</v>
      </c>
      <c r="L199">
        <v>59</v>
      </c>
      <c r="M199">
        <v>90</v>
      </c>
      <c r="N199" s="8">
        <v>3</v>
      </c>
      <c r="O199">
        <v>25</v>
      </c>
      <c r="P199">
        <v>60</v>
      </c>
      <c r="Q199" s="3">
        <v>0.91</v>
      </c>
      <c r="R199">
        <f>Inventory_Table[[#This Row],[Stock_Quantity]]*Inventory_Table[[#This Row],[Unit_Price]]</f>
        <v>108</v>
      </c>
      <c r="S199">
        <f>Inventory_Table[[#This Row],[Sales_Volume]]*Inventory_Table[[#This Row],[Unit_Price]]</f>
        <v>75</v>
      </c>
      <c r="T199" t="str">
        <f>IF(Inventory_Table[[#This Row],[Stock_Quantity]]&lt;=Inventory_Table[[#This Row],[Reorder_Level]],"REORDER","OK")</f>
        <v>REORDER</v>
      </c>
      <c r="U199" t="s">
        <v>3836</v>
      </c>
      <c r="V199" s="14">
        <f ca="1">TODAY()-Inventory_Table[[#This Row],[Last_Order_Date]]</f>
        <v>541</v>
      </c>
    </row>
    <row r="200" spans="1:22" x14ac:dyDescent="0.35">
      <c r="A200" t="s">
        <v>596</v>
      </c>
      <c r="B200" t="s">
        <v>18</v>
      </c>
      <c r="C200" t="s">
        <v>149</v>
      </c>
      <c r="D200" t="s">
        <v>1060</v>
      </c>
      <c r="E200" t="s">
        <v>21</v>
      </c>
      <c r="F200" t="s">
        <v>1061</v>
      </c>
      <c r="G200" t="s">
        <v>1062</v>
      </c>
      <c r="H200" s="1">
        <v>46241</v>
      </c>
      <c r="I200" s="6">
        <v>45673</v>
      </c>
      <c r="J200" s="6">
        <v>46431</v>
      </c>
      <c r="K200">
        <v>94</v>
      </c>
      <c r="L200">
        <v>69</v>
      </c>
      <c r="M200">
        <v>68</v>
      </c>
      <c r="N200" s="8">
        <v>4</v>
      </c>
      <c r="O200">
        <v>24</v>
      </c>
      <c r="P200">
        <v>20</v>
      </c>
      <c r="Q200" s="3">
        <v>-1.4</v>
      </c>
      <c r="R200">
        <f>Inventory_Table[[#This Row],[Stock_Quantity]]*Inventory_Table[[#This Row],[Unit_Price]]</f>
        <v>376</v>
      </c>
      <c r="S200">
        <f>Inventory_Table[[#This Row],[Sales_Volume]]*Inventory_Table[[#This Row],[Unit_Price]]</f>
        <v>96</v>
      </c>
      <c r="T200" t="str">
        <f>IF(Inventory_Table[[#This Row],[Stock_Quantity]]&lt;=Inventory_Table[[#This Row],[Reorder_Level]],"REORDER","OK")</f>
        <v>OK</v>
      </c>
      <c r="U200" t="s">
        <v>3836</v>
      </c>
      <c r="V200" s="14">
        <f ca="1">TODAY()-Inventory_Table[[#This Row],[Last_Order_Date]]</f>
        <v>503</v>
      </c>
    </row>
    <row r="201" spans="1:22" x14ac:dyDescent="0.35">
      <c r="A201" t="s">
        <v>786</v>
      </c>
      <c r="B201" t="s">
        <v>65</v>
      </c>
      <c r="C201" t="s">
        <v>436</v>
      </c>
      <c r="D201" t="s">
        <v>1063</v>
      </c>
      <c r="E201" t="s">
        <v>21</v>
      </c>
      <c r="F201" t="s">
        <v>1064</v>
      </c>
      <c r="G201" t="s">
        <v>1065</v>
      </c>
      <c r="H201" s="1">
        <v>46242</v>
      </c>
      <c r="I201" s="6">
        <v>45393</v>
      </c>
      <c r="J201" s="6">
        <v>46384</v>
      </c>
      <c r="K201">
        <v>68</v>
      </c>
      <c r="L201">
        <v>7</v>
      </c>
      <c r="M201">
        <v>37</v>
      </c>
      <c r="N201" s="8">
        <v>2.5</v>
      </c>
      <c r="O201">
        <v>69</v>
      </c>
      <c r="P201">
        <v>1</v>
      </c>
      <c r="Q201" s="3">
        <v>0.17</v>
      </c>
      <c r="R201">
        <f>Inventory_Table[[#This Row],[Stock_Quantity]]*Inventory_Table[[#This Row],[Unit_Price]]</f>
        <v>170</v>
      </c>
      <c r="S201">
        <f>Inventory_Table[[#This Row],[Sales_Volume]]*Inventory_Table[[#This Row],[Unit_Price]]</f>
        <v>172.5</v>
      </c>
      <c r="T201" t="str">
        <f>IF(Inventory_Table[[#This Row],[Stock_Quantity]]&lt;=Inventory_Table[[#This Row],[Reorder_Level]],"REORDER","OK")</f>
        <v>OK</v>
      </c>
      <c r="U201" t="s">
        <v>3836</v>
      </c>
      <c r="V201" s="14">
        <f ca="1">TODAY()-Inventory_Table[[#This Row],[Last_Order_Date]]</f>
        <v>783</v>
      </c>
    </row>
    <row r="202" spans="1:22" x14ac:dyDescent="0.35">
      <c r="A202" t="s">
        <v>212</v>
      </c>
      <c r="B202" t="s">
        <v>75</v>
      </c>
      <c r="C202" t="s">
        <v>1066</v>
      </c>
      <c r="D202" t="s">
        <v>1067</v>
      </c>
      <c r="E202" t="s">
        <v>68</v>
      </c>
      <c r="F202" t="s">
        <v>1068</v>
      </c>
      <c r="G202" t="s">
        <v>1069</v>
      </c>
      <c r="H202" s="1">
        <v>46242</v>
      </c>
      <c r="I202" s="6">
        <v>45644</v>
      </c>
      <c r="J202" s="6">
        <v>46208</v>
      </c>
      <c r="K202">
        <v>78</v>
      </c>
      <c r="L202">
        <v>75</v>
      </c>
      <c r="M202">
        <v>3</v>
      </c>
      <c r="N202" s="8">
        <v>7</v>
      </c>
      <c r="O202">
        <v>63</v>
      </c>
      <c r="P202">
        <v>100</v>
      </c>
      <c r="Q202" s="3">
        <v>0.99</v>
      </c>
      <c r="R202">
        <f>Inventory_Table[[#This Row],[Stock_Quantity]]*Inventory_Table[[#This Row],[Unit_Price]]</f>
        <v>546</v>
      </c>
      <c r="S202">
        <f>Inventory_Table[[#This Row],[Sales_Volume]]*Inventory_Table[[#This Row],[Unit_Price]]</f>
        <v>441</v>
      </c>
      <c r="T202" t="str">
        <f>IF(Inventory_Table[[#This Row],[Stock_Quantity]]&lt;=Inventory_Table[[#This Row],[Reorder_Level]],"REORDER","OK")</f>
        <v>OK</v>
      </c>
      <c r="U202" t="s">
        <v>3836</v>
      </c>
      <c r="V202" s="14">
        <f ca="1">TODAY()-Inventory_Table[[#This Row],[Last_Order_Date]]</f>
        <v>532</v>
      </c>
    </row>
    <row r="203" spans="1:22" x14ac:dyDescent="0.35">
      <c r="A203" t="s">
        <v>549</v>
      </c>
      <c r="B203" t="s">
        <v>18</v>
      </c>
      <c r="C203" t="s">
        <v>327</v>
      </c>
      <c r="D203" t="s">
        <v>1070</v>
      </c>
      <c r="E203" t="s">
        <v>30</v>
      </c>
      <c r="F203" t="s">
        <v>1071</v>
      </c>
      <c r="G203" t="s">
        <v>1072</v>
      </c>
      <c r="H203" s="1">
        <v>46242</v>
      </c>
      <c r="I203" s="6">
        <v>45369</v>
      </c>
      <c r="J203" s="6">
        <v>46365</v>
      </c>
      <c r="K203">
        <v>82</v>
      </c>
      <c r="L203">
        <v>29</v>
      </c>
      <c r="M203">
        <v>62</v>
      </c>
      <c r="N203" s="8">
        <v>15.31</v>
      </c>
      <c r="O203">
        <v>77</v>
      </c>
      <c r="P203">
        <v>27</v>
      </c>
      <c r="Q203" s="3">
        <v>-0.59</v>
      </c>
      <c r="R203">
        <f>Inventory_Table[[#This Row],[Stock_Quantity]]*Inventory_Table[[#This Row],[Unit_Price]]</f>
        <v>1255.42</v>
      </c>
      <c r="S203">
        <f>Inventory_Table[[#This Row],[Sales_Volume]]*Inventory_Table[[#This Row],[Unit_Price]]</f>
        <v>1178.8700000000001</v>
      </c>
      <c r="T203" t="str">
        <f>IF(Inventory_Table[[#This Row],[Stock_Quantity]]&lt;=Inventory_Table[[#This Row],[Reorder_Level]],"REORDER","OK")</f>
        <v>OK</v>
      </c>
      <c r="U203" t="s">
        <v>3836</v>
      </c>
      <c r="V203" s="14">
        <f ca="1">TODAY()-Inventory_Table[[#This Row],[Last_Order_Date]]</f>
        <v>807</v>
      </c>
    </row>
    <row r="204" spans="1:22" x14ac:dyDescent="0.35">
      <c r="A204" t="s">
        <v>413</v>
      </c>
      <c r="B204" t="s">
        <v>65</v>
      </c>
      <c r="C204" t="s">
        <v>1075</v>
      </c>
      <c r="D204" t="s">
        <v>1076</v>
      </c>
      <c r="E204" t="s">
        <v>68</v>
      </c>
      <c r="F204" t="s">
        <v>1077</v>
      </c>
      <c r="G204" t="s">
        <v>1078</v>
      </c>
      <c r="H204" s="1">
        <v>46242</v>
      </c>
      <c r="I204" s="6">
        <v>45591</v>
      </c>
      <c r="J204" s="6">
        <v>46126</v>
      </c>
      <c r="K204">
        <v>22</v>
      </c>
      <c r="L204">
        <v>10</v>
      </c>
      <c r="M204">
        <v>53</v>
      </c>
      <c r="N204" s="8">
        <v>4.25</v>
      </c>
      <c r="O204">
        <v>64</v>
      </c>
      <c r="P204">
        <v>7</v>
      </c>
      <c r="Q204" s="3">
        <v>0.65</v>
      </c>
      <c r="R204">
        <f>Inventory_Table[[#This Row],[Stock_Quantity]]*Inventory_Table[[#This Row],[Unit_Price]]</f>
        <v>93.5</v>
      </c>
      <c r="S204">
        <f>Inventory_Table[[#This Row],[Sales_Volume]]*Inventory_Table[[#This Row],[Unit_Price]]</f>
        <v>272</v>
      </c>
      <c r="T204" t="str">
        <f>IF(Inventory_Table[[#This Row],[Stock_Quantity]]&lt;=Inventory_Table[[#This Row],[Reorder_Level]],"REORDER","OK")</f>
        <v>OK</v>
      </c>
      <c r="U204" t="s">
        <v>3838</v>
      </c>
      <c r="V204" s="14">
        <f ca="1">TODAY()-Inventory_Table[[#This Row],[Last_Order_Date]]</f>
        <v>585</v>
      </c>
    </row>
    <row r="205" spans="1:22" x14ac:dyDescent="0.35">
      <c r="A205" t="s">
        <v>162</v>
      </c>
      <c r="B205" t="s">
        <v>163</v>
      </c>
      <c r="C205" t="s">
        <v>606</v>
      </c>
      <c r="D205" t="s">
        <v>1081</v>
      </c>
      <c r="E205" t="s">
        <v>21</v>
      </c>
      <c r="F205" t="s">
        <v>1082</v>
      </c>
      <c r="G205" t="s">
        <v>1083</v>
      </c>
      <c r="H205" s="1">
        <v>46243</v>
      </c>
      <c r="I205" s="6">
        <v>45449</v>
      </c>
      <c r="J205" s="6">
        <v>46402</v>
      </c>
      <c r="K205">
        <v>62</v>
      </c>
      <c r="L205">
        <v>89</v>
      </c>
      <c r="M205">
        <v>6</v>
      </c>
      <c r="N205" s="8">
        <v>20</v>
      </c>
      <c r="O205">
        <v>23</v>
      </c>
      <c r="P205">
        <v>11</v>
      </c>
      <c r="Q205" s="3">
        <v>0.89</v>
      </c>
      <c r="R205">
        <f>Inventory_Table[[#This Row],[Stock_Quantity]]*Inventory_Table[[#This Row],[Unit_Price]]</f>
        <v>1240</v>
      </c>
      <c r="S205">
        <f>Inventory_Table[[#This Row],[Sales_Volume]]*Inventory_Table[[#This Row],[Unit_Price]]</f>
        <v>460</v>
      </c>
      <c r="T205" t="str">
        <f>IF(Inventory_Table[[#This Row],[Stock_Quantity]]&lt;=Inventory_Table[[#This Row],[Reorder_Level]],"REORDER","OK")</f>
        <v>REORDER</v>
      </c>
      <c r="U205" t="s">
        <v>3836</v>
      </c>
      <c r="V205" s="14">
        <f ca="1">TODAY()-Inventory_Table[[#This Row],[Last_Order_Date]]</f>
        <v>727</v>
      </c>
    </row>
    <row r="206" spans="1:22" x14ac:dyDescent="0.35">
      <c r="A206" t="s">
        <v>769</v>
      </c>
      <c r="B206" t="s">
        <v>36</v>
      </c>
      <c r="C206" t="s">
        <v>1084</v>
      </c>
      <c r="D206" t="s">
        <v>1085</v>
      </c>
      <c r="E206" t="s">
        <v>30</v>
      </c>
      <c r="F206" t="s">
        <v>1086</v>
      </c>
      <c r="G206" t="s">
        <v>1087</v>
      </c>
      <c r="H206" s="1">
        <v>46243</v>
      </c>
      <c r="I206" s="6">
        <v>45349</v>
      </c>
      <c r="J206" s="6">
        <v>46082</v>
      </c>
      <c r="K206">
        <v>70</v>
      </c>
      <c r="L206">
        <v>81</v>
      </c>
      <c r="M206">
        <v>75</v>
      </c>
      <c r="N206" s="8">
        <v>2</v>
      </c>
      <c r="O206">
        <v>24</v>
      </c>
      <c r="P206">
        <v>54</v>
      </c>
      <c r="Q206" s="3">
        <v>0.52</v>
      </c>
      <c r="R206">
        <f>Inventory_Table[[#This Row],[Stock_Quantity]]*Inventory_Table[[#This Row],[Unit_Price]]</f>
        <v>140</v>
      </c>
      <c r="S206">
        <f>Inventory_Table[[#This Row],[Sales_Volume]]*Inventory_Table[[#This Row],[Unit_Price]]</f>
        <v>48</v>
      </c>
      <c r="T206" t="str">
        <f>IF(Inventory_Table[[#This Row],[Stock_Quantity]]&lt;=Inventory_Table[[#This Row],[Reorder_Level]],"REORDER","OK")</f>
        <v>REORDER</v>
      </c>
      <c r="U206" t="s">
        <v>3838</v>
      </c>
      <c r="V206" s="14">
        <f ca="1">TODAY()-Inventory_Table[[#This Row],[Last_Order_Date]]</f>
        <v>827</v>
      </c>
    </row>
    <row r="207" spans="1:22" x14ac:dyDescent="0.35">
      <c r="A207" t="s">
        <v>222</v>
      </c>
      <c r="B207" t="s">
        <v>65</v>
      </c>
      <c r="C207" t="s">
        <v>1088</v>
      </c>
      <c r="D207" t="s">
        <v>1089</v>
      </c>
      <c r="E207" t="s">
        <v>21</v>
      </c>
      <c r="F207" t="s">
        <v>1090</v>
      </c>
      <c r="G207" t="s">
        <v>1091</v>
      </c>
      <c r="H207" s="1">
        <v>46244</v>
      </c>
      <c r="I207" s="6">
        <v>45606</v>
      </c>
      <c r="J207" s="6">
        <v>46440</v>
      </c>
      <c r="K207">
        <v>21</v>
      </c>
      <c r="L207">
        <v>63</v>
      </c>
      <c r="M207">
        <v>65</v>
      </c>
      <c r="N207" s="8">
        <v>1.5</v>
      </c>
      <c r="O207">
        <v>38</v>
      </c>
      <c r="P207">
        <v>73</v>
      </c>
      <c r="Q207" s="3">
        <v>-1.25</v>
      </c>
      <c r="R207">
        <f>Inventory_Table[[#This Row],[Stock_Quantity]]*Inventory_Table[[#This Row],[Unit_Price]]</f>
        <v>31.5</v>
      </c>
      <c r="S207">
        <f>Inventory_Table[[#This Row],[Sales_Volume]]*Inventory_Table[[#This Row],[Unit_Price]]</f>
        <v>57</v>
      </c>
      <c r="T207" t="str">
        <f>IF(Inventory_Table[[#This Row],[Stock_Quantity]]&lt;=Inventory_Table[[#This Row],[Reorder_Level]],"REORDER","OK")</f>
        <v>REORDER</v>
      </c>
      <c r="U207" t="s">
        <v>3836</v>
      </c>
      <c r="V207" s="14">
        <f ca="1">TODAY()-Inventory_Table[[#This Row],[Last_Order_Date]]</f>
        <v>570</v>
      </c>
    </row>
    <row r="208" spans="1:22" x14ac:dyDescent="0.35">
      <c r="A208" t="s">
        <v>129</v>
      </c>
      <c r="B208" t="s">
        <v>18</v>
      </c>
      <c r="C208" t="s">
        <v>946</v>
      </c>
      <c r="D208" t="s">
        <v>1093</v>
      </c>
      <c r="E208" t="s">
        <v>68</v>
      </c>
      <c r="F208" t="s">
        <v>1094</v>
      </c>
      <c r="G208" t="s">
        <v>1095</v>
      </c>
      <c r="H208" s="1">
        <v>46244</v>
      </c>
      <c r="I208" s="6">
        <v>45348</v>
      </c>
      <c r="J208" s="6">
        <v>46406</v>
      </c>
      <c r="K208">
        <v>61</v>
      </c>
      <c r="L208">
        <v>50</v>
      </c>
      <c r="M208">
        <v>9</v>
      </c>
      <c r="N208" s="8">
        <v>4.5</v>
      </c>
      <c r="O208">
        <v>24</v>
      </c>
      <c r="P208">
        <v>92</v>
      </c>
      <c r="Q208" s="3">
        <v>-0.92</v>
      </c>
      <c r="R208">
        <f>Inventory_Table[[#This Row],[Stock_Quantity]]*Inventory_Table[[#This Row],[Unit_Price]]</f>
        <v>274.5</v>
      </c>
      <c r="S208">
        <f>Inventory_Table[[#This Row],[Sales_Volume]]*Inventory_Table[[#This Row],[Unit_Price]]</f>
        <v>108</v>
      </c>
      <c r="T208" t="str">
        <f>IF(Inventory_Table[[#This Row],[Stock_Quantity]]&lt;=Inventory_Table[[#This Row],[Reorder_Level]],"REORDER","OK")</f>
        <v>OK</v>
      </c>
      <c r="U208" t="s">
        <v>3836</v>
      </c>
      <c r="V208" s="14">
        <f ca="1">TODAY()-Inventory_Table[[#This Row],[Last_Order_Date]]</f>
        <v>828</v>
      </c>
    </row>
    <row r="209" spans="1:22" x14ac:dyDescent="0.35">
      <c r="A209" t="s">
        <v>619</v>
      </c>
      <c r="B209" t="s">
        <v>18</v>
      </c>
      <c r="C209" t="s">
        <v>1098</v>
      </c>
      <c r="D209" t="s">
        <v>1099</v>
      </c>
      <c r="E209" t="s">
        <v>30</v>
      </c>
      <c r="F209" t="s">
        <v>1100</v>
      </c>
      <c r="G209" t="s">
        <v>1101</v>
      </c>
      <c r="H209" s="1">
        <v>46244</v>
      </c>
      <c r="I209" s="6">
        <v>45634</v>
      </c>
      <c r="J209" s="6">
        <v>46113</v>
      </c>
      <c r="K209">
        <v>46</v>
      </c>
      <c r="L209">
        <v>88</v>
      </c>
      <c r="M209">
        <v>20</v>
      </c>
      <c r="N209" s="8">
        <v>4.8</v>
      </c>
      <c r="O209">
        <v>59</v>
      </c>
      <c r="P209">
        <v>79</v>
      </c>
      <c r="Q209" s="3">
        <v>-2.83</v>
      </c>
      <c r="R209">
        <f>Inventory_Table[[#This Row],[Stock_Quantity]]*Inventory_Table[[#This Row],[Unit_Price]]</f>
        <v>220.79999999999998</v>
      </c>
      <c r="S209">
        <f>Inventory_Table[[#This Row],[Sales_Volume]]*Inventory_Table[[#This Row],[Unit_Price]]</f>
        <v>283.2</v>
      </c>
      <c r="T209" t="str">
        <f>IF(Inventory_Table[[#This Row],[Stock_Quantity]]&lt;=Inventory_Table[[#This Row],[Reorder_Level]],"REORDER","OK")</f>
        <v>REORDER</v>
      </c>
      <c r="U209" t="s">
        <v>3838</v>
      </c>
      <c r="V209" s="14">
        <f ca="1">TODAY()-Inventory_Table[[#This Row],[Last_Order_Date]]</f>
        <v>542</v>
      </c>
    </row>
    <row r="210" spans="1:22" x14ac:dyDescent="0.35">
      <c r="A210" t="s">
        <v>188</v>
      </c>
      <c r="B210" t="s">
        <v>65</v>
      </c>
      <c r="C210" t="s">
        <v>666</v>
      </c>
      <c r="D210" t="s">
        <v>1102</v>
      </c>
      <c r="E210" t="s">
        <v>21</v>
      </c>
      <c r="F210" t="s">
        <v>1103</v>
      </c>
      <c r="G210" t="s">
        <v>1104</v>
      </c>
      <c r="H210" s="1">
        <v>46244</v>
      </c>
      <c r="I210" s="6">
        <v>45475</v>
      </c>
      <c r="J210" s="6">
        <v>46290</v>
      </c>
      <c r="K210">
        <v>20</v>
      </c>
      <c r="L210">
        <v>25</v>
      </c>
      <c r="M210">
        <v>73</v>
      </c>
      <c r="N210" s="8">
        <v>4.75</v>
      </c>
      <c r="O210">
        <v>78</v>
      </c>
      <c r="P210">
        <v>1</v>
      </c>
      <c r="Q210" s="3">
        <v>-0.34</v>
      </c>
      <c r="R210">
        <f>Inventory_Table[[#This Row],[Stock_Quantity]]*Inventory_Table[[#This Row],[Unit_Price]]</f>
        <v>95</v>
      </c>
      <c r="S210">
        <f>Inventory_Table[[#This Row],[Sales_Volume]]*Inventory_Table[[#This Row],[Unit_Price]]</f>
        <v>370.5</v>
      </c>
      <c r="T210" t="str">
        <f>IF(Inventory_Table[[#This Row],[Stock_Quantity]]&lt;=Inventory_Table[[#This Row],[Reorder_Level]],"REORDER","OK")</f>
        <v>REORDER</v>
      </c>
      <c r="U210" t="s">
        <v>3836</v>
      </c>
      <c r="V210" s="14">
        <f ca="1">TODAY()-Inventory_Table[[#This Row],[Last_Order_Date]]</f>
        <v>701</v>
      </c>
    </row>
    <row r="211" spans="1:22" x14ac:dyDescent="0.35">
      <c r="A211" t="s">
        <v>170</v>
      </c>
      <c r="B211" t="s">
        <v>18</v>
      </c>
      <c r="C211" t="s">
        <v>1105</v>
      </c>
      <c r="D211" t="s">
        <v>1106</v>
      </c>
      <c r="E211" t="s">
        <v>68</v>
      </c>
      <c r="F211" t="s">
        <v>1107</v>
      </c>
      <c r="G211" t="s">
        <v>1108</v>
      </c>
      <c r="H211" s="1">
        <v>46244</v>
      </c>
      <c r="I211" s="6">
        <v>45458</v>
      </c>
      <c r="J211" s="6">
        <v>46251</v>
      </c>
      <c r="K211">
        <v>80</v>
      </c>
      <c r="L211">
        <v>60</v>
      </c>
      <c r="M211">
        <v>71</v>
      </c>
      <c r="N211" s="8">
        <v>2</v>
      </c>
      <c r="O211">
        <v>98</v>
      </c>
      <c r="P211">
        <v>13</v>
      </c>
      <c r="Q211" s="3">
        <v>0.99</v>
      </c>
      <c r="R211">
        <f>Inventory_Table[[#This Row],[Stock_Quantity]]*Inventory_Table[[#This Row],[Unit_Price]]</f>
        <v>160</v>
      </c>
      <c r="S211">
        <f>Inventory_Table[[#This Row],[Sales_Volume]]*Inventory_Table[[#This Row],[Unit_Price]]</f>
        <v>196</v>
      </c>
      <c r="T211" t="str">
        <f>IF(Inventory_Table[[#This Row],[Stock_Quantity]]&lt;=Inventory_Table[[#This Row],[Reorder_Level]],"REORDER","OK")</f>
        <v>OK</v>
      </c>
      <c r="U211" t="s">
        <v>3836</v>
      </c>
      <c r="V211" s="14">
        <f ca="1">TODAY()-Inventory_Table[[#This Row],[Last_Order_Date]]</f>
        <v>718</v>
      </c>
    </row>
    <row r="212" spans="1:22" x14ac:dyDescent="0.35">
      <c r="A212" t="s">
        <v>480</v>
      </c>
      <c r="B212" t="s">
        <v>36</v>
      </c>
      <c r="C212" t="s">
        <v>1109</v>
      </c>
      <c r="D212" t="s">
        <v>1110</v>
      </c>
      <c r="E212" t="s">
        <v>30</v>
      </c>
      <c r="F212" t="s">
        <v>1111</v>
      </c>
      <c r="G212" t="s">
        <v>1112</v>
      </c>
      <c r="H212" s="1">
        <v>46245</v>
      </c>
      <c r="I212" s="6">
        <v>45381</v>
      </c>
      <c r="J212" s="6">
        <v>46272</v>
      </c>
      <c r="K212">
        <v>29</v>
      </c>
      <c r="L212">
        <v>36</v>
      </c>
      <c r="M212">
        <v>40</v>
      </c>
      <c r="N212" s="8">
        <v>4</v>
      </c>
      <c r="O212">
        <v>60</v>
      </c>
      <c r="P212">
        <v>96</v>
      </c>
      <c r="Q212" s="3">
        <v>0.87</v>
      </c>
      <c r="R212">
        <f>Inventory_Table[[#This Row],[Stock_Quantity]]*Inventory_Table[[#This Row],[Unit_Price]]</f>
        <v>116</v>
      </c>
      <c r="S212">
        <f>Inventory_Table[[#This Row],[Sales_Volume]]*Inventory_Table[[#This Row],[Unit_Price]]</f>
        <v>240</v>
      </c>
      <c r="T212" t="str">
        <f>IF(Inventory_Table[[#This Row],[Stock_Quantity]]&lt;=Inventory_Table[[#This Row],[Reorder_Level]],"REORDER","OK")</f>
        <v>REORDER</v>
      </c>
      <c r="U212" t="s">
        <v>3836</v>
      </c>
      <c r="V212" s="14">
        <f ca="1">TODAY()-Inventory_Table[[#This Row],[Last_Order_Date]]</f>
        <v>795</v>
      </c>
    </row>
    <row r="213" spans="1:22" x14ac:dyDescent="0.35">
      <c r="A213" t="s">
        <v>1003</v>
      </c>
      <c r="B213" t="s">
        <v>18</v>
      </c>
      <c r="C213" t="s">
        <v>1113</v>
      </c>
      <c r="D213" t="s">
        <v>1114</v>
      </c>
      <c r="E213" t="s">
        <v>21</v>
      </c>
      <c r="F213" t="s">
        <v>1115</v>
      </c>
      <c r="G213" t="s">
        <v>1116</v>
      </c>
      <c r="H213" s="1">
        <v>46245</v>
      </c>
      <c r="I213" s="6">
        <v>45639</v>
      </c>
      <c r="J213" s="6">
        <v>46399</v>
      </c>
      <c r="K213">
        <v>43</v>
      </c>
      <c r="L213">
        <v>63</v>
      </c>
      <c r="M213">
        <v>99</v>
      </c>
      <c r="N213" s="8">
        <v>3.5</v>
      </c>
      <c r="O213">
        <v>39</v>
      </c>
      <c r="P213">
        <v>77</v>
      </c>
      <c r="Q213" s="3">
        <v>-0.6</v>
      </c>
      <c r="R213">
        <f>Inventory_Table[[#This Row],[Stock_Quantity]]*Inventory_Table[[#This Row],[Unit_Price]]</f>
        <v>150.5</v>
      </c>
      <c r="S213">
        <f>Inventory_Table[[#This Row],[Sales_Volume]]*Inventory_Table[[#This Row],[Unit_Price]]</f>
        <v>136.5</v>
      </c>
      <c r="T213" t="str">
        <f>IF(Inventory_Table[[#This Row],[Stock_Quantity]]&lt;=Inventory_Table[[#This Row],[Reorder_Level]],"REORDER","OK")</f>
        <v>REORDER</v>
      </c>
      <c r="U213" t="s">
        <v>3836</v>
      </c>
      <c r="V213" s="14">
        <f ca="1">TODAY()-Inventory_Table[[#This Row],[Last_Order_Date]]</f>
        <v>537</v>
      </c>
    </row>
    <row r="214" spans="1:22" x14ac:dyDescent="0.35">
      <c r="A214" t="s">
        <v>503</v>
      </c>
      <c r="B214" t="s">
        <v>27</v>
      </c>
      <c r="C214" t="s">
        <v>1117</v>
      </c>
      <c r="D214" t="s">
        <v>1118</v>
      </c>
      <c r="E214" t="s">
        <v>21</v>
      </c>
      <c r="F214" t="s">
        <v>1119</v>
      </c>
      <c r="G214" t="s">
        <v>1120</v>
      </c>
      <c r="H214" s="1">
        <v>46245</v>
      </c>
      <c r="I214" s="6">
        <v>45596</v>
      </c>
      <c r="J214" s="6">
        <v>46115</v>
      </c>
      <c r="K214">
        <v>23</v>
      </c>
      <c r="L214">
        <v>43</v>
      </c>
      <c r="M214">
        <v>75</v>
      </c>
      <c r="N214" s="8">
        <v>2.5</v>
      </c>
      <c r="O214">
        <v>91</v>
      </c>
      <c r="P214">
        <v>86</v>
      </c>
      <c r="Q214" s="3">
        <v>-0.97</v>
      </c>
      <c r="R214">
        <f>Inventory_Table[[#This Row],[Stock_Quantity]]*Inventory_Table[[#This Row],[Unit_Price]]</f>
        <v>57.5</v>
      </c>
      <c r="S214">
        <f>Inventory_Table[[#This Row],[Sales_Volume]]*Inventory_Table[[#This Row],[Unit_Price]]</f>
        <v>227.5</v>
      </c>
      <c r="T214" t="str">
        <f>IF(Inventory_Table[[#This Row],[Stock_Quantity]]&lt;=Inventory_Table[[#This Row],[Reorder_Level]],"REORDER","OK")</f>
        <v>REORDER</v>
      </c>
      <c r="U214" t="s">
        <v>3838</v>
      </c>
      <c r="V214" s="14">
        <f ca="1">TODAY()-Inventory_Table[[#This Row],[Last_Order_Date]]</f>
        <v>580</v>
      </c>
    </row>
    <row r="215" spans="1:22" x14ac:dyDescent="0.35">
      <c r="A215" t="s">
        <v>671</v>
      </c>
      <c r="B215" t="s">
        <v>65</v>
      </c>
      <c r="C215" t="s">
        <v>654</v>
      </c>
      <c r="D215" t="s">
        <v>1122</v>
      </c>
      <c r="E215" t="s">
        <v>68</v>
      </c>
      <c r="F215" t="s">
        <v>1123</v>
      </c>
      <c r="G215" t="s">
        <v>1124</v>
      </c>
      <c r="H215" s="1">
        <v>46246</v>
      </c>
      <c r="I215" s="6">
        <v>45707</v>
      </c>
      <c r="J215" s="6">
        <v>46129</v>
      </c>
      <c r="K215">
        <v>12</v>
      </c>
      <c r="L215">
        <v>59</v>
      </c>
      <c r="M215">
        <v>62</v>
      </c>
      <c r="N215" s="8">
        <v>1.5</v>
      </c>
      <c r="O215">
        <v>95</v>
      </c>
      <c r="P215">
        <v>99</v>
      </c>
      <c r="Q215" s="3">
        <v>0.05</v>
      </c>
      <c r="R215">
        <f>Inventory_Table[[#This Row],[Stock_Quantity]]*Inventory_Table[[#This Row],[Unit_Price]]</f>
        <v>18</v>
      </c>
      <c r="S215">
        <f>Inventory_Table[[#This Row],[Sales_Volume]]*Inventory_Table[[#This Row],[Unit_Price]]</f>
        <v>142.5</v>
      </c>
      <c r="T215" t="str">
        <f>IF(Inventory_Table[[#This Row],[Stock_Quantity]]&lt;=Inventory_Table[[#This Row],[Reorder_Level]],"REORDER","OK")</f>
        <v>REORDER</v>
      </c>
      <c r="U215" t="s">
        <v>3838</v>
      </c>
      <c r="V215" s="14">
        <f ca="1">TODAY()-Inventory_Table[[#This Row],[Last_Order_Date]]</f>
        <v>469</v>
      </c>
    </row>
    <row r="216" spans="1:22" x14ac:dyDescent="0.35">
      <c r="A216" t="s">
        <v>653</v>
      </c>
      <c r="B216" t="s">
        <v>163</v>
      </c>
      <c r="C216" t="s">
        <v>297</v>
      </c>
      <c r="D216" t="s">
        <v>1126</v>
      </c>
      <c r="E216" t="s">
        <v>68</v>
      </c>
      <c r="F216" t="s">
        <v>1127</v>
      </c>
      <c r="G216" t="s">
        <v>1128</v>
      </c>
      <c r="H216" s="1">
        <v>46246</v>
      </c>
      <c r="I216" s="6">
        <v>45351</v>
      </c>
      <c r="J216" s="6">
        <v>46098</v>
      </c>
      <c r="K216">
        <v>99</v>
      </c>
      <c r="L216">
        <v>87</v>
      </c>
      <c r="M216">
        <v>10</v>
      </c>
      <c r="N216" s="8">
        <v>25</v>
      </c>
      <c r="O216">
        <v>93</v>
      </c>
      <c r="P216">
        <v>70</v>
      </c>
      <c r="Q216" s="3">
        <v>-0.04</v>
      </c>
      <c r="R216">
        <f>Inventory_Table[[#This Row],[Stock_Quantity]]*Inventory_Table[[#This Row],[Unit_Price]]</f>
        <v>2475</v>
      </c>
      <c r="S216">
        <f>Inventory_Table[[#This Row],[Sales_Volume]]*Inventory_Table[[#This Row],[Unit_Price]]</f>
        <v>2325</v>
      </c>
      <c r="T216" t="str">
        <f>IF(Inventory_Table[[#This Row],[Stock_Quantity]]&lt;=Inventory_Table[[#This Row],[Reorder_Level]],"REORDER","OK")</f>
        <v>OK</v>
      </c>
      <c r="U216" t="s">
        <v>3838</v>
      </c>
      <c r="V216" s="14">
        <f ca="1">TODAY()-Inventory_Table[[#This Row],[Last_Order_Date]]</f>
        <v>825</v>
      </c>
    </row>
    <row r="217" spans="1:22" x14ac:dyDescent="0.35">
      <c r="A217" t="s">
        <v>496</v>
      </c>
      <c r="B217" t="s">
        <v>18</v>
      </c>
      <c r="C217" t="s">
        <v>1129</v>
      </c>
      <c r="D217" t="s">
        <v>1130</v>
      </c>
      <c r="E217" t="s">
        <v>30</v>
      </c>
      <c r="F217" t="s">
        <v>1131</v>
      </c>
      <c r="G217" t="s">
        <v>1132</v>
      </c>
      <c r="H217" s="1">
        <v>46246</v>
      </c>
      <c r="I217" s="6">
        <v>45669</v>
      </c>
      <c r="J217" s="6">
        <v>46132</v>
      </c>
      <c r="K217">
        <v>37</v>
      </c>
      <c r="L217">
        <v>45</v>
      </c>
      <c r="M217">
        <v>62</v>
      </c>
      <c r="N217" s="8">
        <v>5.5</v>
      </c>
      <c r="O217">
        <v>34</v>
      </c>
      <c r="P217">
        <v>23</v>
      </c>
      <c r="Q217" s="3">
        <v>0.25</v>
      </c>
      <c r="R217">
        <f>Inventory_Table[[#This Row],[Stock_Quantity]]*Inventory_Table[[#This Row],[Unit_Price]]</f>
        <v>203.5</v>
      </c>
      <c r="S217">
        <f>Inventory_Table[[#This Row],[Sales_Volume]]*Inventory_Table[[#This Row],[Unit_Price]]</f>
        <v>187</v>
      </c>
      <c r="T217" t="str">
        <f>IF(Inventory_Table[[#This Row],[Stock_Quantity]]&lt;=Inventory_Table[[#This Row],[Reorder_Level]],"REORDER","OK")</f>
        <v>REORDER</v>
      </c>
      <c r="U217" t="s">
        <v>3838</v>
      </c>
      <c r="V217" s="14">
        <f ca="1">TODAY()-Inventory_Table[[#This Row],[Last_Order_Date]]</f>
        <v>507</v>
      </c>
    </row>
    <row r="218" spans="1:22" x14ac:dyDescent="0.35">
      <c r="A218" t="s">
        <v>893</v>
      </c>
      <c r="B218" t="s">
        <v>65</v>
      </c>
      <c r="C218" t="s">
        <v>1133</v>
      </c>
      <c r="D218" t="s">
        <v>1134</v>
      </c>
      <c r="E218" t="s">
        <v>30</v>
      </c>
      <c r="F218" t="s">
        <v>1135</v>
      </c>
      <c r="G218" t="s">
        <v>1136</v>
      </c>
      <c r="H218" s="1">
        <v>46246</v>
      </c>
      <c r="I218" s="6">
        <v>45547</v>
      </c>
      <c r="J218" s="6">
        <v>46116</v>
      </c>
      <c r="K218">
        <v>26</v>
      </c>
      <c r="L218">
        <v>67</v>
      </c>
      <c r="M218">
        <v>46</v>
      </c>
      <c r="N218" s="8">
        <v>4.4000000000000004</v>
      </c>
      <c r="O218">
        <v>54</v>
      </c>
      <c r="P218">
        <v>46</v>
      </c>
      <c r="Q218" s="3">
        <v>0.32</v>
      </c>
      <c r="R218">
        <f>Inventory_Table[[#This Row],[Stock_Quantity]]*Inventory_Table[[#This Row],[Unit_Price]]</f>
        <v>114.4</v>
      </c>
      <c r="S218">
        <f>Inventory_Table[[#This Row],[Sales_Volume]]*Inventory_Table[[#This Row],[Unit_Price]]</f>
        <v>237.60000000000002</v>
      </c>
      <c r="T218" t="str">
        <f>IF(Inventory_Table[[#This Row],[Stock_Quantity]]&lt;=Inventory_Table[[#This Row],[Reorder_Level]],"REORDER","OK")</f>
        <v>REORDER</v>
      </c>
      <c r="U218" t="s">
        <v>3838</v>
      </c>
      <c r="V218" s="14">
        <f ca="1">TODAY()-Inventory_Table[[#This Row],[Last_Order_Date]]</f>
        <v>629</v>
      </c>
    </row>
    <row r="219" spans="1:22" x14ac:dyDescent="0.35">
      <c r="A219" t="s">
        <v>727</v>
      </c>
      <c r="B219" t="s">
        <v>36</v>
      </c>
      <c r="C219" t="s">
        <v>581</v>
      </c>
      <c r="D219" t="s">
        <v>1138</v>
      </c>
      <c r="E219" t="s">
        <v>68</v>
      </c>
      <c r="F219" t="s">
        <v>1139</v>
      </c>
      <c r="G219" t="s">
        <v>1140</v>
      </c>
      <c r="H219" s="1">
        <v>46246</v>
      </c>
      <c r="I219" s="6">
        <v>45358</v>
      </c>
      <c r="J219" s="6">
        <v>46285</v>
      </c>
      <c r="K219">
        <v>94</v>
      </c>
      <c r="L219">
        <v>60</v>
      </c>
      <c r="M219">
        <v>78</v>
      </c>
      <c r="N219" s="8">
        <v>0.8</v>
      </c>
      <c r="O219">
        <v>100</v>
      </c>
      <c r="P219">
        <v>42</v>
      </c>
      <c r="Q219" s="3">
        <v>0.15</v>
      </c>
      <c r="R219">
        <f>Inventory_Table[[#This Row],[Stock_Quantity]]*Inventory_Table[[#This Row],[Unit_Price]]</f>
        <v>75.2</v>
      </c>
      <c r="S219">
        <f>Inventory_Table[[#This Row],[Sales_Volume]]*Inventory_Table[[#This Row],[Unit_Price]]</f>
        <v>80</v>
      </c>
      <c r="T219" t="str">
        <f>IF(Inventory_Table[[#This Row],[Stock_Quantity]]&lt;=Inventory_Table[[#This Row],[Reorder_Level]],"REORDER","OK")</f>
        <v>OK</v>
      </c>
      <c r="U219" t="s">
        <v>3836</v>
      </c>
      <c r="V219" s="14">
        <f ca="1">TODAY()-Inventory_Table[[#This Row],[Last_Order_Date]]</f>
        <v>818</v>
      </c>
    </row>
    <row r="220" spans="1:22" x14ac:dyDescent="0.35">
      <c r="A220" t="s">
        <v>690</v>
      </c>
      <c r="B220" t="s">
        <v>36</v>
      </c>
      <c r="C220" t="s">
        <v>1142</v>
      </c>
      <c r="D220" t="s">
        <v>1143</v>
      </c>
      <c r="E220" t="s">
        <v>30</v>
      </c>
      <c r="F220" t="s">
        <v>1144</v>
      </c>
      <c r="G220" t="s">
        <v>1145</v>
      </c>
      <c r="H220" s="1">
        <v>46268</v>
      </c>
      <c r="I220" s="6">
        <v>45534</v>
      </c>
      <c r="J220" s="6">
        <v>46195</v>
      </c>
      <c r="K220">
        <v>43</v>
      </c>
      <c r="L220">
        <v>78</v>
      </c>
      <c r="M220">
        <v>85</v>
      </c>
      <c r="N220" s="8">
        <v>2.5</v>
      </c>
      <c r="O220">
        <v>48</v>
      </c>
      <c r="P220">
        <v>98</v>
      </c>
      <c r="Q220" s="3">
        <v>0.57999999999999996</v>
      </c>
      <c r="R220">
        <f>Inventory_Table[[#This Row],[Stock_Quantity]]*Inventory_Table[[#This Row],[Unit_Price]]</f>
        <v>107.5</v>
      </c>
      <c r="S220">
        <f>Inventory_Table[[#This Row],[Sales_Volume]]*Inventory_Table[[#This Row],[Unit_Price]]</f>
        <v>120</v>
      </c>
      <c r="T220" t="str">
        <f>IF(Inventory_Table[[#This Row],[Stock_Quantity]]&lt;=Inventory_Table[[#This Row],[Reorder_Level]],"REORDER","OK")</f>
        <v>REORDER</v>
      </c>
      <c r="U220" t="s">
        <v>3837</v>
      </c>
      <c r="V220" s="14">
        <f ca="1">TODAY()-Inventory_Table[[#This Row],[Last_Order_Date]]</f>
        <v>642</v>
      </c>
    </row>
    <row r="221" spans="1:22" x14ac:dyDescent="0.35">
      <c r="A221" t="s">
        <v>113</v>
      </c>
      <c r="B221" t="s">
        <v>114</v>
      </c>
      <c r="C221" t="s">
        <v>19</v>
      </c>
      <c r="D221" t="s">
        <v>1146</v>
      </c>
      <c r="E221" t="s">
        <v>21</v>
      </c>
      <c r="F221" t="s">
        <v>1147</v>
      </c>
      <c r="G221" t="s">
        <v>1148</v>
      </c>
      <c r="H221" s="1">
        <v>46268</v>
      </c>
      <c r="I221" s="6">
        <v>45620</v>
      </c>
      <c r="J221" s="6">
        <v>46431</v>
      </c>
      <c r="K221">
        <v>34</v>
      </c>
      <c r="L221">
        <v>49</v>
      </c>
      <c r="M221">
        <v>27</v>
      </c>
      <c r="N221" s="8">
        <v>4</v>
      </c>
      <c r="O221">
        <v>78</v>
      </c>
      <c r="P221">
        <v>20</v>
      </c>
      <c r="Q221" s="3">
        <v>-1.04</v>
      </c>
      <c r="R221">
        <f>Inventory_Table[[#This Row],[Stock_Quantity]]*Inventory_Table[[#This Row],[Unit_Price]]</f>
        <v>136</v>
      </c>
      <c r="S221">
        <f>Inventory_Table[[#This Row],[Sales_Volume]]*Inventory_Table[[#This Row],[Unit_Price]]</f>
        <v>312</v>
      </c>
      <c r="T221" t="str">
        <f>IF(Inventory_Table[[#This Row],[Stock_Quantity]]&lt;=Inventory_Table[[#This Row],[Reorder_Level]],"REORDER","OK")</f>
        <v>REORDER</v>
      </c>
      <c r="U221" t="s">
        <v>3836</v>
      </c>
      <c r="V221" s="14">
        <f ca="1">TODAY()-Inventory_Table[[#This Row],[Last_Order_Date]]</f>
        <v>556</v>
      </c>
    </row>
    <row r="222" spans="1:22" x14ac:dyDescent="0.35">
      <c r="A222" t="s">
        <v>450</v>
      </c>
      <c r="B222" t="s">
        <v>18</v>
      </c>
      <c r="C222" t="s">
        <v>611</v>
      </c>
      <c r="D222" t="s">
        <v>1150</v>
      </c>
      <c r="E222" t="s">
        <v>68</v>
      </c>
      <c r="F222" t="s">
        <v>1151</v>
      </c>
      <c r="G222" t="s">
        <v>1152</v>
      </c>
      <c r="H222" s="1">
        <v>46269</v>
      </c>
      <c r="I222" s="6">
        <v>45357</v>
      </c>
      <c r="J222" s="6">
        <v>46246</v>
      </c>
      <c r="K222">
        <v>88</v>
      </c>
      <c r="L222">
        <v>46</v>
      </c>
      <c r="M222">
        <v>55</v>
      </c>
      <c r="N222" s="8">
        <v>1</v>
      </c>
      <c r="O222">
        <v>73</v>
      </c>
      <c r="P222">
        <v>63</v>
      </c>
      <c r="Q222" s="3">
        <v>0.74</v>
      </c>
      <c r="R222">
        <f>Inventory_Table[[#This Row],[Stock_Quantity]]*Inventory_Table[[#This Row],[Unit_Price]]</f>
        <v>88</v>
      </c>
      <c r="S222">
        <f>Inventory_Table[[#This Row],[Sales_Volume]]*Inventory_Table[[#This Row],[Unit_Price]]</f>
        <v>73</v>
      </c>
      <c r="T222" t="str">
        <f>IF(Inventory_Table[[#This Row],[Stock_Quantity]]&lt;=Inventory_Table[[#This Row],[Reorder_Level]],"REORDER","OK")</f>
        <v>OK</v>
      </c>
      <c r="U222" t="s">
        <v>3836</v>
      </c>
      <c r="V222" s="14">
        <f ca="1">TODAY()-Inventory_Table[[#This Row],[Last_Order_Date]]</f>
        <v>819</v>
      </c>
    </row>
    <row r="223" spans="1:22" x14ac:dyDescent="0.35">
      <c r="A223" t="s">
        <v>408</v>
      </c>
      <c r="B223" t="s">
        <v>18</v>
      </c>
      <c r="C223" t="s">
        <v>1153</v>
      </c>
      <c r="D223" t="s">
        <v>1154</v>
      </c>
      <c r="E223" t="s">
        <v>21</v>
      </c>
      <c r="F223" t="s">
        <v>1155</v>
      </c>
      <c r="G223" t="s">
        <v>1156</v>
      </c>
      <c r="H223" s="1">
        <v>46269</v>
      </c>
      <c r="I223" s="6">
        <v>45451</v>
      </c>
      <c r="J223" s="6">
        <v>46359</v>
      </c>
      <c r="K223">
        <v>22</v>
      </c>
      <c r="L223">
        <v>56</v>
      </c>
      <c r="M223">
        <v>72</v>
      </c>
      <c r="N223" s="8">
        <v>4</v>
      </c>
      <c r="O223">
        <v>70</v>
      </c>
      <c r="P223">
        <v>39</v>
      </c>
      <c r="Q223" s="3">
        <v>0.14000000000000001</v>
      </c>
      <c r="R223">
        <f>Inventory_Table[[#This Row],[Stock_Quantity]]*Inventory_Table[[#This Row],[Unit_Price]]</f>
        <v>88</v>
      </c>
      <c r="S223">
        <f>Inventory_Table[[#This Row],[Sales_Volume]]*Inventory_Table[[#This Row],[Unit_Price]]</f>
        <v>280</v>
      </c>
      <c r="T223" t="str">
        <f>IF(Inventory_Table[[#This Row],[Stock_Quantity]]&lt;=Inventory_Table[[#This Row],[Reorder_Level]],"REORDER","OK")</f>
        <v>REORDER</v>
      </c>
      <c r="U223" t="s">
        <v>3836</v>
      </c>
      <c r="V223" s="14">
        <f ca="1">TODAY()-Inventory_Table[[#This Row],[Last_Order_Date]]</f>
        <v>725</v>
      </c>
    </row>
    <row r="224" spans="1:22" x14ac:dyDescent="0.35">
      <c r="A224" t="s">
        <v>1157</v>
      </c>
      <c r="B224" t="s">
        <v>18</v>
      </c>
      <c r="C224" t="s">
        <v>1158</v>
      </c>
      <c r="D224" t="s">
        <v>1159</v>
      </c>
      <c r="E224" t="s">
        <v>68</v>
      </c>
      <c r="F224" t="s">
        <v>1160</v>
      </c>
      <c r="G224" t="s">
        <v>1161</v>
      </c>
      <c r="H224" s="1">
        <v>46270</v>
      </c>
      <c r="I224" s="6">
        <v>45351</v>
      </c>
      <c r="J224" s="6">
        <v>46166</v>
      </c>
      <c r="K224">
        <v>26</v>
      </c>
      <c r="L224">
        <v>63</v>
      </c>
      <c r="M224">
        <v>88</v>
      </c>
      <c r="N224" s="8">
        <v>1.2</v>
      </c>
      <c r="O224">
        <v>84</v>
      </c>
      <c r="P224">
        <v>70</v>
      </c>
      <c r="Q224" s="3">
        <v>0.44</v>
      </c>
      <c r="R224">
        <f>Inventory_Table[[#This Row],[Stock_Quantity]]*Inventory_Table[[#This Row],[Unit_Price]]</f>
        <v>31.2</v>
      </c>
      <c r="S224">
        <f>Inventory_Table[[#This Row],[Sales_Volume]]*Inventory_Table[[#This Row],[Unit_Price]]</f>
        <v>100.8</v>
      </c>
      <c r="T224" t="str">
        <f>IF(Inventory_Table[[#This Row],[Stock_Quantity]]&lt;=Inventory_Table[[#This Row],[Reorder_Level]],"REORDER","OK")</f>
        <v>REORDER</v>
      </c>
      <c r="U224" t="s">
        <v>3838</v>
      </c>
      <c r="V224" s="14">
        <f ca="1">TODAY()-Inventory_Table[[#This Row],[Last_Order_Date]]</f>
        <v>825</v>
      </c>
    </row>
    <row r="225" spans="1:22" x14ac:dyDescent="0.35">
      <c r="A225" t="s">
        <v>842</v>
      </c>
      <c r="B225" t="s">
        <v>75</v>
      </c>
      <c r="C225" t="s">
        <v>1164</v>
      </c>
      <c r="D225" t="s">
        <v>1165</v>
      </c>
      <c r="E225" t="s">
        <v>68</v>
      </c>
      <c r="F225" t="s">
        <v>1166</v>
      </c>
      <c r="G225" t="s">
        <v>1167</v>
      </c>
      <c r="H225" s="1">
        <v>46271</v>
      </c>
      <c r="I225" s="6">
        <v>45465</v>
      </c>
      <c r="J225" s="6">
        <v>46129</v>
      </c>
      <c r="K225">
        <v>93</v>
      </c>
      <c r="L225">
        <v>62</v>
      </c>
      <c r="M225">
        <v>65</v>
      </c>
      <c r="N225" s="8">
        <v>9</v>
      </c>
      <c r="O225">
        <v>78</v>
      </c>
      <c r="P225">
        <v>87</v>
      </c>
      <c r="Q225" s="3">
        <v>0.17</v>
      </c>
      <c r="R225">
        <f>Inventory_Table[[#This Row],[Stock_Quantity]]*Inventory_Table[[#This Row],[Unit_Price]]</f>
        <v>837</v>
      </c>
      <c r="S225">
        <f>Inventory_Table[[#This Row],[Sales_Volume]]*Inventory_Table[[#This Row],[Unit_Price]]</f>
        <v>702</v>
      </c>
      <c r="T225" t="str">
        <f>IF(Inventory_Table[[#This Row],[Stock_Quantity]]&lt;=Inventory_Table[[#This Row],[Reorder_Level]],"REORDER","OK")</f>
        <v>OK</v>
      </c>
      <c r="U225" t="s">
        <v>3838</v>
      </c>
      <c r="V225" s="14">
        <f ca="1">TODAY()-Inventory_Table[[#This Row],[Last_Order_Date]]</f>
        <v>711</v>
      </c>
    </row>
    <row r="226" spans="1:22" x14ac:dyDescent="0.35">
      <c r="A226" t="s">
        <v>450</v>
      </c>
      <c r="B226" t="s">
        <v>18</v>
      </c>
      <c r="C226" t="s">
        <v>178</v>
      </c>
      <c r="D226" t="s">
        <v>1168</v>
      </c>
      <c r="E226" t="s">
        <v>30</v>
      </c>
      <c r="F226" t="s">
        <v>1169</v>
      </c>
      <c r="G226" t="s">
        <v>1170</v>
      </c>
      <c r="H226" s="1">
        <v>46271</v>
      </c>
      <c r="I226" s="6">
        <v>45456</v>
      </c>
      <c r="J226" s="6">
        <v>46336</v>
      </c>
      <c r="K226">
        <v>12</v>
      </c>
      <c r="L226">
        <v>95</v>
      </c>
      <c r="M226">
        <v>49</v>
      </c>
      <c r="N226" s="8">
        <v>1</v>
      </c>
      <c r="O226">
        <v>25</v>
      </c>
      <c r="P226">
        <v>23</v>
      </c>
      <c r="Q226" s="3">
        <v>-0.12</v>
      </c>
      <c r="R226">
        <f>Inventory_Table[[#This Row],[Stock_Quantity]]*Inventory_Table[[#This Row],[Unit_Price]]</f>
        <v>12</v>
      </c>
      <c r="S226">
        <f>Inventory_Table[[#This Row],[Sales_Volume]]*Inventory_Table[[#This Row],[Unit_Price]]</f>
        <v>25</v>
      </c>
      <c r="T226" t="str">
        <f>IF(Inventory_Table[[#This Row],[Stock_Quantity]]&lt;=Inventory_Table[[#This Row],[Reorder_Level]],"REORDER","OK")</f>
        <v>REORDER</v>
      </c>
      <c r="U226" t="s">
        <v>3836</v>
      </c>
      <c r="V226" s="14">
        <f ca="1">TODAY()-Inventory_Table[[#This Row],[Last_Order_Date]]</f>
        <v>720</v>
      </c>
    </row>
    <row r="227" spans="1:22" x14ac:dyDescent="0.35">
      <c r="A227" t="s">
        <v>769</v>
      </c>
      <c r="B227" t="s">
        <v>36</v>
      </c>
      <c r="C227" t="s">
        <v>241</v>
      </c>
      <c r="D227" t="s">
        <v>1171</v>
      </c>
      <c r="E227" t="s">
        <v>21</v>
      </c>
      <c r="F227" t="s">
        <v>1172</v>
      </c>
      <c r="G227" t="s">
        <v>1173</v>
      </c>
      <c r="H227" s="1">
        <v>46271</v>
      </c>
      <c r="I227" s="6">
        <v>45388</v>
      </c>
      <c r="J227" s="6">
        <v>46122</v>
      </c>
      <c r="K227">
        <v>23</v>
      </c>
      <c r="L227">
        <v>99</v>
      </c>
      <c r="M227">
        <v>97</v>
      </c>
      <c r="N227" s="8">
        <v>2</v>
      </c>
      <c r="O227">
        <v>68</v>
      </c>
      <c r="P227">
        <v>76</v>
      </c>
      <c r="Q227" s="3">
        <v>0.08</v>
      </c>
      <c r="R227">
        <f>Inventory_Table[[#This Row],[Stock_Quantity]]*Inventory_Table[[#This Row],[Unit_Price]]</f>
        <v>46</v>
      </c>
      <c r="S227">
        <f>Inventory_Table[[#This Row],[Sales_Volume]]*Inventory_Table[[#This Row],[Unit_Price]]</f>
        <v>136</v>
      </c>
      <c r="T227" t="str">
        <f>IF(Inventory_Table[[#This Row],[Stock_Quantity]]&lt;=Inventory_Table[[#This Row],[Reorder_Level]],"REORDER","OK")</f>
        <v>REORDER</v>
      </c>
      <c r="U227" t="s">
        <v>3838</v>
      </c>
      <c r="V227" s="14">
        <f ca="1">TODAY()-Inventory_Table[[#This Row],[Last_Order_Date]]</f>
        <v>788</v>
      </c>
    </row>
    <row r="228" spans="1:22" x14ac:dyDescent="0.35">
      <c r="A228" t="s">
        <v>289</v>
      </c>
      <c r="B228" t="s">
        <v>114</v>
      </c>
      <c r="C228" t="s">
        <v>1174</v>
      </c>
      <c r="D228" t="s">
        <v>1175</v>
      </c>
      <c r="E228" t="s">
        <v>68</v>
      </c>
      <c r="F228" t="s">
        <v>1176</v>
      </c>
      <c r="G228" t="s">
        <v>1177</v>
      </c>
      <c r="H228" s="1">
        <v>46272</v>
      </c>
      <c r="I228" s="6">
        <v>45705</v>
      </c>
      <c r="J228" s="6">
        <v>46438</v>
      </c>
      <c r="K228">
        <v>75</v>
      </c>
      <c r="L228">
        <v>81</v>
      </c>
      <c r="M228">
        <v>17</v>
      </c>
      <c r="N228" s="8">
        <v>5</v>
      </c>
      <c r="O228">
        <v>69</v>
      </c>
      <c r="P228">
        <v>38</v>
      </c>
      <c r="Q228" s="3">
        <v>-0.12</v>
      </c>
      <c r="R228">
        <f>Inventory_Table[[#This Row],[Stock_Quantity]]*Inventory_Table[[#This Row],[Unit_Price]]</f>
        <v>375</v>
      </c>
      <c r="S228">
        <f>Inventory_Table[[#This Row],[Sales_Volume]]*Inventory_Table[[#This Row],[Unit_Price]]</f>
        <v>345</v>
      </c>
      <c r="T228" t="str">
        <f>IF(Inventory_Table[[#This Row],[Stock_Quantity]]&lt;=Inventory_Table[[#This Row],[Reorder_Level]],"REORDER","OK")</f>
        <v>REORDER</v>
      </c>
      <c r="U228" t="s">
        <v>3836</v>
      </c>
      <c r="V228" s="14">
        <f ca="1">TODAY()-Inventory_Table[[#This Row],[Last_Order_Date]]</f>
        <v>471</v>
      </c>
    </row>
    <row r="229" spans="1:22" x14ac:dyDescent="0.35">
      <c r="A229" t="s">
        <v>194</v>
      </c>
      <c r="B229" t="s">
        <v>114</v>
      </c>
      <c r="C229" t="s">
        <v>178</v>
      </c>
      <c r="D229" t="s">
        <v>1179</v>
      </c>
      <c r="E229" t="s">
        <v>30</v>
      </c>
      <c r="F229" t="s">
        <v>1180</v>
      </c>
      <c r="G229" t="s">
        <v>1181</v>
      </c>
      <c r="H229" s="1">
        <v>46272</v>
      </c>
      <c r="I229" s="6">
        <v>45604</v>
      </c>
      <c r="J229" s="6">
        <v>46215</v>
      </c>
      <c r="K229">
        <v>22</v>
      </c>
      <c r="L229">
        <v>60</v>
      </c>
      <c r="M229">
        <v>73</v>
      </c>
      <c r="N229" s="8">
        <v>4.2</v>
      </c>
      <c r="O229">
        <v>62</v>
      </c>
      <c r="P229">
        <v>3</v>
      </c>
      <c r="Q229" s="3">
        <v>0.45</v>
      </c>
      <c r="R229">
        <f>Inventory_Table[[#This Row],[Stock_Quantity]]*Inventory_Table[[#This Row],[Unit_Price]]</f>
        <v>92.4</v>
      </c>
      <c r="S229">
        <f>Inventory_Table[[#This Row],[Sales_Volume]]*Inventory_Table[[#This Row],[Unit_Price]]</f>
        <v>260.40000000000003</v>
      </c>
      <c r="T229" t="str">
        <f>IF(Inventory_Table[[#This Row],[Stock_Quantity]]&lt;=Inventory_Table[[#This Row],[Reorder_Level]],"REORDER","OK")</f>
        <v>REORDER</v>
      </c>
      <c r="U229" t="s">
        <v>3836</v>
      </c>
      <c r="V229" s="14">
        <f ca="1">TODAY()-Inventory_Table[[#This Row],[Last_Order_Date]]</f>
        <v>572</v>
      </c>
    </row>
    <row r="230" spans="1:22" x14ac:dyDescent="0.35">
      <c r="A230" t="s">
        <v>496</v>
      </c>
      <c r="B230" t="s">
        <v>18</v>
      </c>
      <c r="C230" t="s">
        <v>475</v>
      </c>
      <c r="D230" t="s">
        <v>1183</v>
      </c>
      <c r="E230" t="s">
        <v>30</v>
      </c>
      <c r="F230" t="s">
        <v>1184</v>
      </c>
      <c r="G230" t="s">
        <v>1185</v>
      </c>
      <c r="H230" s="1">
        <v>46272</v>
      </c>
      <c r="I230" s="6">
        <v>45376</v>
      </c>
      <c r="J230" s="6">
        <v>46295</v>
      </c>
      <c r="K230">
        <v>87</v>
      </c>
      <c r="L230">
        <v>62</v>
      </c>
      <c r="M230">
        <v>2</v>
      </c>
      <c r="N230" s="8">
        <v>5.5</v>
      </c>
      <c r="O230">
        <v>22</v>
      </c>
      <c r="P230">
        <v>38</v>
      </c>
      <c r="Q230" s="3">
        <v>0.95</v>
      </c>
      <c r="R230">
        <f>Inventory_Table[[#This Row],[Stock_Quantity]]*Inventory_Table[[#This Row],[Unit_Price]]</f>
        <v>478.5</v>
      </c>
      <c r="S230">
        <f>Inventory_Table[[#This Row],[Sales_Volume]]*Inventory_Table[[#This Row],[Unit_Price]]</f>
        <v>121</v>
      </c>
      <c r="T230" t="str">
        <f>IF(Inventory_Table[[#This Row],[Stock_Quantity]]&lt;=Inventory_Table[[#This Row],[Reorder_Level]],"REORDER","OK")</f>
        <v>OK</v>
      </c>
      <c r="U230" t="s">
        <v>3836</v>
      </c>
      <c r="V230" s="14">
        <f ca="1">TODAY()-Inventory_Table[[#This Row],[Last_Order_Date]]</f>
        <v>800</v>
      </c>
    </row>
    <row r="231" spans="1:22" x14ac:dyDescent="0.35">
      <c r="A231" t="s">
        <v>148</v>
      </c>
      <c r="B231" t="s">
        <v>18</v>
      </c>
      <c r="C231" t="s">
        <v>1187</v>
      </c>
      <c r="D231" t="s">
        <v>1188</v>
      </c>
      <c r="E231" t="s">
        <v>68</v>
      </c>
      <c r="F231" t="s">
        <v>1189</v>
      </c>
      <c r="G231" t="s">
        <v>1190</v>
      </c>
      <c r="H231" s="1">
        <v>46273</v>
      </c>
      <c r="I231" s="6">
        <v>45578</v>
      </c>
      <c r="J231" s="6">
        <v>46234</v>
      </c>
      <c r="K231">
        <v>74</v>
      </c>
      <c r="L231">
        <v>30</v>
      </c>
      <c r="M231">
        <v>24</v>
      </c>
      <c r="N231" s="8">
        <v>3</v>
      </c>
      <c r="O231">
        <v>82</v>
      </c>
      <c r="P231">
        <v>12</v>
      </c>
      <c r="Q231" s="3">
        <v>-0.73</v>
      </c>
      <c r="R231">
        <f>Inventory_Table[[#This Row],[Stock_Quantity]]*Inventory_Table[[#This Row],[Unit_Price]]</f>
        <v>222</v>
      </c>
      <c r="S231">
        <f>Inventory_Table[[#This Row],[Sales_Volume]]*Inventory_Table[[#This Row],[Unit_Price]]</f>
        <v>246</v>
      </c>
      <c r="T231" t="str">
        <f>IF(Inventory_Table[[#This Row],[Stock_Quantity]]&lt;=Inventory_Table[[#This Row],[Reorder_Level]],"REORDER","OK")</f>
        <v>OK</v>
      </c>
      <c r="U231" t="s">
        <v>3836</v>
      </c>
      <c r="V231" s="14">
        <f ca="1">TODAY()-Inventory_Table[[#This Row],[Last_Order_Date]]</f>
        <v>598</v>
      </c>
    </row>
    <row r="232" spans="1:22" x14ac:dyDescent="0.35">
      <c r="A232" t="s">
        <v>1191</v>
      </c>
      <c r="B232" t="s">
        <v>75</v>
      </c>
      <c r="C232" t="s">
        <v>928</v>
      </c>
      <c r="D232" t="s">
        <v>1192</v>
      </c>
      <c r="E232" t="s">
        <v>68</v>
      </c>
      <c r="F232" t="s">
        <v>1193</v>
      </c>
      <c r="G232" t="s">
        <v>1194</v>
      </c>
      <c r="H232" s="1">
        <v>46273</v>
      </c>
      <c r="I232" s="6">
        <v>45633</v>
      </c>
      <c r="J232" s="6">
        <v>46228</v>
      </c>
      <c r="K232">
        <v>47</v>
      </c>
      <c r="L232">
        <v>29</v>
      </c>
      <c r="M232">
        <v>70</v>
      </c>
      <c r="N232" s="8">
        <v>20</v>
      </c>
      <c r="O232">
        <v>61</v>
      </c>
      <c r="P232">
        <v>44</v>
      </c>
      <c r="Q232" s="3">
        <v>0.85</v>
      </c>
      <c r="R232">
        <f>Inventory_Table[[#This Row],[Stock_Quantity]]*Inventory_Table[[#This Row],[Unit_Price]]</f>
        <v>940</v>
      </c>
      <c r="S232">
        <f>Inventory_Table[[#This Row],[Sales_Volume]]*Inventory_Table[[#This Row],[Unit_Price]]</f>
        <v>1220</v>
      </c>
      <c r="T232" t="str">
        <f>IF(Inventory_Table[[#This Row],[Stock_Quantity]]&lt;=Inventory_Table[[#This Row],[Reorder_Level]],"REORDER","OK")</f>
        <v>OK</v>
      </c>
      <c r="U232" t="s">
        <v>3836</v>
      </c>
      <c r="V232" s="14">
        <f ca="1">TODAY()-Inventory_Table[[#This Row],[Last_Order_Date]]</f>
        <v>543</v>
      </c>
    </row>
    <row r="233" spans="1:22" x14ac:dyDescent="0.35">
      <c r="A233" t="s">
        <v>1196</v>
      </c>
      <c r="B233" t="s">
        <v>75</v>
      </c>
      <c r="C233" t="s">
        <v>862</v>
      </c>
      <c r="D233" t="s">
        <v>1197</v>
      </c>
      <c r="E233" t="s">
        <v>68</v>
      </c>
      <c r="F233" t="s">
        <v>1198</v>
      </c>
      <c r="G233" t="s">
        <v>1199</v>
      </c>
      <c r="H233" s="1">
        <v>46273</v>
      </c>
      <c r="I233" s="6">
        <v>45655</v>
      </c>
      <c r="J233" s="6">
        <v>46116</v>
      </c>
      <c r="K233">
        <v>98</v>
      </c>
      <c r="L233">
        <v>67</v>
      </c>
      <c r="M233">
        <v>49</v>
      </c>
      <c r="N233" s="8">
        <v>15</v>
      </c>
      <c r="O233">
        <v>21</v>
      </c>
      <c r="P233">
        <v>61</v>
      </c>
      <c r="Q233" s="3">
        <v>0.28000000000000003</v>
      </c>
      <c r="R233">
        <f>Inventory_Table[[#This Row],[Stock_Quantity]]*Inventory_Table[[#This Row],[Unit_Price]]</f>
        <v>1470</v>
      </c>
      <c r="S233">
        <f>Inventory_Table[[#This Row],[Sales_Volume]]*Inventory_Table[[#This Row],[Unit_Price]]</f>
        <v>315</v>
      </c>
      <c r="T233" t="str">
        <f>IF(Inventory_Table[[#This Row],[Stock_Quantity]]&lt;=Inventory_Table[[#This Row],[Reorder_Level]],"REORDER","OK")</f>
        <v>OK</v>
      </c>
      <c r="U233" t="s">
        <v>3838</v>
      </c>
      <c r="V233" s="14">
        <f ca="1">TODAY()-Inventory_Table[[#This Row],[Last_Order_Date]]</f>
        <v>521</v>
      </c>
    </row>
    <row r="234" spans="1:22" x14ac:dyDescent="0.35">
      <c r="A234" t="s">
        <v>1201</v>
      </c>
      <c r="B234" t="s">
        <v>18</v>
      </c>
      <c r="C234" t="s">
        <v>1202</v>
      </c>
      <c r="D234" t="s">
        <v>1203</v>
      </c>
      <c r="E234" t="s">
        <v>21</v>
      </c>
      <c r="F234" t="s">
        <v>1204</v>
      </c>
      <c r="G234" t="s">
        <v>1205</v>
      </c>
      <c r="H234" s="1">
        <v>46273</v>
      </c>
      <c r="I234" s="6">
        <v>45526</v>
      </c>
      <c r="J234" s="6">
        <v>46250</v>
      </c>
      <c r="K234">
        <v>35</v>
      </c>
      <c r="L234">
        <v>4</v>
      </c>
      <c r="M234">
        <v>76</v>
      </c>
      <c r="N234" s="8">
        <v>4</v>
      </c>
      <c r="O234">
        <v>90</v>
      </c>
      <c r="P234">
        <v>30</v>
      </c>
      <c r="Q234" s="3">
        <v>-1.9</v>
      </c>
      <c r="R234">
        <f>Inventory_Table[[#This Row],[Stock_Quantity]]*Inventory_Table[[#This Row],[Unit_Price]]</f>
        <v>140</v>
      </c>
      <c r="S234">
        <f>Inventory_Table[[#This Row],[Sales_Volume]]*Inventory_Table[[#This Row],[Unit_Price]]</f>
        <v>360</v>
      </c>
      <c r="T234" t="str">
        <f>IF(Inventory_Table[[#This Row],[Stock_Quantity]]&lt;=Inventory_Table[[#This Row],[Reorder_Level]],"REORDER","OK")</f>
        <v>OK</v>
      </c>
      <c r="U234" t="s">
        <v>3836</v>
      </c>
      <c r="V234" s="14">
        <f ca="1">TODAY()-Inventory_Table[[#This Row],[Last_Order_Date]]</f>
        <v>650</v>
      </c>
    </row>
    <row r="235" spans="1:22" x14ac:dyDescent="0.35">
      <c r="A235" t="s">
        <v>496</v>
      </c>
      <c r="B235" t="s">
        <v>18</v>
      </c>
      <c r="C235" t="s">
        <v>1206</v>
      </c>
      <c r="D235" t="s">
        <v>1207</v>
      </c>
      <c r="E235" t="s">
        <v>68</v>
      </c>
      <c r="F235" t="s">
        <v>1208</v>
      </c>
      <c r="G235" t="s">
        <v>1209</v>
      </c>
      <c r="H235" s="1">
        <v>46273</v>
      </c>
      <c r="I235" s="6">
        <v>45696</v>
      </c>
      <c r="J235" s="6">
        <v>46384</v>
      </c>
      <c r="K235">
        <v>30</v>
      </c>
      <c r="L235">
        <v>66</v>
      </c>
      <c r="M235">
        <v>28</v>
      </c>
      <c r="N235" s="8">
        <v>5.5</v>
      </c>
      <c r="O235">
        <v>63</v>
      </c>
      <c r="P235">
        <v>98</v>
      </c>
      <c r="Q235" s="3">
        <v>0.67</v>
      </c>
      <c r="R235">
        <f>Inventory_Table[[#This Row],[Stock_Quantity]]*Inventory_Table[[#This Row],[Unit_Price]]</f>
        <v>165</v>
      </c>
      <c r="S235">
        <f>Inventory_Table[[#This Row],[Sales_Volume]]*Inventory_Table[[#This Row],[Unit_Price]]</f>
        <v>346.5</v>
      </c>
      <c r="T235" t="str">
        <f>IF(Inventory_Table[[#This Row],[Stock_Quantity]]&lt;=Inventory_Table[[#This Row],[Reorder_Level]],"REORDER","OK")</f>
        <v>REORDER</v>
      </c>
      <c r="U235" t="s">
        <v>3836</v>
      </c>
      <c r="V235" s="14">
        <f ca="1">TODAY()-Inventory_Table[[#This Row],[Last_Order_Date]]</f>
        <v>480</v>
      </c>
    </row>
    <row r="236" spans="1:22" x14ac:dyDescent="0.35">
      <c r="A236" t="s">
        <v>435</v>
      </c>
      <c r="B236" t="s">
        <v>18</v>
      </c>
      <c r="C236" t="s">
        <v>1129</v>
      </c>
      <c r="D236" t="s">
        <v>1210</v>
      </c>
      <c r="E236" t="s">
        <v>21</v>
      </c>
      <c r="F236" t="s">
        <v>1211</v>
      </c>
      <c r="G236" t="s">
        <v>1212</v>
      </c>
      <c r="H236" s="1">
        <v>46274</v>
      </c>
      <c r="I236" s="6">
        <v>45702</v>
      </c>
      <c r="J236" s="6">
        <v>46277</v>
      </c>
      <c r="K236">
        <v>19</v>
      </c>
      <c r="L236">
        <v>65</v>
      </c>
      <c r="M236">
        <v>48</v>
      </c>
      <c r="N236" s="8">
        <v>6</v>
      </c>
      <c r="O236">
        <v>59</v>
      </c>
      <c r="P236">
        <v>53</v>
      </c>
      <c r="Q236" s="3">
        <v>-0.56000000000000005</v>
      </c>
      <c r="R236">
        <f>Inventory_Table[[#This Row],[Stock_Quantity]]*Inventory_Table[[#This Row],[Unit_Price]]</f>
        <v>114</v>
      </c>
      <c r="S236">
        <f>Inventory_Table[[#This Row],[Sales_Volume]]*Inventory_Table[[#This Row],[Unit_Price]]</f>
        <v>354</v>
      </c>
      <c r="T236" t="str">
        <f>IF(Inventory_Table[[#This Row],[Stock_Quantity]]&lt;=Inventory_Table[[#This Row],[Reorder_Level]],"REORDER","OK")</f>
        <v>REORDER</v>
      </c>
      <c r="U236" t="s">
        <v>3836</v>
      </c>
      <c r="V236" s="14">
        <f ca="1">TODAY()-Inventory_Table[[#This Row],[Last_Order_Date]]</f>
        <v>474</v>
      </c>
    </row>
    <row r="237" spans="1:22" x14ac:dyDescent="0.35">
      <c r="A237" t="s">
        <v>222</v>
      </c>
      <c r="B237" t="s">
        <v>65</v>
      </c>
      <c r="C237" t="s">
        <v>1213</v>
      </c>
      <c r="D237" t="s">
        <v>1214</v>
      </c>
      <c r="E237" t="s">
        <v>30</v>
      </c>
      <c r="F237" t="s">
        <v>1215</v>
      </c>
      <c r="G237" t="s">
        <v>1216</v>
      </c>
      <c r="H237" s="1">
        <v>46275</v>
      </c>
      <c r="I237" s="6">
        <v>45637</v>
      </c>
      <c r="J237" s="6">
        <v>46378</v>
      </c>
      <c r="K237">
        <v>34</v>
      </c>
      <c r="L237">
        <v>46</v>
      </c>
      <c r="M237">
        <v>45</v>
      </c>
      <c r="N237" s="8">
        <v>1.5</v>
      </c>
      <c r="O237">
        <v>49</v>
      </c>
      <c r="P237">
        <v>25</v>
      </c>
      <c r="Q237" s="3">
        <v>0.1</v>
      </c>
      <c r="R237">
        <f>Inventory_Table[[#This Row],[Stock_Quantity]]*Inventory_Table[[#This Row],[Unit_Price]]</f>
        <v>51</v>
      </c>
      <c r="S237">
        <f>Inventory_Table[[#This Row],[Sales_Volume]]*Inventory_Table[[#This Row],[Unit_Price]]</f>
        <v>73.5</v>
      </c>
      <c r="T237" t="str">
        <f>IF(Inventory_Table[[#This Row],[Stock_Quantity]]&lt;=Inventory_Table[[#This Row],[Reorder_Level]],"REORDER","OK")</f>
        <v>REORDER</v>
      </c>
      <c r="U237" t="s">
        <v>3836</v>
      </c>
      <c r="V237" s="14">
        <f ca="1">TODAY()-Inventory_Table[[#This Row],[Last_Order_Date]]</f>
        <v>539</v>
      </c>
    </row>
    <row r="238" spans="1:22" x14ac:dyDescent="0.35">
      <c r="A238" t="s">
        <v>96</v>
      </c>
      <c r="B238" t="s">
        <v>36</v>
      </c>
      <c r="C238" t="s">
        <v>1217</v>
      </c>
      <c r="D238" t="s">
        <v>1218</v>
      </c>
      <c r="E238" t="s">
        <v>30</v>
      </c>
      <c r="F238" t="s">
        <v>1219</v>
      </c>
      <c r="G238" t="s">
        <v>1220</v>
      </c>
      <c r="H238" s="1">
        <v>46275</v>
      </c>
      <c r="I238" s="6">
        <v>45410</v>
      </c>
      <c r="J238" s="6">
        <v>46325</v>
      </c>
      <c r="K238">
        <v>40</v>
      </c>
      <c r="L238">
        <v>81</v>
      </c>
      <c r="M238">
        <v>40</v>
      </c>
      <c r="N238" s="8">
        <v>9</v>
      </c>
      <c r="O238">
        <v>40</v>
      </c>
      <c r="P238">
        <v>48</v>
      </c>
      <c r="Q238" s="3">
        <v>0.49</v>
      </c>
      <c r="R238">
        <f>Inventory_Table[[#This Row],[Stock_Quantity]]*Inventory_Table[[#This Row],[Unit_Price]]</f>
        <v>360</v>
      </c>
      <c r="S238">
        <f>Inventory_Table[[#This Row],[Sales_Volume]]*Inventory_Table[[#This Row],[Unit_Price]]</f>
        <v>360</v>
      </c>
      <c r="T238" t="str">
        <f>IF(Inventory_Table[[#This Row],[Stock_Quantity]]&lt;=Inventory_Table[[#This Row],[Reorder_Level]],"REORDER","OK")</f>
        <v>REORDER</v>
      </c>
      <c r="U238" t="s">
        <v>3836</v>
      </c>
      <c r="V238" s="14">
        <f ca="1">TODAY()-Inventory_Table[[#This Row],[Last_Order_Date]]</f>
        <v>766</v>
      </c>
    </row>
    <row r="239" spans="1:22" x14ac:dyDescent="0.35">
      <c r="A239" t="s">
        <v>695</v>
      </c>
      <c r="B239" t="s">
        <v>65</v>
      </c>
      <c r="C239" t="s">
        <v>1222</v>
      </c>
      <c r="D239" t="s">
        <v>1223</v>
      </c>
      <c r="E239" t="s">
        <v>68</v>
      </c>
      <c r="F239" t="s">
        <v>1224</v>
      </c>
      <c r="G239" t="s">
        <v>1225</v>
      </c>
      <c r="H239" s="1">
        <v>46275</v>
      </c>
      <c r="I239" s="6">
        <v>45505</v>
      </c>
      <c r="J239" s="6">
        <v>46145</v>
      </c>
      <c r="K239">
        <v>89</v>
      </c>
      <c r="L239">
        <v>54</v>
      </c>
      <c r="M239">
        <v>15</v>
      </c>
      <c r="N239" s="8">
        <v>2.5</v>
      </c>
      <c r="O239">
        <v>64</v>
      </c>
      <c r="P239">
        <v>63</v>
      </c>
      <c r="Q239" s="3">
        <v>-0.2</v>
      </c>
      <c r="R239">
        <f>Inventory_Table[[#This Row],[Stock_Quantity]]*Inventory_Table[[#This Row],[Unit_Price]]</f>
        <v>222.5</v>
      </c>
      <c r="S239">
        <f>Inventory_Table[[#This Row],[Sales_Volume]]*Inventory_Table[[#This Row],[Unit_Price]]</f>
        <v>160</v>
      </c>
      <c r="T239" t="str">
        <f>IF(Inventory_Table[[#This Row],[Stock_Quantity]]&lt;=Inventory_Table[[#This Row],[Reorder_Level]],"REORDER","OK")</f>
        <v>OK</v>
      </c>
      <c r="U239" t="s">
        <v>3838</v>
      </c>
      <c r="V239" s="14">
        <f ca="1">TODAY()-Inventory_Table[[#This Row],[Last_Order_Date]]</f>
        <v>671</v>
      </c>
    </row>
    <row r="240" spans="1:22" x14ac:dyDescent="0.35">
      <c r="A240" t="s">
        <v>861</v>
      </c>
      <c r="B240" t="s">
        <v>36</v>
      </c>
      <c r="C240" t="s">
        <v>1226</v>
      </c>
      <c r="D240" t="s">
        <v>1227</v>
      </c>
      <c r="E240" t="s">
        <v>21</v>
      </c>
      <c r="F240" t="s">
        <v>1228</v>
      </c>
      <c r="G240" t="s">
        <v>1229</v>
      </c>
      <c r="H240" s="1">
        <v>46275</v>
      </c>
      <c r="I240" s="6">
        <v>45523</v>
      </c>
      <c r="J240" s="6">
        <v>46421</v>
      </c>
      <c r="K240">
        <v>71</v>
      </c>
      <c r="L240">
        <v>93</v>
      </c>
      <c r="M240">
        <v>75</v>
      </c>
      <c r="N240" s="8">
        <v>7</v>
      </c>
      <c r="O240">
        <v>77</v>
      </c>
      <c r="P240">
        <v>58</v>
      </c>
      <c r="Q240" s="3">
        <v>0.02</v>
      </c>
      <c r="R240">
        <f>Inventory_Table[[#This Row],[Stock_Quantity]]*Inventory_Table[[#This Row],[Unit_Price]]</f>
        <v>497</v>
      </c>
      <c r="S240">
        <f>Inventory_Table[[#This Row],[Sales_Volume]]*Inventory_Table[[#This Row],[Unit_Price]]</f>
        <v>539</v>
      </c>
      <c r="T240" t="str">
        <f>IF(Inventory_Table[[#This Row],[Stock_Quantity]]&lt;=Inventory_Table[[#This Row],[Reorder_Level]],"REORDER","OK")</f>
        <v>REORDER</v>
      </c>
      <c r="U240" t="s">
        <v>3836</v>
      </c>
      <c r="V240" s="14">
        <f ca="1">TODAY()-Inventory_Table[[#This Row],[Last_Order_Date]]</f>
        <v>653</v>
      </c>
    </row>
    <row r="241" spans="1:22" x14ac:dyDescent="0.35">
      <c r="A241" t="s">
        <v>320</v>
      </c>
      <c r="B241" t="s">
        <v>36</v>
      </c>
      <c r="C241" t="s">
        <v>1230</v>
      </c>
      <c r="D241" t="s">
        <v>1231</v>
      </c>
      <c r="E241" t="s">
        <v>21</v>
      </c>
      <c r="F241" t="s">
        <v>1232</v>
      </c>
      <c r="G241" t="s">
        <v>1233</v>
      </c>
      <c r="H241" s="1">
        <v>46276</v>
      </c>
      <c r="I241" s="6">
        <v>45516</v>
      </c>
      <c r="J241" s="6">
        <v>46442</v>
      </c>
      <c r="K241">
        <v>91</v>
      </c>
      <c r="L241">
        <v>7</v>
      </c>
      <c r="M241">
        <v>64</v>
      </c>
      <c r="N241" s="8">
        <v>7</v>
      </c>
      <c r="O241">
        <v>32</v>
      </c>
      <c r="P241">
        <v>65</v>
      </c>
      <c r="Q241" s="3">
        <v>0.25</v>
      </c>
      <c r="R241">
        <f>Inventory_Table[[#This Row],[Stock_Quantity]]*Inventory_Table[[#This Row],[Unit_Price]]</f>
        <v>637</v>
      </c>
      <c r="S241">
        <f>Inventory_Table[[#This Row],[Sales_Volume]]*Inventory_Table[[#This Row],[Unit_Price]]</f>
        <v>224</v>
      </c>
      <c r="T241" t="str">
        <f>IF(Inventory_Table[[#This Row],[Stock_Quantity]]&lt;=Inventory_Table[[#This Row],[Reorder_Level]],"REORDER","OK")</f>
        <v>OK</v>
      </c>
      <c r="U241" t="s">
        <v>3836</v>
      </c>
      <c r="V241" s="14">
        <f ca="1">TODAY()-Inventory_Table[[#This Row],[Last_Order_Date]]</f>
        <v>660</v>
      </c>
    </row>
    <row r="242" spans="1:22" x14ac:dyDescent="0.35">
      <c r="A242" t="s">
        <v>1234</v>
      </c>
      <c r="B242" t="s">
        <v>27</v>
      </c>
      <c r="C242" t="s">
        <v>332</v>
      </c>
      <c r="D242" t="s">
        <v>1235</v>
      </c>
      <c r="E242" t="s">
        <v>30</v>
      </c>
      <c r="F242" t="s">
        <v>1236</v>
      </c>
      <c r="G242" t="s">
        <v>1237</v>
      </c>
      <c r="H242" s="1">
        <v>46277</v>
      </c>
      <c r="I242" s="6">
        <v>45394</v>
      </c>
      <c r="J242" s="6">
        <v>46274</v>
      </c>
      <c r="K242">
        <v>20</v>
      </c>
      <c r="L242">
        <v>55</v>
      </c>
      <c r="M242">
        <v>15</v>
      </c>
      <c r="N242" s="8">
        <v>2.5</v>
      </c>
      <c r="O242">
        <v>86</v>
      </c>
      <c r="P242">
        <v>61</v>
      </c>
      <c r="Q242" s="3">
        <v>-1.03</v>
      </c>
      <c r="R242">
        <f>Inventory_Table[[#This Row],[Stock_Quantity]]*Inventory_Table[[#This Row],[Unit_Price]]</f>
        <v>50</v>
      </c>
      <c r="S242">
        <f>Inventory_Table[[#This Row],[Sales_Volume]]*Inventory_Table[[#This Row],[Unit_Price]]</f>
        <v>215</v>
      </c>
      <c r="T242" t="str">
        <f>IF(Inventory_Table[[#This Row],[Stock_Quantity]]&lt;=Inventory_Table[[#This Row],[Reorder_Level]],"REORDER","OK")</f>
        <v>REORDER</v>
      </c>
      <c r="U242" t="s">
        <v>3836</v>
      </c>
      <c r="V242" s="14">
        <f ca="1">TODAY()-Inventory_Table[[#This Row],[Last_Order_Date]]</f>
        <v>782</v>
      </c>
    </row>
    <row r="243" spans="1:22" x14ac:dyDescent="0.35">
      <c r="A243" t="s">
        <v>17</v>
      </c>
      <c r="B243" t="s">
        <v>18</v>
      </c>
      <c r="C243" t="s">
        <v>1238</v>
      </c>
      <c r="D243" t="s">
        <v>1239</v>
      </c>
      <c r="E243" t="s">
        <v>68</v>
      </c>
      <c r="F243" t="s">
        <v>1240</v>
      </c>
      <c r="G243" t="s">
        <v>1241</v>
      </c>
      <c r="H243" s="1">
        <v>46298</v>
      </c>
      <c r="I243" s="6">
        <v>45428</v>
      </c>
      <c r="J243" s="6">
        <v>46215</v>
      </c>
      <c r="K243">
        <v>96</v>
      </c>
      <c r="L243">
        <v>33</v>
      </c>
      <c r="M243">
        <v>72</v>
      </c>
      <c r="N243" s="8">
        <v>4.45</v>
      </c>
      <c r="O243">
        <v>74</v>
      </c>
      <c r="P243">
        <v>100</v>
      </c>
      <c r="Q243" s="3">
        <v>0.28999999999999998</v>
      </c>
      <c r="R243">
        <f>Inventory_Table[[#This Row],[Stock_Quantity]]*Inventory_Table[[#This Row],[Unit_Price]]</f>
        <v>427.20000000000005</v>
      </c>
      <c r="S243">
        <f>Inventory_Table[[#This Row],[Sales_Volume]]*Inventory_Table[[#This Row],[Unit_Price]]</f>
        <v>329.3</v>
      </c>
      <c r="T243" t="str">
        <f>IF(Inventory_Table[[#This Row],[Stock_Quantity]]&lt;=Inventory_Table[[#This Row],[Reorder_Level]],"REORDER","OK")</f>
        <v>OK</v>
      </c>
      <c r="U243" t="s">
        <v>3836</v>
      </c>
      <c r="V243" s="14">
        <f ca="1">TODAY()-Inventory_Table[[#This Row],[Last_Order_Date]]</f>
        <v>748</v>
      </c>
    </row>
    <row r="244" spans="1:22" x14ac:dyDescent="0.35">
      <c r="A244" t="s">
        <v>480</v>
      </c>
      <c r="B244" t="s">
        <v>36</v>
      </c>
      <c r="C244" t="s">
        <v>677</v>
      </c>
      <c r="D244" t="s">
        <v>1243</v>
      </c>
      <c r="E244" t="s">
        <v>68</v>
      </c>
      <c r="F244" t="s">
        <v>1244</v>
      </c>
      <c r="G244" t="s">
        <v>1245</v>
      </c>
      <c r="H244" s="1">
        <v>46298</v>
      </c>
      <c r="I244" s="6">
        <v>45607</v>
      </c>
      <c r="J244" s="6">
        <v>46417</v>
      </c>
      <c r="K244">
        <v>14</v>
      </c>
      <c r="L244">
        <v>87</v>
      </c>
      <c r="M244">
        <v>8</v>
      </c>
      <c r="N244" s="8">
        <v>4</v>
      </c>
      <c r="O244">
        <v>90</v>
      </c>
      <c r="P244">
        <v>14</v>
      </c>
      <c r="Q244" s="3">
        <v>-0.35</v>
      </c>
      <c r="R244">
        <f>Inventory_Table[[#This Row],[Stock_Quantity]]*Inventory_Table[[#This Row],[Unit_Price]]</f>
        <v>56</v>
      </c>
      <c r="S244">
        <f>Inventory_Table[[#This Row],[Sales_Volume]]*Inventory_Table[[#This Row],[Unit_Price]]</f>
        <v>360</v>
      </c>
      <c r="T244" t="str">
        <f>IF(Inventory_Table[[#This Row],[Stock_Quantity]]&lt;=Inventory_Table[[#This Row],[Reorder_Level]],"REORDER","OK")</f>
        <v>REORDER</v>
      </c>
      <c r="U244" t="s">
        <v>3836</v>
      </c>
      <c r="V244" s="14">
        <f ca="1">TODAY()-Inventory_Table[[#This Row],[Last_Order_Date]]</f>
        <v>569</v>
      </c>
    </row>
    <row r="245" spans="1:22" x14ac:dyDescent="0.35">
      <c r="A245" t="s">
        <v>718</v>
      </c>
      <c r="B245" t="s">
        <v>65</v>
      </c>
      <c r="C245" t="s">
        <v>1247</v>
      </c>
      <c r="D245" t="s">
        <v>1248</v>
      </c>
      <c r="E245" t="s">
        <v>21</v>
      </c>
      <c r="F245" t="s">
        <v>1249</v>
      </c>
      <c r="G245" t="s">
        <v>1250</v>
      </c>
      <c r="H245" s="1">
        <v>46298</v>
      </c>
      <c r="I245" s="6">
        <v>45383</v>
      </c>
      <c r="J245" s="6">
        <v>46152</v>
      </c>
      <c r="K245">
        <v>42</v>
      </c>
      <c r="L245">
        <v>12</v>
      </c>
      <c r="M245">
        <v>28</v>
      </c>
      <c r="N245" s="8">
        <v>2</v>
      </c>
      <c r="O245">
        <v>80</v>
      </c>
      <c r="P245">
        <v>8</v>
      </c>
      <c r="Q245" s="3">
        <v>0.84</v>
      </c>
      <c r="R245">
        <f>Inventory_Table[[#This Row],[Stock_Quantity]]*Inventory_Table[[#This Row],[Unit_Price]]</f>
        <v>84</v>
      </c>
      <c r="S245">
        <f>Inventory_Table[[#This Row],[Sales_Volume]]*Inventory_Table[[#This Row],[Unit_Price]]</f>
        <v>160</v>
      </c>
      <c r="T245" t="str">
        <f>IF(Inventory_Table[[#This Row],[Stock_Quantity]]&lt;=Inventory_Table[[#This Row],[Reorder_Level]],"REORDER","OK")</f>
        <v>OK</v>
      </c>
      <c r="U245" t="s">
        <v>3838</v>
      </c>
      <c r="V245" s="14">
        <f ca="1">TODAY()-Inventory_Table[[#This Row],[Last_Order_Date]]</f>
        <v>793</v>
      </c>
    </row>
    <row r="246" spans="1:22" x14ac:dyDescent="0.35">
      <c r="A246" t="s">
        <v>975</v>
      </c>
      <c r="B246" t="s">
        <v>18</v>
      </c>
      <c r="C246" t="s">
        <v>1217</v>
      </c>
      <c r="D246" t="s">
        <v>1251</v>
      </c>
      <c r="E246" t="s">
        <v>68</v>
      </c>
      <c r="F246" t="s">
        <v>1252</v>
      </c>
      <c r="G246" t="s">
        <v>1253</v>
      </c>
      <c r="H246" s="1">
        <v>46298</v>
      </c>
      <c r="I246" s="6">
        <v>45482</v>
      </c>
      <c r="J246" s="6">
        <v>46251</v>
      </c>
      <c r="K246">
        <v>31</v>
      </c>
      <c r="L246">
        <v>61</v>
      </c>
      <c r="M246">
        <v>28</v>
      </c>
      <c r="N246" s="8">
        <v>2.1</v>
      </c>
      <c r="O246">
        <v>55</v>
      </c>
      <c r="P246">
        <v>70</v>
      </c>
      <c r="Q246" s="3">
        <v>0.9</v>
      </c>
      <c r="R246">
        <f>Inventory_Table[[#This Row],[Stock_Quantity]]*Inventory_Table[[#This Row],[Unit_Price]]</f>
        <v>65.100000000000009</v>
      </c>
      <c r="S246">
        <f>Inventory_Table[[#This Row],[Sales_Volume]]*Inventory_Table[[#This Row],[Unit_Price]]</f>
        <v>115.5</v>
      </c>
      <c r="T246" t="str">
        <f>IF(Inventory_Table[[#This Row],[Stock_Quantity]]&lt;=Inventory_Table[[#This Row],[Reorder_Level]],"REORDER","OK")</f>
        <v>REORDER</v>
      </c>
      <c r="U246" t="s">
        <v>3836</v>
      </c>
      <c r="V246" s="14">
        <f ca="1">TODAY()-Inventory_Table[[#This Row],[Last_Order_Date]]</f>
        <v>694</v>
      </c>
    </row>
    <row r="247" spans="1:22" x14ac:dyDescent="0.35">
      <c r="A247" t="s">
        <v>786</v>
      </c>
      <c r="B247" t="s">
        <v>65</v>
      </c>
      <c r="C247" t="s">
        <v>946</v>
      </c>
      <c r="D247" t="s">
        <v>1255</v>
      </c>
      <c r="E247" t="s">
        <v>68</v>
      </c>
      <c r="F247" t="s">
        <v>1256</v>
      </c>
      <c r="G247" t="s">
        <v>1257</v>
      </c>
      <c r="H247" s="1">
        <v>46298</v>
      </c>
      <c r="I247" s="6">
        <v>45484</v>
      </c>
      <c r="J247" s="6">
        <v>46165</v>
      </c>
      <c r="K247">
        <v>47</v>
      </c>
      <c r="L247">
        <v>30</v>
      </c>
      <c r="M247">
        <v>16</v>
      </c>
      <c r="N247" s="8">
        <v>2.5</v>
      </c>
      <c r="O247">
        <v>22</v>
      </c>
      <c r="P247">
        <v>81</v>
      </c>
      <c r="Q247" s="3">
        <v>-0.27</v>
      </c>
      <c r="R247">
        <f>Inventory_Table[[#This Row],[Stock_Quantity]]*Inventory_Table[[#This Row],[Unit_Price]]</f>
        <v>117.5</v>
      </c>
      <c r="S247">
        <f>Inventory_Table[[#This Row],[Sales_Volume]]*Inventory_Table[[#This Row],[Unit_Price]]</f>
        <v>55</v>
      </c>
      <c r="T247" t="str">
        <f>IF(Inventory_Table[[#This Row],[Stock_Quantity]]&lt;=Inventory_Table[[#This Row],[Reorder_Level]],"REORDER","OK")</f>
        <v>OK</v>
      </c>
      <c r="U247" t="s">
        <v>3838</v>
      </c>
      <c r="V247" s="14">
        <f ca="1">TODAY()-Inventory_Table[[#This Row],[Last_Order_Date]]</f>
        <v>692</v>
      </c>
    </row>
    <row r="248" spans="1:22" x14ac:dyDescent="0.35">
      <c r="A248" t="s">
        <v>880</v>
      </c>
      <c r="B248" t="s">
        <v>27</v>
      </c>
      <c r="C248" t="s">
        <v>290</v>
      </c>
      <c r="D248" t="s">
        <v>1258</v>
      </c>
      <c r="E248" t="s">
        <v>21</v>
      </c>
      <c r="F248" t="s">
        <v>1259</v>
      </c>
      <c r="G248" t="s">
        <v>1260</v>
      </c>
      <c r="H248" s="1">
        <v>46299</v>
      </c>
      <c r="I248" s="6">
        <v>45578</v>
      </c>
      <c r="J248" s="6">
        <v>46254</v>
      </c>
      <c r="K248">
        <v>79</v>
      </c>
      <c r="L248">
        <v>31</v>
      </c>
      <c r="M248">
        <v>66</v>
      </c>
      <c r="N248" s="8">
        <v>2.2999999999999998</v>
      </c>
      <c r="O248">
        <v>92</v>
      </c>
      <c r="P248">
        <v>13</v>
      </c>
      <c r="Q248" s="3">
        <v>-2.68</v>
      </c>
      <c r="R248">
        <f>Inventory_Table[[#This Row],[Stock_Quantity]]*Inventory_Table[[#This Row],[Unit_Price]]</f>
        <v>181.7</v>
      </c>
      <c r="S248">
        <f>Inventory_Table[[#This Row],[Sales_Volume]]*Inventory_Table[[#This Row],[Unit_Price]]</f>
        <v>211.6</v>
      </c>
      <c r="T248" t="str">
        <f>IF(Inventory_Table[[#This Row],[Stock_Quantity]]&lt;=Inventory_Table[[#This Row],[Reorder_Level]],"REORDER","OK")</f>
        <v>OK</v>
      </c>
      <c r="U248" t="s">
        <v>3836</v>
      </c>
      <c r="V248" s="14">
        <f ca="1">TODAY()-Inventory_Table[[#This Row],[Last_Order_Date]]</f>
        <v>598</v>
      </c>
    </row>
    <row r="249" spans="1:22" x14ac:dyDescent="0.35">
      <c r="A249" t="s">
        <v>1191</v>
      </c>
      <c r="B249" t="s">
        <v>75</v>
      </c>
      <c r="C249" t="s">
        <v>1261</v>
      </c>
      <c r="D249" t="s">
        <v>1262</v>
      </c>
      <c r="E249" t="s">
        <v>30</v>
      </c>
      <c r="F249" t="s">
        <v>1263</v>
      </c>
      <c r="G249" t="s">
        <v>1264</v>
      </c>
      <c r="H249" s="1">
        <v>46299</v>
      </c>
      <c r="I249" s="6">
        <v>45575</v>
      </c>
      <c r="J249" s="6">
        <v>46278</v>
      </c>
      <c r="K249">
        <v>18</v>
      </c>
      <c r="L249">
        <v>46</v>
      </c>
      <c r="M249">
        <v>26</v>
      </c>
      <c r="N249" s="8">
        <v>20</v>
      </c>
      <c r="O249">
        <v>57</v>
      </c>
      <c r="P249">
        <v>95</v>
      </c>
      <c r="Q249" s="3">
        <v>0.86</v>
      </c>
      <c r="R249">
        <f>Inventory_Table[[#This Row],[Stock_Quantity]]*Inventory_Table[[#This Row],[Unit_Price]]</f>
        <v>360</v>
      </c>
      <c r="S249">
        <f>Inventory_Table[[#This Row],[Sales_Volume]]*Inventory_Table[[#This Row],[Unit_Price]]</f>
        <v>1140</v>
      </c>
      <c r="T249" t="str">
        <f>IF(Inventory_Table[[#This Row],[Stock_Quantity]]&lt;=Inventory_Table[[#This Row],[Reorder_Level]],"REORDER","OK")</f>
        <v>REORDER</v>
      </c>
      <c r="U249" t="s">
        <v>3836</v>
      </c>
      <c r="V249" s="14">
        <f ca="1">TODAY()-Inventory_Table[[#This Row],[Last_Order_Date]]</f>
        <v>601</v>
      </c>
    </row>
    <row r="250" spans="1:22" x14ac:dyDescent="0.35">
      <c r="A250" t="s">
        <v>1191</v>
      </c>
      <c r="B250" t="s">
        <v>75</v>
      </c>
      <c r="C250" t="s">
        <v>460</v>
      </c>
      <c r="D250" t="s">
        <v>1265</v>
      </c>
      <c r="E250" t="s">
        <v>68</v>
      </c>
      <c r="F250" t="s">
        <v>1266</v>
      </c>
      <c r="G250" t="s">
        <v>1267</v>
      </c>
      <c r="H250" s="1">
        <v>46299</v>
      </c>
      <c r="I250" s="6">
        <v>45429</v>
      </c>
      <c r="J250" s="6">
        <v>46395</v>
      </c>
      <c r="K250">
        <v>82</v>
      </c>
      <c r="L250">
        <v>31</v>
      </c>
      <c r="M250">
        <v>86</v>
      </c>
      <c r="N250" s="8">
        <v>20</v>
      </c>
      <c r="O250">
        <v>66</v>
      </c>
      <c r="P250">
        <v>74</v>
      </c>
      <c r="Q250" s="3">
        <v>-0.67</v>
      </c>
      <c r="R250">
        <f>Inventory_Table[[#This Row],[Stock_Quantity]]*Inventory_Table[[#This Row],[Unit_Price]]</f>
        <v>1640</v>
      </c>
      <c r="S250">
        <f>Inventory_Table[[#This Row],[Sales_Volume]]*Inventory_Table[[#This Row],[Unit_Price]]</f>
        <v>1320</v>
      </c>
      <c r="T250" t="str">
        <f>IF(Inventory_Table[[#This Row],[Stock_Quantity]]&lt;=Inventory_Table[[#This Row],[Reorder_Level]],"REORDER","OK")</f>
        <v>OK</v>
      </c>
      <c r="U250" t="s">
        <v>3836</v>
      </c>
      <c r="V250" s="14">
        <f ca="1">TODAY()-Inventory_Table[[#This Row],[Last_Order_Date]]</f>
        <v>747</v>
      </c>
    </row>
    <row r="251" spans="1:22" x14ac:dyDescent="0.35">
      <c r="A251" t="s">
        <v>96</v>
      </c>
      <c r="B251" t="s">
        <v>36</v>
      </c>
      <c r="C251" t="s">
        <v>1230</v>
      </c>
      <c r="D251" t="s">
        <v>1268</v>
      </c>
      <c r="E251" t="s">
        <v>68</v>
      </c>
      <c r="F251" t="s">
        <v>1269</v>
      </c>
      <c r="G251" t="s">
        <v>1270</v>
      </c>
      <c r="H251" s="1">
        <v>46299</v>
      </c>
      <c r="I251" s="6">
        <v>45589</v>
      </c>
      <c r="J251" s="6">
        <v>46427</v>
      </c>
      <c r="K251">
        <v>36</v>
      </c>
      <c r="L251">
        <v>77</v>
      </c>
      <c r="M251">
        <v>49</v>
      </c>
      <c r="N251" s="8">
        <v>9</v>
      </c>
      <c r="O251">
        <v>30</v>
      </c>
      <c r="P251">
        <v>84</v>
      </c>
      <c r="Q251" s="3">
        <v>-0.12</v>
      </c>
      <c r="R251">
        <f>Inventory_Table[[#This Row],[Stock_Quantity]]*Inventory_Table[[#This Row],[Unit_Price]]</f>
        <v>324</v>
      </c>
      <c r="S251">
        <f>Inventory_Table[[#This Row],[Sales_Volume]]*Inventory_Table[[#This Row],[Unit_Price]]</f>
        <v>270</v>
      </c>
      <c r="T251" t="str">
        <f>IF(Inventory_Table[[#This Row],[Stock_Quantity]]&lt;=Inventory_Table[[#This Row],[Reorder_Level]],"REORDER","OK")</f>
        <v>REORDER</v>
      </c>
      <c r="U251" t="s">
        <v>3836</v>
      </c>
      <c r="V251" s="14">
        <f ca="1">TODAY()-Inventory_Table[[#This Row],[Last_Order_Date]]</f>
        <v>587</v>
      </c>
    </row>
    <row r="252" spans="1:22" x14ac:dyDescent="0.35">
      <c r="A252" t="s">
        <v>101</v>
      </c>
      <c r="B252" t="s">
        <v>27</v>
      </c>
      <c r="C252" t="s">
        <v>1271</v>
      </c>
      <c r="D252" t="s">
        <v>1272</v>
      </c>
      <c r="E252" t="s">
        <v>21</v>
      </c>
      <c r="F252" t="s">
        <v>1273</v>
      </c>
      <c r="G252" t="s">
        <v>1274</v>
      </c>
      <c r="H252" s="1">
        <v>46299</v>
      </c>
      <c r="I252" s="6">
        <v>45580</v>
      </c>
      <c r="J252" s="6">
        <v>46109</v>
      </c>
      <c r="K252">
        <v>24</v>
      </c>
      <c r="L252">
        <v>89</v>
      </c>
      <c r="M252">
        <v>27</v>
      </c>
      <c r="N252" s="8">
        <v>10</v>
      </c>
      <c r="O252">
        <v>99</v>
      </c>
      <c r="P252">
        <v>1</v>
      </c>
      <c r="Q252" s="3">
        <v>-1.8</v>
      </c>
      <c r="R252">
        <f>Inventory_Table[[#This Row],[Stock_Quantity]]*Inventory_Table[[#This Row],[Unit_Price]]</f>
        <v>240</v>
      </c>
      <c r="S252">
        <f>Inventory_Table[[#This Row],[Sales_Volume]]*Inventory_Table[[#This Row],[Unit_Price]]</f>
        <v>990</v>
      </c>
      <c r="T252" t="str">
        <f>IF(Inventory_Table[[#This Row],[Stock_Quantity]]&lt;=Inventory_Table[[#This Row],[Reorder_Level]],"REORDER","OK")</f>
        <v>REORDER</v>
      </c>
      <c r="U252" t="s">
        <v>3838</v>
      </c>
      <c r="V252" s="14">
        <f ca="1">TODAY()-Inventory_Table[[#This Row],[Last_Order_Date]]</f>
        <v>596</v>
      </c>
    </row>
    <row r="253" spans="1:22" x14ac:dyDescent="0.35">
      <c r="A253" t="s">
        <v>74</v>
      </c>
      <c r="B253" t="s">
        <v>75</v>
      </c>
      <c r="C253" t="s">
        <v>1275</v>
      </c>
      <c r="D253" t="s">
        <v>1276</v>
      </c>
      <c r="E253" t="s">
        <v>21</v>
      </c>
      <c r="F253" t="s">
        <v>1277</v>
      </c>
      <c r="G253" t="s">
        <v>1278</v>
      </c>
      <c r="H253" s="1">
        <v>46300</v>
      </c>
      <c r="I253" s="6">
        <v>45361</v>
      </c>
      <c r="J253" s="6">
        <v>46279</v>
      </c>
      <c r="K253">
        <v>88</v>
      </c>
      <c r="L253">
        <v>56</v>
      </c>
      <c r="M253">
        <v>81</v>
      </c>
      <c r="N253" s="8">
        <v>10</v>
      </c>
      <c r="O253">
        <v>98</v>
      </c>
      <c r="P253">
        <v>86</v>
      </c>
      <c r="Q253" s="3">
        <v>0.99</v>
      </c>
      <c r="R253">
        <f>Inventory_Table[[#This Row],[Stock_Quantity]]*Inventory_Table[[#This Row],[Unit_Price]]</f>
        <v>880</v>
      </c>
      <c r="S253">
        <f>Inventory_Table[[#This Row],[Sales_Volume]]*Inventory_Table[[#This Row],[Unit_Price]]</f>
        <v>980</v>
      </c>
      <c r="T253" t="str">
        <f>IF(Inventory_Table[[#This Row],[Stock_Quantity]]&lt;=Inventory_Table[[#This Row],[Reorder_Level]],"REORDER","OK")</f>
        <v>OK</v>
      </c>
      <c r="U253" t="s">
        <v>3836</v>
      </c>
      <c r="V253" s="14">
        <f ca="1">TODAY()-Inventory_Table[[#This Row],[Last_Order_Date]]</f>
        <v>815</v>
      </c>
    </row>
    <row r="254" spans="1:22" x14ac:dyDescent="0.35">
      <c r="A254" t="s">
        <v>769</v>
      </c>
      <c r="B254" t="s">
        <v>36</v>
      </c>
      <c r="C254" t="s">
        <v>1279</v>
      </c>
      <c r="D254" t="s">
        <v>1280</v>
      </c>
      <c r="E254" t="s">
        <v>21</v>
      </c>
      <c r="F254" t="s">
        <v>1281</v>
      </c>
      <c r="G254" t="s">
        <v>1282</v>
      </c>
      <c r="H254" s="1">
        <v>46300</v>
      </c>
      <c r="I254" s="6">
        <v>45514</v>
      </c>
      <c r="J254" s="6">
        <v>46085</v>
      </c>
      <c r="K254">
        <v>23</v>
      </c>
      <c r="L254">
        <v>100</v>
      </c>
      <c r="M254">
        <v>77</v>
      </c>
      <c r="N254" s="8">
        <v>2</v>
      </c>
      <c r="O254">
        <v>63</v>
      </c>
      <c r="P254">
        <v>26</v>
      </c>
      <c r="Q254" s="3">
        <v>0.12</v>
      </c>
      <c r="R254">
        <f>Inventory_Table[[#This Row],[Stock_Quantity]]*Inventory_Table[[#This Row],[Unit_Price]]</f>
        <v>46</v>
      </c>
      <c r="S254">
        <f>Inventory_Table[[#This Row],[Sales_Volume]]*Inventory_Table[[#This Row],[Unit_Price]]</f>
        <v>126</v>
      </c>
      <c r="T254" t="str">
        <f>IF(Inventory_Table[[#This Row],[Stock_Quantity]]&lt;=Inventory_Table[[#This Row],[Reorder_Level]],"REORDER","OK")</f>
        <v>REORDER</v>
      </c>
      <c r="U254" t="s">
        <v>3838</v>
      </c>
      <c r="V254" s="14">
        <f ca="1">TODAY()-Inventory_Table[[#This Row],[Last_Order_Date]]</f>
        <v>662</v>
      </c>
    </row>
    <row r="255" spans="1:22" x14ac:dyDescent="0.35">
      <c r="A255" t="s">
        <v>177</v>
      </c>
      <c r="B255" t="s">
        <v>18</v>
      </c>
      <c r="C255" t="s">
        <v>90</v>
      </c>
      <c r="D255" t="s">
        <v>1283</v>
      </c>
      <c r="E255" t="s">
        <v>21</v>
      </c>
      <c r="F255" t="s">
        <v>1284</v>
      </c>
      <c r="G255" t="s">
        <v>1285</v>
      </c>
      <c r="H255" s="1">
        <v>46301</v>
      </c>
      <c r="I255" s="6">
        <v>45638</v>
      </c>
      <c r="J255" s="6">
        <v>46228</v>
      </c>
      <c r="K255">
        <v>61</v>
      </c>
      <c r="L255">
        <v>14</v>
      </c>
      <c r="M255">
        <v>49</v>
      </c>
      <c r="N255" s="8">
        <v>5.2</v>
      </c>
      <c r="O255">
        <v>74</v>
      </c>
      <c r="P255">
        <v>35</v>
      </c>
      <c r="Q255" s="3">
        <v>0.59</v>
      </c>
      <c r="R255">
        <f>Inventory_Table[[#This Row],[Stock_Quantity]]*Inventory_Table[[#This Row],[Unit_Price]]</f>
        <v>317.2</v>
      </c>
      <c r="S255">
        <f>Inventory_Table[[#This Row],[Sales_Volume]]*Inventory_Table[[#This Row],[Unit_Price]]</f>
        <v>384.8</v>
      </c>
      <c r="T255" t="str">
        <f>IF(Inventory_Table[[#This Row],[Stock_Quantity]]&lt;=Inventory_Table[[#This Row],[Reorder_Level]],"REORDER","OK")</f>
        <v>OK</v>
      </c>
      <c r="U255" t="s">
        <v>3836</v>
      </c>
      <c r="V255" s="14">
        <f ca="1">TODAY()-Inventory_Table[[#This Row],[Last_Order_Date]]</f>
        <v>538</v>
      </c>
    </row>
    <row r="256" spans="1:22" x14ac:dyDescent="0.35">
      <c r="A256" t="s">
        <v>17</v>
      </c>
      <c r="B256" t="s">
        <v>18</v>
      </c>
      <c r="C256" t="s">
        <v>1287</v>
      </c>
      <c r="D256" t="s">
        <v>1288</v>
      </c>
      <c r="E256" t="s">
        <v>21</v>
      </c>
      <c r="F256" t="s">
        <v>1289</v>
      </c>
      <c r="G256" t="s">
        <v>1290</v>
      </c>
      <c r="H256" s="1">
        <v>46301</v>
      </c>
      <c r="I256" s="6">
        <v>45663</v>
      </c>
      <c r="J256" s="6">
        <v>46284</v>
      </c>
      <c r="K256">
        <v>89</v>
      </c>
      <c r="L256">
        <v>96</v>
      </c>
      <c r="M256">
        <v>94</v>
      </c>
      <c r="N256" s="8">
        <v>4.5</v>
      </c>
      <c r="O256">
        <v>38</v>
      </c>
      <c r="P256">
        <v>96</v>
      </c>
      <c r="Q256" s="3">
        <v>0.53</v>
      </c>
      <c r="R256">
        <f>Inventory_Table[[#This Row],[Stock_Quantity]]*Inventory_Table[[#This Row],[Unit_Price]]</f>
        <v>400.5</v>
      </c>
      <c r="S256">
        <f>Inventory_Table[[#This Row],[Sales_Volume]]*Inventory_Table[[#This Row],[Unit_Price]]</f>
        <v>171</v>
      </c>
      <c r="T256" t="str">
        <f>IF(Inventory_Table[[#This Row],[Stock_Quantity]]&lt;=Inventory_Table[[#This Row],[Reorder_Level]],"REORDER","OK")</f>
        <v>REORDER</v>
      </c>
      <c r="U256" t="s">
        <v>3836</v>
      </c>
      <c r="V256" s="14">
        <f ca="1">TODAY()-Inventory_Table[[#This Row],[Last_Order_Date]]</f>
        <v>513</v>
      </c>
    </row>
    <row r="257" spans="1:22" x14ac:dyDescent="0.35">
      <c r="A257" t="s">
        <v>1292</v>
      </c>
      <c r="B257" t="s">
        <v>18</v>
      </c>
      <c r="C257" t="s">
        <v>178</v>
      </c>
      <c r="D257" t="s">
        <v>1293</v>
      </c>
      <c r="E257" t="s">
        <v>30</v>
      </c>
      <c r="F257" t="s">
        <v>1294</v>
      </c>
      <c r="G257" t="s">
        <v>1295</v>
      </c>
      <c r="H257" s="1">
        <v>46302</v>
      </c>
      <c r="I257" s="6">
        <v>45473</v>
      </c>
      <c r="J257" s="6">
        <v>46232</v>
      </c>
      <c r="K257">
        <v>58</v>
      </c>
      <c r="L257">
        <v>15</v>
      </c>
      <c r="M257">
        <v>87</v>
      </c>
      <c r="N257" s="8">
        <v>5.9</v>
      </c>
      <c r="O257">
        <v>52</v>
      </c>
      <c r="P257">
        <v>81</v>
      </c>
      <c r="Q257" s="3">
        <v>-1.53</v>
      </c>
      <c r="R257">
        <f>Inventory_Table[[#This Row],[Stock_Quantity]]*Inventory_Table[[#This Row],[Unit_Price]]</f>
        <v>342.20000000000005</v>
      </c>
      <c r="S257">
        <f>Inventory_Table[[#This Row],[Sales_Volume]]*Inventory_Table[[#This Row],[Unit_Price]]</f>
        <v>306.8</v>
      </c>
      <c r="T257" t="str">
        <f>IF(Inventory_Table[[#This Row],[Stock_Quantity]]&lt;=Inventory_Table[[#This Row],[Reorder_Level]],"REORDER","OK")</f>
        <v>OK</v>
      </c>
      <c r="U257" t="s">
        <v>3836</v>
      </c>
      <c r="V257" s="14">
        <f ca="1">TODAY()-Inventory_Table[[#This Row],[Last_Order_Date]]</f>
        <v>703</v>
      </c>
    </row>
    <row r="258" spans="1:22" x14ac:dyDescent="0.35">
      <c r="A258" t="s">
        <v>496</v>
      </c>
      <c r="B258" t="s">
        <v>18</v>
      </c>
      <c r="C258" t="s">
        <v>1298</v>
      </c>
      <c r="D258" t="s">
        <v>1299</v>
      </c>
      <c r="E258" t="s">
        <v>68</v>
      </c>
      <c r="F258" t="s">
        <v>1300</v>
      </c>
      <c r="G258" t="s">
        <v>1301</v>
      </c>
      <c r="H258" s="1">
        <v>46302</v>
      </c>
      <c r="I258" s="6">
        <v>45467</v>
      </c>
      <c r="J258" s="6">
        <v>46305</v>
      </c>
      <c r="K258">
        <v>38</v>
      </c>
      <c r="L258">
        <v>72</v>
      </c>
      <c r="M258">
        <v>39</v>
      </c>
      <c r="N258" s="8">
        <v>5.5</v>
      </c>
      <c r="O258">
        <v>59</v>
      </c>
      <c r="P258">
        <v>8</v>
      </c>
      <c r="Q258" s="3">
        <v>-0.56000000000000005</v>
      </c>
      <c r="R258">
        <f>Inventory_Table[[#This Row],[Stock_Quantity]]*Inventory_Table[[#This Row],[Unit_Price]]</f>
        <v>209</v>
      </c>
      <c r="S258">
        <f>Inventory_Table[[#This Row],[Sales_Volume]]*Inventory_Table[[#This Row],[Unit_Price]]</f>
        <v>324.5</v>
      </c>
      <c r="T258" t="str">
        <f>IF(Inventory_Table[[#This Row],[Stock_Quantity]]&lt;=Inventory_Table[[#This Row],[Reorder_Level]],"REORDER","OK")</f>
        <v>REORDER</v>
      </c>
      <c r="U258" t="s">
        <v>3836</v>
      </c>
      <c r="V258" s="14">
        <f ca="1">TODAY()-Inventory_Table[[#This Row],[Last_Order_Date]]</f>
        <v>709</v>
      </c>
    </row>
    <row r="259" spans="1:22" x14ac:dyDescent="0.35">
      <c r="A259" t="s">
        <v>872</v>
      </c>
      <c r="B259" t="s">
        <v>18</v>
      </c>
      <c r="C259" t="s">
        <v>1302</v>
      </c>
      <c r="D259" t="s">
        <v>1303</v>
      </c>
      <c r="E259" t="s">
        <v>30</v>
      </c>
      <c r="F259" t="s">
        <v>1304</v>
      </c>
      <c r="G259" t="s">
        <v>1305</v>
      </c>
      <c r="H259" s="1">
        <v>46303</v>
      </c>
      <c r="I259" s="6">
        <v>45500</v>
      </c>
      <c r="J259" s="6">
        <v>46151</v>
      </c>
      <c r="K259">
        <v>45</v>
      </c>
      <c r="L259">
        <v>70</v>
      </c>
      <c r="M259">
        <v>98</v>
      </c>
      <c r="N259" s="8">
        <v>2.4500000000000002</v>
      </c>
      <c r="O259">
        <v>25</v>
      </c>
      <c r="P259">
        <v>39</v>
      </c>
      <c r="Q259" s="3">
        <v>0.86</v>
      </c>
      <c r="R259">
        <f>Inventory_Table[[#This Row],[Stock_Quantity]]*Inventory_Table[[#This Row],[Unit_Price]]</f>
        <v>110.25000000000001</v>
      </c>
      <c r="S259">
        <f>Inventory_Table[[#This Row],[Sales_Volume]]*Inventory_Table[[#This Row],[Unit_Price]]</f>
        <v>61.250000000000007</v>
      </c>
      <c r="T259" t="str">
        <f>IF(Inventory_Table[[#This Row],[Stock_Quantity]]&lt;=Inventory_Table[[#This Row],[Reorder_Level]],"REORDER","OK")</f>
        <v>REORDER</v>
      </c>
      <c r="U259" t="s">
        <v>3838</v>
      </c>
      <c r="V259" s="14">
        <f ca="1">TODAY()-Inventory_Table[[#This Row],[Last_Order_Date]]</f>
        <v>676</v>
      </c>
    </row>
    <row r="260" spans="1:22" x14ac:dyDescent="0.35">
      <c r="A260" t="s">
        <v>1307</v>
      </c>
      <c r="B260" t="s">
        <v>163</v>
      </c>
      <c r="C260" t="s">
        <v>963</v>
      </c>
      <c r="D260" t="s">
        <v>1308</v>
      </c>
      <c r="E260" t="s">
        <v>68</v>
      </c>
      <c r="F260" t="s">
        <v>1309</v>
      </c>
      <c r="G260" t="s">
        <v>1310</v>
      </c>
      <c r="H260" s="1">
        <v>46303</v>
      </c>
      <c r="I260" s="6">
        <v>45620</v>
      </c>
      <c r="J260" s="6">
        <v>46100</v>
      </c>
      <c r="K260">
        <v>26</v>
      </c>
      <c r="L260">
        <v>59</v>
      </c>
      <c r="M260">
        <v>54</v>
      </c>
      <c r="N260" s="8">
        <v>8</v>
      </c>
      <c r="O260">
        <v>92</v>
      </c>
      <c r="P260">
        <v>49</v>
      </c>
      <c r="Q260" s="3">
        <v>-0.56000000000000005</v>
      </c>
      <c r="R260">
        <f>Inventory_Table[[#This Row],[Stock_Quantity]]*Inventory_Table[[#This Row],[Unit_Price]]</f>
        <v>208</v>
      </c>
      <c r="S260">
        <f>Inventory_Table[[#This Row],[Sales_Volume]]*Inventory_Table[[#This Row],[Unit_Price]]</f>
        <v>736</v>
      </c>
      <c r="T260" t="str">
        <f>IF(Inventory_Table[[#This Row],[Stock_Quantity]]&lt;=Inventory_Table[[#This Row],[Reorder_Level]],"REORDER","OK")</f>
        <v>REORDER</v>
      </c>
      <c r="U260" t="s">
        <v>3838</v>
      </c>
      <c r="V260" s="14">
        <f ca="1">TODAY()-Inventory_Table[[#This Row],[Last_Order_Date]]</f>
        <v>556</v>
      </c>
    </row>
    <row r="261" spans="1:22" x14ac:dyDescent="0.35">
      <c r="A261" t="s">
        <v>1311</v>
      </c>
      <c r="B261" t="s">
        <v>36</v>
      </c>
      <c r="C261" t="s">
        <v>1047</v>
      </c>
      <c r="D261" t="s">
        <v>1312</v>
      </c>
      <c r="E261" t="s">
        <v>21</v>
      </c>
      <c r="F261" t="s">
        <v>1313</v>
      </c>
      <c r="G261" t="s">
        <v>1314</v>
      </c>
      <c r="H261" s="1">
        <v>46304</v>
      </c>
      <c r="I261" s="6">
        <v>45431</v>
      </c>
      <c r="J261" s="6">
        <v>46204</v>
      </c>
      <c r="K261">
        <v>49</v>
      </c>
      <c r="L261">
        <v>49</v>
      </c>
      <c r="M261">
        <v>26</v>
      </c>
      <c r="N261" s="8">
        <v>8</v>
      </c>
      <c r="O261">
        <v>78</v>
      </c>
      <c r="P261">
        <v>61</v>
      </c>
      <c r="Q261" s="3">
        <v>0.47</v>
      </c>
      <c r="R261">
        <f>Inventory_Table[[#This Row],[Stock_Quantity]]*Inventory_Table[[#This Row],[Unit_Price]]</f>
        <v>392</v>
      </c>
      <c r="S261">
        <f>Inventory_Table[[#This Row],[Sales_Volume]]*Inventory_Table[[#This Row],[Unit_Price]]</f>
        <v>624</v>
      </c>
      <c r="T261" t="str">
        <f>IF(Inventory_Table[[#This Row],[Stock_Quantity]]&lt;=Inventory_Table[[#This Row],[Reorder_Level]],"REORDER","OK")</f>
        <v>REORDER</v>
      </c>
      <c r="U261" t="s">
        <v>3836</v>
      </c>
      <c r="V261" s="14">
        <f ca="1">TODAY()-Inventory_Table[[#This Row],[Last_Order_Date]]</f>
        <v>745</v>
      </c>
    </row>
    <row r="262" spans="1:22" x14ac:dyDescent="0.35">
      <c r="A262" t="s">
        <v>975</v>
      </c>
      <c r="B262" t="s">
        <v>18</v>
      </c>
      <c r="C262" t="s">
        <v>937</v>
      </c>
      <c r="D262" t="s">
        <v>1315</v>
      </c>
      <c r="E262" t="s">
        <v>68</v>
      </c>
      <c r="F262" t="s">
        <v>1316</v>
      </c>
      <c r="G262" t="s">
        <v>1317</v>
      </c>
      <c r="H262" s="1">
        <v>46304</v>
      </c>
      <c r="I262" s="6">
        <v>45706</v>
      </c>
      <c r="J262" s="6">
        <v>46324</v>
      </c>
      <c r="K262">
        <v>31</v>
      </c>
      <c r="L262">
        <v>55</v>
      </c>
      <c r="M262">
        <v>5</v>
      </c>
      <c r="N262" s="8">
        <v>2</v>
      </c>
      <c r="O262">
        <v>71</v>
      </c>
      <c r="P262">
        <v>46</v>
      </c>
      <c r="Q262" s="3">
        <v>0.22</v>
      </c>
      <c r="R262">
        <f>Inventory_Table[[#This Row],[Stock_Quantity]]*Inventory_Table[[#This Row],[Unit_Price]]</f>
        <v>62</v>
      </c>
      <c r="S262">
        <f>Inventory_Table[[#This Row],[Sales_Volume]]*Inventory_Table[[#This Row],[Unit_Price]]</f>
        <v>142</v>
      </c>
      <c r="T262" t="str">
        <f>IF(Inventory_Table[[#This Row],[Stock_Quantity]]&lt;=Inventory_Table[[#This Row],[Reorder_Level]],"REORDER","OK")</f>
        <v>REORDER</v>
      </c>
      <c r="U262" t="s">
        <v>3836</v>
      </c>
      <c r="V262" s="14">
        <f ca="1">TODAY()-Inventory_Table[[#This Row],[Last_Order_Date]]</f>
        <v>470</v>
      </c>
    </row>
    <row r="263" spans="1:22" x14ac:dyDescent="0.35">
      <c r="A263" t="s">
        <v>1320</v>
      </c>
      <c r="B263" t="s">
        <v>18</v>
      </c>
      <c r="C263" t="s">
        <v>1004</v>
      </c>
      <c r="D263" t="s">
        <v>1321</v>
      </c>
      <c r="E263" t="s">
        <v>68</v>
      </c>
      <c r="F263" t="s">
        <v>1322</v>
      </c>
      <c r="G263" t="s">
        <v>1323</v>
      </c>
      <c r="H263" s="1">
        <v>46304</v>
      </c>
      <c r="I263" s="6">
        <v>45616</v>
      </c>
      <c r="J263" s="6">
        <v>46184</v>
      </c>
      <c r="K263">
        <v>57</v>
      </c>
      <c r="L263">
        <v>82</v>
      </c>
      <c r="M263">
        <v>59</v>
      </c>
      <c r="N263" s="8">
        <v>8</v>
      </c>
      <c r="O263">
        <v>44</v>
      </c>
      <c r="P263">
        <v>57</v>
      </c>
      <c r="Q263" s="3">
        <v>0.35</v>
      </c>
      <c r="R263">
        <f>Inventory_Table[[#This Row],[Stock_Quantity]]*Inventory_Table[[#This Row],[Unit_Price]]</f>
        <v>456</v>
      </c>
      <c r="S263">
        <f>Inventory_Table[[#This Row],[Sales_Volume]]*Inventory_Table[[#This Row],[Unit_Price]]</f>
        <v>352</v>
      </c>
      <c r="T263" t="str">
        <f>IF(Inventory_Table[[#This Row],[Stock_Quantity]]&lt;=Inventory_Table[[#This Row],[Reorder_Level]],"REORDER","OK")</f>
        <v>REORDER</v>
      </c>
      <c r="U263" t="s">
        <v>3837</v>
      </c>
      <c r="V263" s="14">
        <f ca="1">TODAY()-Inventory_Table[[#This Row],[Last_Order_Date]]</f>
        <v>560</v>
      </c>
    </row>
    <row r="264" spans="1:22" x14ac:dyDescent="0.35">
      <c r="A264" t="s">
        <v>194</v>
      </c>
      <c r="B264" t="s">
        <v>114</v>
      </c>
      <c r="C264" t="s">
        <v>389</v>
      </c>
      <c r="D264" t="s">
        <v>1325</v>
      </c>
      <c r="E264" t="s">
        <v>21</v>
      </c>
      <c r="F264" t="s">
        <v>1326</v>
      </c>
      <c r="G264" t="s">
        <v>1327</v>
      </c>
      <c r="H264" s="1">
        <v>46305</v>
      </c>
      <c r="I264" s="6">
        <v>45472</v>
      </c>
      <c r="J264" s="6">
        <v>46294</v>
      </c>
      <c r="K264">
        <v>12</v>
      </c>
      <c r="L264">
        <v>86</v>
      </c>
      <c r="M264">
        <v>98</v>
      </c>
      <c r="N264" s="8">
        <v>4</v>
      </c>
      <c r="O264">
        <v>75</v>
      </c>
      <c r="P264">
        <v>86</v>
      </c>
      <c r="Q264" s="3">
        <v>-0.3</v>
      </c>
      <c r="R264">
        <f>Inventory_Table[[#This Row],[Stock_Quantity]]*Inventory_Table[[#This Row],[Unit_Price]]</f>
        <v>48</v>
      </c>
      <c r="S264">
        <f>Inventory_Table[[#This Row],[Sales_Volume]]*Inventory_Table[[#This Row],[Unit_Price]]</f>
        <v>300</v>
      </c>
      <c r="T264" t="str">
        <f>IF(Inventory_Table[[#This Row],[Stock_Quantity]]&lt;=Inventory_Table[[#This Row],[Reorder_Level]],"REORDER","OK")</f>
        <v>REORDER</v>
      </c>
      <c r="U264" t="s">
        <v>3836</v>
      </c>
      <c r="V264" s="14">
        <f ca="1">TODAY()-Inventory_Table[[#This Row],[Last_Order_Date]]</f>
        <v>704</v>
      </c>
    </row>
    <row r="265" spans="1:22" x14ac:dyDescent="0.35">
      <c r="A265" t="s">
        <v>408</v>
      </c>
      <c r="B265" t="s">
        <v>18</v>
      </c>
      <c r="C265" t="s">
        <v>677</v>
      </c>
      <c r="D265" t="s">
        <v>1329</v>
      </c>
      <c r="E265" t="s">
        <v>68</v>
      </c>
      <c r="F265" t="s">
        <v>1330</v>
      </c>
      <c r="G265" t="s">
        <v>1331</v>
      </c>
      <c r="H265" s="1">
        <v>46305</v>
      </c>
      <c r="I265" s="6">
        <v>45457</v>
      </c>
      <c r="J265" s="6">
        <v>46305</v>
      </c>
      <c r="K265">
        <v>64</v>
      </c>
      <c r="L265">
        <v>71</v>
      </c>
      <c r="M265">
        <v>69</v>
      </c>
      <c r="N265" s="8">
        <v>3.9</v>
      </c>
      <c r="O265">
        <v>60</v>
      </c>
      <c r="P265">
        <v>67</v>
      </c>
      <c r="Q265" s="3">
        <v>-0.15</v>
      </c>
      <c r="R265">
        <f>Inventory_Table[[#This Row],[Stock_Quantity]]*Inventory_Table[[#This Row],[Unit_Price]]</f>
        <v>249.6</v>
      </c>
      <c r="S265">
        <f>Inventory_Table[[#This Row],[Sales_Volume]]*Inventory_Table[[#This Row],[Unit_Price]]</f>
        <v>234</v>
      </c>
      <c r="T265" t="str">
        <f>IF(Inventory_Table[[#This Row],[Stock_Quantity]]&lt;=Inventory_Table[[#This Row],[Reorder_Level]],"REORDER","OK")</f>
        <v>REORDER</v>
      </c>
      <c r="U265" t="s">
        <v>3836</v>
      </c>
      <c r="V265" s="14">
        <f ca="1">TODAY()-Inventory_Table[[#This Row],[Last_Order_Date]]</f>
        <v>719</v>
      </c>
    </row>
    <row r="266" spans="1:22" x14ac:dyDescent="0.35">
      <c r="A266" t="s">
        <v>856</v>
      </c>
      <c r="B266" t="s">
        <v>18</v>
      </c>
      <c r="C266" t="s">
        <v>714</v>
      </c>
      <c r="D266" t="s">
        <v>1333</v>
      </c>
      <c r="E266" t="s">
        <v>21</v>
      </c>
      <c r="F266" t="s">
        <v>1334</v>
      </c>
      <c r="G266" t="s">
        <v>1335</v>
      </c>
      <c r="H266" s="1">
        <v>46305</v>
      </c>
      <c r="I266" s="6">
        <v>45418</v>
      </c>
      <c r="J266" s="6">
        <v>46381</v>
      </c>
      <c r="K266">
        <v>11</v>
      </c>
      <c r="L266">
        <v>10</v>
      </c>
      <c r="M266">
        <v>60</v>
      </c>
      <c r="N266" s="8">
        <v>2.5</v>
      </c>
      <c r="O266">
        <v>93</v>
      </c>
      <c r="P266">
        <v>53</v>
      </c>
      <c r="Q266" s="3">
        <v>-0.12</v>
      </c>
      <c r="R266">
        <f>Inventory_Table[[#This Row],[Stock_Quantity]]*Inventory_Table[[#This Row],[Unit_Price]]</f>
        <v>27.5</v>
      </c>
      <c r="S266">
        <f>Inventory_Table[[#This Row],[Sales_Volume]]*Inventory_Table[[#This Row],[Unit_Price]]</f>
        <v>232.5</v>
      </c>
      <c r="T266" t="str">
        <f>IF(Inventory_Table[[#This Row],[Stock_Quantity]]&lt;=Inventory_Table[[#This Row],[Reorder_Level]],"REORDER","OK")</f>
        <v>OK</v>
      </c>
      <c r="U266" t="s">
        <v>3836</v>
      </c>
      <c r="V266" s="14">
        <f ca="1">TODAY()-Inventory_Table[[#This Row],[Last_Order_Date]]</f>
        <v>758</v>
      </c>
    </row>
    <row r="267" spans="1:22" x14ac:dyDescent="0.35">
      <c r="A267" t="s">
        <v>188</v>
      </c>
      <c r="B267" t="s">
        <v>65</v>
      </c>
      <c r="C267" t="s">
        <v>1337</v>
      </c>
      <c r="D267" t="s">
        <v>1338</v>
      </c>
      <c r="E267" t="s">
        <v>68</v>
      </c>
      <c r="F267" t="s">
        <v>1339</v>
      </c>
      <c r="G267" t="s">
        <v>1340</v>
      </c>
      <c r="H267" s="1">
        <v>46305</v>
      </c>
      <c r="I267" s="6">
        <v>45520</v>
      </c>
      <c r="J267" s="6">
        <v>46336</v>
      </c>
      <c r="K267">
        <v>46</v>
      </c>
      <c r="L267">
        <v>39</v>
      </c>
      <c r="M267">
        <v>11</v>
      </c>
      <c r="N267" s="8">
        <v>4.75</v>
      </c>
      <c r="O267">
        <v>36</v>
      </c>
      <c r="P267">
        <v>54</v>
      </c>
      <c r="Q267" s="3">
        <v>0.43</v>
      </c>
      <c r="R267">
        <f>Inventory_Table[[#This Row],[Stock_Quantity]]*Inventory_Table[[#This Row],[Unit_Price]]</f>
        <v>218.5</v>
      </c>
      <c r="S267">
        <f>Inventory_Table[[#This Row],[Sales_Volume]]*Inventory_Table[[#This Row],[Unit_Price]]</f>
        <v>171</v>
      </c>
      <c r="T267" t="str">
        <f>IF(Inventory_Table[[#This Row],[Stock_Quantity]]&lt;=Inventory_Table[[#This Row],[Reorder_Level]],"REORDER","OK")</f>
        <v>OK</v>
      </c>
      <c r="U267" t="s">
        <v>3836</v>
      </c>
      <c r="V267" s="14">
        <f ca="1">TODAY()-Inventory_Table[[#This Row],[Last_Order_Date]]</f>
        <v>656</v>
      </c>
    </row>
    <row r="268" spans="1:22" x14ac:dyDescent="0.35">
      <c r="A268" t="s">
        <v>1341</v>
      </c>
      <c r="B268" t="s">
        <v>18</v>
      </c>
      <c r="C268" t="s">
        <v>1342</v>
      </c>
      <c r="D268" t="s">
        <v>1343</v>
      </c>
      <c r="E268" t="s">
        <v>30</v>
      </c>
      <c r="F268" t="s">
        <v>1344</v>
      </c>
      <c r="G268" t="s">
        <v>1345</v>
      </c>
      <c r="H268" s="1">
        <v>46306</v>
      </c>
      <c r="I268" s="6">
        <v>45503</v>
      </c>
      <c r="J268" s="6">
        <v>46296</v>
      </c>
      <c r="K268">
        <v>89</v>
      </c>
      <c r="L268">
        <v>56</v>
      </c>
      <c r="M268">
        <v>74</v>
      </c>
      <c r="N268" s="8">
        <v>2.5</v>
      </c>
      <c r="O268">
        <v>27</v>
      </c>
      <c r="P268">
        <v>51</v>
      </c>
      <c r="Q268" s="3">
        <v>-0.5</v>
      </c>
      <c r="R268">
        <f>Inventory_Table[[#This Row],[Stock_Quantity]]*Inventory_Table[[#This Row],[Unit_Price]]</f>
        <v>222.5</v>
      </c>
      <c r="S268">
        <f>Inventory_Table[[#This Row],[Sales_Volume]]*Inventory_Table[[#This Row],[Unit_Price]]</f>
        <v>67.5</v>
      </c>
      <c r="T268" t="str">
        <f>IF(Inventory_Table[[#This Row],[Stock_Quantity]]&lt;=Inventory_Table[[#This Row],[Reorder_Level]],"REORDER","OK")</f>
        <v>OK</v>
      </c>
      <c r="U268" t="s">
        <v>3836</v>
      </c>
      <c r="V268" s="14">
        <f ca="1">TODAY()-Inventory_Table[[#This Row],[Last_Order_Date]]</f>
        <v>673</v>
      </c>
    </row>
    <row r="269" spans="1:22" x14ac:dyDescent="0.35">
      <c r="A269" t="s">
        <v>113</v>
      </c>
      <c r="B269" t="s">
        <v>114</v>
      </c>
      <c r="C269" t="s">
        <v>451</v>
      </c>
      <c r="D269" t="s">
        <v>1347</v>
      </c>
      <c r="E269" t="s">
        <v>21</v>
      </c>
      <c r="F269" t="s">
        <v>1348</v>
      </c>
      <c r="G269" t="s">
        <v>1349</v>
      </c>
      <c r="H269" s="1">
        <v>46306</v>
      </c>
      <c r="I269" s="6">
        <v>45379</v>
      </c>
      <c r="J269" s="6">
        <v>46390</v>
      </c>
      <c r="K269">
        <v>72</v>
      </c>
      <c r="L269">
        <v>78</v>
      </c>
      <c r="M269">
        <v>1</v>
      </c>
      <c r="N269" s="8">
        <v>4</v>
      </c>
      <c r="O269">
        <v>85</v>
      </c>
      <c r="P269">
        <v>30</v>
      </c>
      <c r="Q269" s="3">
        <v>-0.89</v>
      </c>
      <c r="R269">
        <f>Inventory_Table[[#This Row],[Stock_Quantity]]*Inventory_Table[[#This Row],[Unit_Price]]</f>
        <v>288</v>
      </c>
      <c r="S269">
        <f>Inventory_Table[[#This Row],[Sales_Volume]]*Inventory_Table[[#This Row],[Unit_Price]]</f>
        <v>340</v>
      </c>
      <c r="T269" t="str">
        <f>IF(Inventory_Table[[#This Row],[Stock_Quantity]]&lt;=Inventory_Table[[#This Row],[Reorder_Level]],"REORDER","OK")</f>
        <v>REORDER</v>
      </c>
      <c r="U269" t="s">
        <v>3836</v>
      </c>
      <c r="V269" s="14">
        <f ca="1">TODAY()-Inventory_Table[[#This Row],[Last_Order_Date]]</f>
        <v>797</v>
      </c>
    </row>
    <row r="270" spans="1:22" x14ac:dyDescent="0.35">
      <c r="A270" t="s">
        <v>1350</v>
      </c>
      <c r="B270" t="s">
        <v>114</v>
      </c>
      <c r="C270" t="s">
        <v>899</v>
      </c>
      <c r="D270" t="s">
        <v>1351</v>
      </c>
      <c r="E270" t="s">
        <v>68</v>
      </c>
      <c r="F270" t="s">
        <v>1352</v>
      </c>
      <c r="G270" t="s">
        <v>1353</v>
      </c>
      <c r="H270" s="1">
        <v>46307</v>
      </c>
      <c r="I270" s="6">
        <v>45488</v>
      </c>
      <c r="J270" s="6">
        <v>46264</v>
      </c>
      <c r="K270">
        <v>38</v>
      </c>
      <c r="L270">
        <v>93</v>
      </c>
      <c r="M270">
        <v>61</v>
      </c>
      <c r="N270" s="8">
        <v>6</v>
      </c>
      <c r="O270">
        <v>67</v>
      </c>
      <c r="P270">
        <v>100</v>
      </c>
      <c r="Q270" s="3">
        <v>0.65</v>
      </c>
      <c r="R270">
        <f>Inventory_Table[[#This Row],[Stock_Quantity]]*Inventory_Table[[#This Row],[Unit_Price]]</f>
        <v>228</v>
      </c>
      <c r="S270">
        <f>Inventory_Table[[#This Row],[Sales_Volume]]*Inventory_Table[[#This Row],[Unit_Price]]</f>
        <v>402</v>
      </c>
      <c r="T270" t="str">
        <f>IF(Inventory_Table[[#This Row],[Stock_Quantity]]&lt;=Inventory_Table[[#This Row],[Reorder_Level]],"REORDER","OK")</f>
        <v>REORDER</v>
      </c>
      <c r="U270" t="s">
        <v>3836</v>
      </c>
      <c r="V270" s="14">
        <f ca="1">TODAY()-Inventory_Table[[#This Row],[Last_Order_Date]]</f>
        <v>688</v>
      </c>
    </row>
    <row r="271" spans="1:22" x14ac:dyDescent="0.35">
      <c r="A271" t="s">
        <v>418</v>
      </c>
      <c r="B271" t="s">
        <v>65</v>
      </c>
      <c r="C271" t="s">
        <v>1025</v>
      </c>
      <c r="D271" t="s">
        <v>1354</v>
      </c>
      <c r="E271" t="s">
        <v>30</v>
      </c>
      <c r="F271" t="s">
        <v>1355</v>
      </c>
      <c r="G271" t="s">
        <v>1356</v>
      </c>
      <c r="H271" s="1">
        <v>46307</v>
      </c>
      <c r="I271" s="6">
        <v>45674</v>
      </c>
      <c r="J271" s="6">
        <v>46159</v>
      </c>
      <c r="K271">
        <v>79</v>
      </c>
      <c r="L271">
        <v>98</v>
      </c>
      <c r="M271">
        <v>97</v>
      </c>
      <c r="N271" s="8">
        <v>6</v>
      </c>
      <c r="O271">
        <v>26</v>
      </c>
      <c r="P271">
        <v>21</v>
      </c>
      <c r="Q271" s="3">
        <v>-0.49</v>
      </c>
      <c r="R271">
        <f>Inventory_Table[[#This Row],[Stock_Quantity]]*Inventory_Table[[#This Row],[Unit_Price]]</f>
        <v>474</v>
      </c>
      <c r="S271">
        <f>Inventory_Table[[#This Row],[Sales_Volume]]*Inventory_Table[[#This Row],[Unit_Price]]</f>
        <v>156</v>
      </c>
      <c r="T271" t="str">
        <f>IF(Inventory_Table[[#This Row],[Stock_Quantity]]&lt;=Inventory_Table[[#This Row],[Reorder_Level]],"REORDER","OK")</f>
        <v>REORDER</v>
      </c>
      <c r="U271" t="s">
        <v>3838</v>
      </c>
      <c r="V271" s="14">
        <f ca="1">TODAY()-Inventory_Table[[#This Row],[Last_Order_Date]]</f>
        <v>502</v>
      </c>
    </row>
    <row r="272" spans="1:22" x14ac:dyDescent="0.35">
      <c r="A272" t="s">
        <v>640</v>
      </c>
      <c r="B272" t="s">
        <v>163</v>
      </c>
      <c r="C272" t="s">
        <v>409</v>
      </c>
      <c r="D272" t="s">
        <v>1357</v>
      </c>
      <c r="E272" t="s">
        <v>68</v>
      </c>
      <c r="F272" t="s">
        <v>1358</v>
      </c>
      <c r="G272" t="s">
        <v>1359</v>
      </c>
      <c r="H272" s="1">
        <v>46307</v>
      </c>
      <c r="I272" s="6">
        <v>45371</v>
      </c>
      <c r="J272" s="6">
        <v>46131</v>
      </c>
      <c r="K272">
        <v>56</v>
      </c>
      <c r="L272">
        <v>12</v>
      </c>
      <c r="M272">
        <v>85</v>
      </c>
      <c r="N272" s="8">
        <v>5</v>
      </c>
      <c r="O272">
        <v>52</v>
      </c>
      <c r="P272">
        <v>46</v>
      </c>
      <c r="Q272" s="3">
        <v>0.19</v>
      </c>
      <c r="R272">
        <f>Inventory_Table[[#This Row],[Stock_Quantity]]*Inventory_Table[[#This Row],[Unit_Price]]</f>
        <v>280</v>
      </c>
      <c r="S272">
        <f>Inventory_Table[[#This Row],[Sales_Volume]]*Inventory_Table[[#This Row],[Unit_Price]]</f>
        <v>260</v>
      </c>
      <c r="T272" t="str">
        <f>IF(Inventory_Table[[#This Row],[Stock_Quantity]]&lt;=Inventory_Table[[#This Row],[Reorder_Level]],"REORDER","OK")</f>
        <v>OK</v>
      </c>
      <c r="U272" t="s">
        <v>3838</v>
      </c>
      <c r="V272" s="14">
        <f ca="1">TODAY()-Inventory_Table[[#This Row],[Last_Order_Date]]</f>
        <v>805</v>
      </c>
    </row>
    <row r="273" spans="1:22" x14ac:dyDescent="0.35">
      <c r="A273" t="s">
        <v>1292</v>
      </c>
      <c r="B273" t="s">
        <v>18</v>
      </c>
      <c r="C273" t="s">
        <v>1360</v>
      </c>
      <c r="D273" t="s">
        <v>1361</v>
      </c>
      <c r="E273" t="s">
        <v>68</v>
      </c>
      <c r="F273" t="s">
        <v>1362</v>
      </c>
      <c r="G273" t="s">
        <v>1363</v>
      </c>
      <c r="H273" s="1">
        <v>46329</v>
      </c>
      <c r="I273" s="6">
        <v>45473</v>
      </c>
      <c r="J273" s="6">
        <v>46187</v>
      </c>
      <c r="K273">
        <v>54</v>
      </c>
      <c r="L273">
        <v>26</v>
      </c>
      <c r="M273">
        <v>16</v>
      </c>
      <c r="N273" s="8">
        <v>6</v>
      </c>
      <c r="O273">
        <v>63</v>
      </c>
      <c r="P273">
        <v>97</v>
      </c>
      <c r="Q273" s="3">
        <v>0.12</v>
      </c>
      <c r="R273">
        <f>Inventory_Table[[#This Row],[Stock_Quantity]]*Inventory_Table[[#This Row],[Unit_Price]]</f>
        <v>324</v>
      </c>
      <c r="S273">
        <f>Inventory_Table[[#This Row],[Sales_Volume]]*Inventory_Table[[#This Row],[Unit_Price]]</f>
        <v>378</v>
      </c>
      <c r="T273" t="str">
        <f>IF(Inventory_Table[[#This Row],[Stock_Quantity]]&lt;=Inventory_Table[[#This Row],[Reorder_Level]],"REORDER","OK")</f>
        <v>OK</v>
      </c>
      <c r="U273" t="s">
        <v>3837</v>
      </c>
      <c r="V273" s="14">
        <f ca="1">TODAY()-Inventory_Table[[#This Row],[Last_Order_Date]]</f>
        <v>703</v>
      </c>
    </row>
    <row r="274" spans="1:22" x14ac:dyDescent="0.35">
      <c r="A274" t="s">
        <v>148</v>
      </c>
      <c r="B274" t="s">
        <v>18</v>
      </c>
      <c r="C274" t="s">
        <v>399</v>
      </c>
      <c r="D274" t="s">
        <v>1364</v>
      </c>
      <c r="E274" t="s">
        <v>68</v>
      </c>
      <c r="F274" t="s">
        <v>1365</v>
      </c>
      <c r="G274" t="s">
        <v>1366</v>
      </c>
      <c r="H274" s="1">
        <v>46329</v>
      </c>
      <c r="I274" s="6">
        <v>45392</v>
      </c>
      <c r="J274" s="6">
        <v>46138</v>
      </c>
      <c r="K274">
        <v>91</v>
      </c>
      <c r="L274">
        <v>55</v>
      </c>
      <c r="M274">
        <v>94</v>
      </c>
      <c r="N274" s="8">
        <v>3</v>
      </c>
      <c r="O274">
        <v>42</v>
      </c>
      <c r="P274">
        <v>93</v>
      </c>
      <c r="Q274" s="3">
        <v>-0.54</v>
      </c>
      <c r="R274">
        <f>Inventory_Table[[#This Row],[Stock_Quantity]]*Inventory_Table[[#This Row],[Unit_Price]]</f>
        <v>273</v>
      </c>
      <c r="S274">
        <f>Inventory_Table[[#This Row],[Sales_Volume]]*Inventory_Table[[#This Row],[Unit_Price]]</f>
        <v>126</v>
      </c>
      <c r="T274" t="str">
        <f>IF(Inventory_Table[[#This Row],[Stock_Quantity]]&lt;=Inventory_Table[[#This Row],[Reorder_Level]],"REORDER","OK")</f>
        <v>OK</v>
      </c>
      <c r="U274" t="s">
        <v>3838</v>
      </c>
      <c r="V274" s="14">
        <f ca="1">TODAY()-Inventory_Table[[#This Row],[Last_Order_Date]]</f>
        <v>784</v>
      </c>
    </row>
    <row r="275" spans="1:22" x14ac:dyDescent="0.35">
      <c r="A275" t="s">
        <v>129</v>
      </c>
      <c r="B275" t="s">
        <v>18</v>
      </c>
      <c r="C275" t="s">
        <v>1367</v>
      </c>
      <c r="D275" t="s">
        <v>1368</v>
      </c>
      <c r="E275" t="s">
        <v>30</v>
      </c>
      <c r="F275" t="s">
        <v>1369</v>
      </c>
      <c r="G275" t="s">
        <v>1370</v>
      </c>
      <c r="H275" s="1">
        <v>46330</v>
      </c>
      <c r="I275" s="6">
        <v>45608</v>
      </c>
      <c r="J275" s="6">
        <v>46242</v>
      </c>
      <c r="K275">
        <v>82</v>
      </c>
      <c r="L275">
        <v>65</v>
      </c>
      <c r="M275">
        <v>69</v>
      </c>
      <c r="N275" s="8">
        <v>4.45</v>
      </c>
      <c r="O275">
        <v>30</v>
      </c>
      <c r="P275">
        <v>78</v>
      </c>
      <c r="Q275" s="3">
        <v>-1.21</v>
      </c>
      <c r="R275">
        <f>Inventory_Table[[#This Row],[Stock_Quantity]]*Inventory_Table[[#This Row],[Unit_Price]]</f>
        <v>364.90000000000003</v>
      </c>
      <c r="S275">
        <f>Inventory_Table[[#This Row],[Sales_Volume]]*Inventory_Table[[#This Row],[Unit_Price]]</f>
        <v>133.5</v>
      </c>
      <c r="T275" t="str">
        <f>IF(Inventory_Table[[#This Row],[Stock_Quantity]]&lt;=Inventory_Table[[#This Row],[Reorder_Level]],"REORDER","OK")</f>
        <v>OK</v>
      </c>
      <c r="U275" t="s">
        <v>3836</v>
      </c>
      <c r="V275" s="14">
        <f ca="1">TODAY()-Inventory_Table[[#This Row],[Last_Order_Date]]</f>
        <v>568</v>
      </c>
    </row>
    <row r="276" spans="1:22" x14ac:dyDescent="0.35">
      <c r="A276" t="s">
        <v>1371</v>
      </c>
      <c r="B276" t="s">
        <v>36</v>
      </c>
      <c r="C276" t="s">
        <v>1372</v>
      </c>
      <c r="D276" t="s">
        <v>1373</v>
      </c>
      <c r="E276" t="s">
        <v>30</v>
      </c>
      <c r="F276" t="s">
        <v>1374</v>
      </c>
      <c r="G276" t="s">
        <v>1375</v>
      </c>
      <c r="H276" s="1">
        <v>46330</v>
      </c>
      <c r="I276" s="6">
        <v>45354</v>
      </c>
      <c r="J276" s="6">
        <v>46168</v>
      </c>
      <c r="K276">
        <v>36</v>
      </c>
      <c r="L276">
        <v>30</v>
      </c>
      <c r="M276">
        <v>44</v>
      </c>
      <c r="N276" s="8">
        <v>0.2</v>
      </c>
      <c r="O276">
        <v>68</v>
      </c>
      <c r="P276">
        <v>88</v>
      </c>
      <c r="Q276" s="3">
        <v>-1.6</v>
      </c>
      <c r="R276">
        <f>Inventory_Table[[#This Row],[Stock_Quantity]]*Inventory_Table[[#This Row],[Unit_Price]]</f>
        <v>7.2</v>
      </c>
      <c r="S276">
        <f>Inventory_Table[[#This Row],[Sales_Volume]]*Inventory_Table[[#This Row],[Unit_Price]]</f>
        <v>13.600000000000001</v>
      </c>
      <c r="T276" t="str">
        <f>IF(Inventory_Table[[#This Row],[Stock_Quantity]]&lt;=Inventory_Table[[#This Row],[Reorder_Level]],"REORDER","OK")</f>
        <v>OK</v>
      </c>
      <c r="U276" t="s">
        <v>3838</v>
      </c>
      <c r="V276" s="14">
        <f ca="1">TODAY()-Inventory_Table[[#This Row],[Last_Order_Date]]</f>
        <v>822</v>
      </c>
    </row>
    <row r="277" spans="1:22" x14ac:dyDescent="0.35">
      <c r="A277" t="s">
        <v>527</v>
      </c>
      <c r="B277" t="s">
        <v>65</v>
      </c>
      <c r="C277" t="s">
        <v>1377</v>
      </c>
      <c r="D277" t="s">
        <v>1378</v>
      </c>
      <c r="E277" t="s">
        <v>68</v>
      </c>
      <c r="F277" t="s">
        <v>1379</v>
      </c>
      <c r="G277" t="s">
        <v>1380</v>
      </c>
      <c r="H277" s="1">
        <v>46330</v>
      </c>
      <c r="I277" s="6">
        <v>45441</v>
      </c>
      <c r="J277" s="6">
        <v>46232</v>
      </c>
      <c r="K277">
        <v>22</v>
      </c>
      <c r="L277">
        <v>77</v>
      </c>
      <c r="M277">
        <v>15</v>
      </c>
      <c r="N277" s="8">
        <v>3</v>
      </c>
      <c r="O277">
        <v>68</v>
      </c>
      <c r="P277">
        <v>46</v>
      </c>
      <c r="Q277" s="3">
        <v>-0.28999999999999998</v>
      </c>
      <c r="R277">
        <f>Inventory_Table[[#This Row],[Stock_Quantity]]*Inventory_Table[[#This Row],[Unit_Price]]</f>
        <v>66</v>
      </c>
      <c r="S277">
        <f>Inventory_Table[[#This Row],[Sales_Volume]]*Inventory_Table[[#This Row],[Unit_Price]]</f>
        <v>204</v>
      </c>
      <c r="T277" t="str">
        <f>IF(Inventory_Table[[#This Row],[Stock_Quantity]]&lt;=Inventory_Table[[#This Row],[Reorder_Level]],"REORDER","OK")</f>
        <v>REORDER</v>
      </c>
      <c r="U277" t="s">
        <v>3836</v>
      </c>
      <c r="V277" s="14">
        <f ca="1">TODAY()-Inventory_Table[[#This Row],[Last_Order_Date]]</f>
        <v>735</v>
      </c>
    </row>
    <row r="278" spans="1:22" x14ac:dyDescent="0.35">
      <c r="A278" t="s">
        <v>503</v>
      </c>
      <c r="B278" t="s">
        <v>27</v>
      </c>
      <c r="C278" t="s">
        <v>1271</v>
      </c>
      <c r="D278" t="s">
        <v>1381</v>
      </c>
      <c r="E278" t="s">
        <v>21</v>
      </c>
      <c r="F278" t="s">
        <v>1382</v>
      </c>
      <c r="G278" t="s">
        <v>1383</v>
      </c>
      <c r="H278" s="1">
        <v>46331</v>
      </c>
      <c r="I278" s="6">
        <v>45639</v>
      </c>
      <c r="J278" s="6">
        <v>46129</v>
      </c>
      <c r="K278">
        <v>87</v>
      </c>
      <c r="L278">
        <v>24</v>
      </c>
      <c r="M278">
        <v>19</v>
      </c>
      <c r="N278" s="8">
        <v>2.5</v>
      </c>
      <c r="O278">
        <v>83</v>
      </c>
      <c r="P278">
        <v>3</v>
      </c>
      <c r="Q278" s="3">
        <v>0.32</v>
      </c>
      <c r="R278">
        <f>Inventory_Table[[#This Row],[Stock_Quantity]]*Inventory_Table[[#This Row],[Unit_Price]]</f>
        <v>217.5</v>
      </c>
      <c r="S278">
        <f>Inventory_Table[[#This Row],[Sales_Volume]]*Inventory_Table[[#This Row],[Unit_Price]]</f>
        <v>207.5</v>
      </c>
      <c r="T278" t="str">
        <f>IF(Inventory_Table[[#This Row],[Stock_Quantity]]&lt;=Inventory_Table[[#This Row],[Reorder_Level]],"REORDER","OK")</f>
        <v>OK</v>
      </c>
      <c r="U278" t="s">
        <v>3838</v>
      </c>
      <c r="V278" s="14">
        <f ca="1">TODAY()-Inventory_Table[[#This Row],[Last_Order_Date]]</f>
        <v>537</v>
      </c>
    </row>
    <row r="279" spans="1:22" x14ac:dyDescent="0.35">
      <c r="A279" t="s">
        <v>106</v>
      </c>
      <c r="B279" t="s">
        <v>18</v>
      </c>
      <c r="C279" t="s">
        <v>383</v>
      </c>
      <c r="D279" t="s">
        <v>1384</v>
      </c>
      <c r="E279" t="s">
        <v>68</v>
      </c>
      <c r="F279" t="s">
        <v>1385</v>
      </c>
      <c r="G279" t="s">
        <v>1386</v>
      </c>
      <c r="H279" s="1">
        <v>46331</v>
      </c>
      <c r="I279" s="6">
        <v>45636</v>
      </c>
      <c r="J279" s="6">
        <v>46238</v>
      </c>
      <c r="K279">
        <v>44</v>
      </c>
      <c r="L279">
        <v>8</v>
      </c>
      <c r="M279">
        <v>52</v>
      </c>
      <c r="N279" s="8">
        <v>2.95</v>
      </c>
      <c r="O279">
        <v>42</v>
      </c>
      <c r="P279">
        <v>66</v>
      </c>
      <c r="Q279" s="3">
        <v>0.96</v>
      </c>
      <c r="R279">
        <f>Inventory_Table[[#This Row],[Stock_Quantity]]*Inventory_Table[[#This Row],[Unit_Price]]</f>
        <v>129.80000000000001</v>
      </c>
      <c r="S279">
        <f>Inventory_Table[[#This Row],[Sales_Volume]]*Inventory_Table[[#This Row],[Unit_Price]]</f>
        <v>123.9</v>
      </c>
      <c r="T279" t="str">
        <f>IF(Inventory_Table[[#This Row],[Stock_Quantity]]&lt;=Inventory_Table[[#This Row],[Reorder_Level]],"REORDER","OK")</f>
        <v>OK</v>
      </c>
      <c r="U279" t="s">
        <v>3836</v>
      </c>
      <c r="V279" s="14">
        <f ca="1">TODAY()-Inventory_Table[[#This Row],[Last_Order_Date]]</f>
        <v>540</v>
      </c>
    </row>
    <row r="280" spans="1:22" x14ac:dyDescent="0.35">
      <c r="A280" t="s">
        <v>793</v>
      </c>
      <c r="B280" t="s">
        <v>75</v>
      </c>
      <c r="C280" t="s">
        <v>51</v>
      </c>
      <c r="D280" t="s">
        <v>1388</v>
      </c>
      <c r="E280" t="s">
        <v>68</v>
      </c>
      <c r="F280" t="s">
        <v>1389</v>
      </c>
      <c r="G280" t="s">
        <v>1390</v>
      </c>
      <c r="H280" s="1">
        <v>46331</v>
      </c>
      <c r="I280" s="6">
        <v>45436</v>
      </c>
      <c r="J280" s="6">
        <v>46254</v>
      </c>
      <c r="K280">
        <v>96</v>
      </c>
      <c r="L280">
        <v>12</v>
      </c>
      <c r="M280">
        <v>8</v>
      </c>
      <c r="N280" s="8">
        <v>8</v>
      </c>
      <c r="O280">
        <v>97</v>
      </c>
      <c r="P280">
        <v>92</v>
      </c>
      <c r="Q280" s="3">
        <v>-0.56999999999999995</v>
      </c>
      <c r="R280">
        <f>Inventory_Table[[#This Row],[Stock_Quantity]]*Inventory_Table[[#This Row],[Unit_Price]]</f>
        <v>768</v>
      </c>
      <c r="S280">
        <f>Inventory_Table[[#This Row],[Sales_Volume]]*Inventory_Table[[#This Row],[Unit_Price]]</f>
        <v>776</v>
      </c>
      <c r="T280" t="str">
        <f>IF(Inventory_Table[[#This Row],[Stock_Quantity]]&lt;=Inventory_Table[[#This Row],[Reorder_Level]],"REORDER","OK")</f>
        <v>OK</v>
      </c>
      <c r="U280" t="s">
        <v>3836</v>
      </c>
      <c r="V280" s="14">
        <f ca="1">TODAY()-Inventory_Table[[#This Row],[Last_Order_Date]]</f>
        <v>740</v>
      </c>
    </row>
    <row r="281" spans="1:22" x14ac:dyDescent="0.35">
      <c r="A281" t="s">
        <v>376</v>
      </c>
      <c r="B281" t="s">
        <v>18</v>
      </c>
      <c r="C281" t="s">
        <v>1391</v>
      </c>
      <c r="D281" t="s">
        <v>1392</v>
      </c>
      <c r="E281" t="s">
        <v>68</v>
      </c>
      <c r="F281" t="s">
        <v>1393</v>
      </c>
      <c r="G281" t="s">
        <v>1394</v>
      </c>
      <c r="H281" s="1">
        <v>46332</v>
      </c>
      <c r="I281" s="6">
        <v>45496</v>
      </c>
      <c r="J281" s="6">
        <v>46323</v>
      </c>
      <c r="K281">
        <v>39</v>
      </c>
      <c r="L281">
        <v>22</v>
      </c>
      <c r="M281">
        <v>73</v>
      </c>
      <c r="N281" s="8">
        <v>2</v>
      </c>
      <c r="O281">
        <v>60</v>
      </c>
      <c r="P281">
        <v>2</v>
      </c>
      <c r="Q281" s="3">
        <v>0.05</v>
      </c>
      <c r="R281">
        <f>Inventory_Table[[#This Row],[Stock_Quantity]]*Inventory_Table[[#This Row],[Unit_Price]]</f>
        <v>78</v>
      </c>
      <c r="S281">
        <f>Inventory_Table[[#This Row],[Sales_Volume]]*Inventory_Table[[#This Row],[Unit_Price]]</f>
        <v>120</v>
      </c>
      <c r="T281" t="str">
        <f>IF(Inventory_Table[[#This Row],[Stock_Quantity]]&lt;=Inventory_Table[[#This Row],[Reorder_Level]],"REORDER","OK")</f>
        <v>OK</v>
      </c>
      <c r="U281" t="s">
        <v>3836</v>
      </c>
      <c r="V281" s="14">
        <f ca="1">TODAY()-Inventory_Table[[#This Row],[Last_Order_Date]]</f>
        <v>680</v>
      </c>
    </row>
    <row r="282" spans="1:22" x14ac:dyDescent="0.35">
      <c r="A282" t="s">
        <v>596</v>
      </c>
      <c r="B282" t="s">
        <v>18</v>
      </c>
      <c r="C282" t="s">
        <v>1395</v>
      </c>
      <c r="D282" t="s">
        <v>1396</v>
      </c>
      <c r="E282" t="s">
        <v>30</v>
      </c>
      <c r="F282" t="s">
        <v>1397</v>
      </c>
      <c r="G282" t="s">
        <v>1398</v>
      </c>
      <c r="H282" s="1">
        <v>46332</v>
      </c>
      <c r="I282" s="6">
        <v>45709</v>
      </c>
      <c r="J282" s="6">
        <v>46268</v>
      </c>
      <c r="K282">
        <v>15</v>
      </c>
      <c r="L282">
        <v>27</v>
      </c>
      <c r="M282">
        <v>21</v>
      </c>
      <c r="N282" s="8">
        <v>4</v>
      </c>
      <c r="O282">
        <v>37</v>
      </c>
      <c r="P282">
        <v>67</v>
      </c>
      <c r="Q282" s="3">
        <v>0.97</v>
      </c>
      <c r="R282">
        <f>Inventory_Table[[#This Row],[Stock_Quantity]]*Inventory_Table[[#This Row],[Unit_Price]]</f>
        <v>60</v>
      </c>
      <c r="S282">
        <f>Inventory_Table[[#This Row],[Sales_Volume]]*Inventory_Table[[#This Row],[Unit_Price]]</f>
        <v>148</v>
      </c>
      <c r="T282" t="str">
        <f>IF(Inventory_Table[[#This Row],[Stock_Quantity]]&lt;=Inventory_Table[[#This Row],[Reorder_Level]],"REORDER","OK")</f>
        <v>REORDER</v>
      </c>
      <c r="U282" t="s">
        <v>3836</v>
      </c>
      <c r="V282" s="14">
        <f ca="1">TODAY()-Inventory_Table[[#This Row],[Last_Order_Date]]</f>
        <v>467</v>
      </c>
    </row>
    <row r="283" spans="1:22" x14ac:dyDescent="0.35">
      <c r="A283" t="s">
        <v>1341</v>
      </c>
      <c r="B283" t="s">
        <v>18</v>
      </c>
      <c r="C283" t="s">
        <v>1399</v>
      </c>
      <c r="D283" t="s">
        <v>1400</v>
      </c>
      <c r="E283" t="s">
        <v>21</v>
      </c>
      <c r="F283" t="s">
        <v>1401</v>
      </c>
      <c r="G283" t="s">
        <v>1402</v>
      </c>
      <c r="H283" s="1">
        <v>46332</v>
      </c>
      <c r="I283" s="6">
        <v>45386</v>
      </c>
      <c r="J283" s="6">
        <v>46091</v>
      </c>
      <c r="K283">
        <v>52</v>
      </c>
      <c r="L283">
        <v>79</v>
      </c>
      <c r="M283">
        <v>87</v>
      </c>
      <c r="N283" s="8">
        <v>2.5</v>
      </c>
      <c r="O283">
        <v>36</v>
      </c>
      <c r="P283">
        <v>100</v>
      </c>
      <c r="Q283" s="3">
        <v>-0.81</v>
      </c>
      <c r="R283">
        <f>Inventory_Table[[#This Row],[Stock_Quantity]]*Inventory_Table[[#This Row],[Unit_Price]]</f>
        <v>130</v>
      </c>
      <c r="S283">
        <f>Inventory_Table[[#This Row],[Sales_Volume]]*Inventory_Table[[#This Row],[Unit_Price]]</f>
        <v>90</v>
      </c>
      <c r="T283" t="str">
        <f>IF(Inventory_Table[[#This Row],[Stock_Quantity]]&lt;=Inventory_Table[[#This Row],[Reorder_Level]],"REORDER","OK")</f>
        <v>REORDER</v>
      </c>
      <c r="U283" t="s">
        <v>3838</v>
      </c>
      <c r="V283" s="14">
        <f ca="1">TODAY()-Inventory_Table[[#This Row],[Last_Order_Date]]</f>
        <v>790</v>
      </c>
    </row>
    <row r="284" spans="1:22" x14ac:dyDescent="0.35">
      <c r="A284" t="s">
        <v>557</v>
      </c>
      <c r="B284" t="s">
        <v>18</v>
      </c>
      <c r="C284" t="s">
        <v>1403</v>
      </c>
      <c r="D284" t="s">
        <v>1404</v>
      </c>
      <c r="E284" t="s">
        <v>21</v>
      </c>
      <c r="F284" t="s">
        <v>1405</v>
      </c>
      <c r="G284" t="s">
        <v>1406</v>
      </c>
      <c r="H284" s="1">
        <v>46332</v>
      </c>
      <c r="I284" s="6">
        <v>45677</v>
      </c>
      <c r="J284" s="6">
        <v>46179</v>
      </c>
      <c r="K284">
        <v>16</v>
      </c>
      <c r="L284">
        <v>53</v>
      </c>
      <c r="M284">
        <v>12</v>
      </c>
      <c r="N284" s="8">
        <v>5</v>
      </c>
      <c r="O284">
        <v>21</v>
      </c>
      <c r="P284">
        <v>29</v>
      </c>
      <c r="Q284" s="3">
        <v>-1.78</v>
      </c>
      <c r="R284">
        <f>Inventory_Table[[#This Row],[Stock_Quantity]]*Inventory_Table[[#This Row],[Unit_Price]]</f>
        <v>80</v>
      </c>
      <c r="S284">
        <f>Inventory_Table[[#This Row],[Sales_Volume]]*Inventory_Table[[#This Row],[Unit_Price]]</f>
        <v>105</v>
      </c>
      <c r="T284" t="str">
        <f>IF(Inventory_Table[[#This Row],[Stock_Quantity]]&lt;=Inventory_Table[[#This Row],[Reorder_Level]],"REORDER","OK")</f>
        <v>REORDER</v>
      </c>
      <c r="U284" t="s">
        <v>3837</v>
      </c>
      <c r="V284" s="14">
        <f ca="1">TODAY()-Inventory_Table[[#This Row],[Last_Order_Date]]</f>
        <v>499</v>
      </c>
    </row>
    <row r="285" spans="1:22" x14ac:dyDescent="0.35">
      <c r="A285" t="s">
        <v>101</v>
      </c>
      <c r="B285" t="s">
        <v>27</v>
      </c>
      <c r="C285" t="s">
        <v>223</v>
      </c>
      <c r="D285" t="s">
        <v>1408</v>
      </c>
      <c r="E285" t="s">
        <v>68</v>
      </c>
      <c r="F285" t="s">
        <v>1409</v>
      </c>
      <c r="G285" t="s">
        <v>1410</v>
      </c>
      <c r="H285" s="1">
        <v>46332</v>
      </c>
      <c r="I285" s="6">
        <v>45633</v>
      </c>
      <c r="J285" s="6">
        <v>46142</v>
      </c>
      <c r="K285">
        <v>30</v>
      </c>
      <c r="L285">
        <v>48</v>
      </c>
      <c r="M285">
        <v>52</v>
      </c>
      <c r="N285" s="8">
        <v>10</v>
      </c>
      <c r="O285">
        <v>22</v>
      </c>
      <c r="P285">
        <v>78</v>
      </c>
      <c r="Q285" s="3">
        <v>-0.38</v>
      </c>
      <c r="R285">
        <f>Inventory_Table[[#This Row],[Stock_Quantity]]*Inventory_Table[[#This Row],[Unit_Price]]</f>
        <v>300</v>
      </c>
      <c r="S285">
        <f>Inventory_Table[[#This Row],[Sales_Volume]]*Inventory_Table[[#This Row],[Unit_Price]]</f>
        <v>220</v>
      </c>
      <c r="T285" t="str">
        <f>IF(Inventory_Table[[#This Row],[Stock_Quantity]]&lt;=Inventory_Table[[#This Row],[Reorder_Level]],"REORDER","OK")</f>
        <v>REORDER</v>
      </c>
      <c r="U285" t="s">
        <v>3838</v>
      </c>
      <c r="V285" s="14">
        <f ca="1">TODAY()-Inventory_Table[[#This Row],[Last_Order_Date]]</f>
        <v>543</v>
      </c>
    </row>
    <row r="286" spans="1:22" x14ac:dyDescent="0.35">
      <c r="A286" t="s">
        <v>413</v>
      </c>
      <c r="B286" t="s">
        <v>65</v>
      </c>
      <c r="C286" t="s">
        <v>1411</v>
      </c>
      <c r="D286" t="s">
        <v>1412</v>
      </c>
      <c r="E286" t="s">
        <v>30</v>
      </c>
      <c r="F286" t="s">
        <v>1413</v>
      </c>
      <c r="G286" t="s">
        <v>1414</v>
      </c>
      <c r="H286" s="1">
        <v>46333</v>
      </c>
      <c r="I286" s="6">
        <v>45676</v>
      </c>
      <c r="J286" s="6">
        <v>46434</v>
      </c>
      <c r="K286">
        <v>75</v>
      </c>
      <c r="L286">
        <v>69</v>
      </c>
      <c r="M286">
        <v>100</v>
      </c>
      <c r="N286" s="8">
        <v>4.5</v>
      </c>
      <c r="O286">
        <v>43</v>
      </c>
      <c r="P286">
        <v>18</v>
      </c>
      <c r="Q286" s="3">
        <v>-2.5499999999999998</v>
      </c>
      <c r="R286">
        <f>Inventory_Table[[#This Row],[Stock_Quantity]]*Inventory_Table[[#This Row],[Unit_Price]]</f>
        <v>337.5</v>
      </c>
      <c r="S286">
        <f>Inventory_Table[[#This Row],[Sales_Volume]]*Inventory_Table[[#This Row],[Unit_Price]]</f>
        <v>193.5</v>
      </c>
      <c r="T286" t="str">
        <f>IF(Inventory_Table[[#This Row],[Stock_Quantity]]&lt;=Inventory_Table[[#This Row],[Reorder_Level]],"REORDER","OK")</f>
        <v>OK</v>
      </c>
      <c r="U286" t="s">
        <v>3836</v>
      </c>
      <c r="V286" s="14">
        <f ca="1">TODAY()-Inventory_Table[[#This Row],[Last_Order_Date]]</f>
        <v>500</v>
      </c>
    </row>
    <row r="287" spans="1:22" x14ac:dyDescent="0.35">
      <c r="A287" t="s">
        <v>1415</v>
      </c>
      <c r="B287" t="s">
        <v>114</v>
      </c>
      <c r="C287" t="s">
        <v>1416</v>
      </c>
      <c r="D287" t="s">
        <v>1417</v>
      </c>
      <c r="E287" t="s">
        <v>68</v>
      </c>
      <c r="F287" t="s">
        <v>1418</v>
      </c>
      <c r="G287" t="s">
        <v>1419</v>
      </c>
      <c r="H287" s="1">
        <v>46333</v>
      </c>
      <c r="I287" s="6">
        <v>45614</v>
      </c>
      <c r="J287" s="6">
        <v>46148</v>
      </c>
      <c r="K287">
        <v>30</v>
      </c>
      <c r="L287">
        <v>91</v>
      </c>
      <c r="M287">
        <v>34</v>
      </c>
      <c r="N287" s="8">
        <v>2.5</v>
      </c>
      <c r="O287">
        <v>97</v>
      </c>
      <c r="P287">
        <v>88</v>
      </c>
      <c r="Q287" s="3">
        <v>0.57999999999999996</v>
      </c>
      <c r="R287">
        <f>Inventory_Table[[#This Row],[Stock_Quantity]]*Inventory_Table[[#This Row],[Unit_Price]]</f>
        <v>75</v>
      </c>
      <c r="S287">
        <f>Inventory_Table[[#This Row],[Sales_Volume]]*Inventory_Table[[#This Row],[Unit_Price]]</f>
        <v>242.5</v>
      </c>
      <c r="T287" t="str">
        <f>IF(Inventory_Table[[#This Row],[Stock_Quantity]]&lt;=Inventory_Table[[#This Row],[Reorder_Level]],"REORDER","OK")</f>
        <v>REORDER</v>
      </c>
      <c r="U287" t="s">
        <v>3838</v>
      </c>
      <c r="V287" s="14">
        <f ca="1">TODAY()-Inventory_Table[[#This Row],[Last_Order_Date]]</f>
        <v>562</v>
      </c>
    </row>
    <row r="288" spans="1:22" x14ac:dyDescent="0.35">
      <c r="A288" t="s">
        <v>1201</v>
      </c>
      <c r="B288" t="s">
        <v>18</v>
      </c>
      <c r="C288" t="s">
        <v>1420</v>
      </c>
      <c r="D288" t="s">
        <v>1421</v>
      </c>
      <c r="E288" t="s">
        <v>68</v>
      </c>
      <c r="F288" t="s">
        <v>1422</v>
      </c>
      <c r="G288" t="s">
        <v>1423</v>
      </c>
      <c r="H288" s="1">
        <v>46333</v>
      </c>
      <c r="I288" s="6">
        <v>45418</v>
      </c>
      <c r="J288" s="6">
        <v>46143</v>
      </c>
      <c r="K288">
        <v>79</v>
      </c>
      <c r="L288">
        <v>72</v>
      </c>
      <c r="M288">
        <v>6</v>
      </c>
      <c r="N288" s="8">
        <v>4</v>
      </c>
      <c r="O288">
        <v>67</v>
      </c>
      <c r="P288">
        <v>63</v>
      </c>
      <c r="Q288" s="3">
        <v>0.09</v>
      </c>
      <c r="R288">
        <f>Inventory_Table[[#This Row],[Stock_Quantity]]*Inventory_Table[[#This Row],[Unit_Price]]</f>
        <v>316</v>
      </c>
      <c r="S288">
        <f>Inventory_Table[[#This Row],[Sales_Volume]]*Inventory_Table[[#This Row],[Unit_Price]]</f>
        <v>268</v>
      </c>
      <c r="T288" t="str">
        <f>IF(Inventory_Table[[#This Row],[Stock_Quantity]]&lt;=Inventory_Table[[#This Row],[Reorder_Level]],"REORDER","OK")</f>
        <v>OK</v>
      </c>
      <c r="U288" t="s">
        <v>3838</v>
      </c>
      <c r="V288" s="14">
        <f ca="1">TODAY()-Inventory_Table[[#This Row],[Last_Order_Date]]</f>
        <v>758</v>
      </c>
    </row>
    <row r="289" spans="1:22" x14ac:dyDescent="0.35">
      <c r="A289" t="s">
        <v>671</v>
      </c>
      <c r="B289" t="s">
        <v>65</v>
      </c>
      <c r="C289" t="s">
        <v>804</v>
      </c>
      <c r="D289" t="s">
        <v>1424</v>
      </c>
      <c r="E289" t="s">
        <v>68</v>
      </c>
      <c r="F289" t="s">
        <v>1425</v>
      </c>
      <c r="G289" t="s">
        <v>1426</v>
      </c>
      <c r="H289" s="1">
        <v>46334</v>
      </c>
      <c r="I289" s="6">
        <v>45367</v>
      </c>
      <c r="J289" s="6">
        <v>46168</v>
      </c>
      <c r="K289">
        <v>71</v>
      </c>
      <c r="L289">
        <v>10</v>
      </c>
      <c r="M289">
        <v>49</v>
      </c>
      <c r="N289" s="8">
        <v>1.5</v>
      </c>
      <c r="O289">
        <v>66</v>
      </c>
      <c r="P289">
        <v>43</v>
      </c>
      <c r="Q289" s="3">
        <v>0.06</v>
      </c>
      <c r="R289">
        <f>Inventory_Table[[#This Row],[Stock_Quantity]]*Inventory_Table[[#This Row],[Unit_Price]]</f>
        <v>106.5</v>
      </c>
      <c r="S289">
        <f>Inventory_Table[[#This Row],[Sales_Volume]]*Inventory_Table[[#This Row],[Unit_Price]]</f>
        <v>99</v>
      </c>
      <c r="T289" t="str">
        <f>IF(Inventory_Table[[#This Row],[Stock_Quantity]]&lt;=Inventory_Table[[#This Row],[Reorder_Level]],"REORDER","OK")</f>
        <v>OK</v>
      </c>
      <c r="U289" t="s">
        <v>3838</v>
      </c>
      <c r="V289" s="14">
        <f ca="1">TODAY()-Inventory_Table[[#This Row],[Last_Order_Date]]</f>
        <v>809</v>
      </c>
    </row>
    <row r="290" spans="1:22" x14ac:dyDescent="0.35">
      <c r="A290" t="s">
        <v>356</v>
      </c>
      <c r="B290" t="s">
        <v>18</v>
      </c>
      <c r="C290" t="s">
        <v>490</v>
      </c>
      <c r="D290" t="s">
        <v>1428</v>
      </c>
      <c r="E290" t="s">
        <v>68</v>
      </c>
      <c r="F290" t="s">
        <v>1429</v>
      </c>
      <c r="G290" t="s">
        <v>1430</v>
      </c>
      <c r="H290" s="1">
        <v>46334</v>
      </c>
      <c r="I290" s="6">
        <v>45675</v>
      </c>
      <c r="J290" s="6">
        <v>46292</v>
      </c>
      <c r="K290">
        <v>65</v>
      </c>
      <c r="L290">
        <v>35</v>
      </c>
      <c r="M290">
        <v>3</v>
      </c>
      <c r="N290" s="8">
        <v>3.5</v>
      </c>
      <c r="O290">
        <v>25</v>
      </c>
      <c r="P290">
        <v>13</v>
      </c>
      <c r="Q290" s="3">
        <v>0.35</v>
      </c>
      <c r="R290">
        <f>Inventory_Table[[#This Row],[Stock_Quantity]]*Inventory_Table[[#This Row],[Unit_Price]]</f>
        <v>227.5</v>
      </c>
      <c r="S290">
        <f>Inventory_Table[[#This Row],[Sales_Volume]]*Inventory_Table[[#This Row],[Unit_Price]]</f>
        <v>87.5</v>
      </c>
      <c r="T290" t="str">
        <f>IF(Inventory_Table[[#This Row],[Stock_Quantity]]&lt;=Inventory_Table[[#This Row],[Reorder_Level]],"REORDER","OK")</f>
        <v>OK</v>
      </c>
      <c r="U290" t="s">
        <v>3836</v>
      </c>
      <c r="V290" s="14">
        <f ca="1">TODAY()-Inventory_Table[[#This Row],[Last_Order_Date]]</f>
        <v>501</v>
      </c>
    </row>
    <row r="291" spans="1:22" x14ac:dyDescent="0.35">
      <c r="A291" t="s">
        <v>308</v>
      </c>
      <c r="B291" t="s">
        <v>27</v>
      </c>
      <c r="C291" t="s">
        <v>1432</v>
      </c>
      <c r="D291" t="s">
        <v>1433</v>
      </c>
      <c r="E291" t="s">
        <v>68</v>
      </c>
      <c r="F291" t="s">
        <v>1434</v>
      </c>
      <c r="G291" t="s">
        <v>1435</v>
      </c>
      <c r="H291" s="1">
        <v>46334</v>
      </c>
      <c r="I291" s="6">
        <v>45394</v>
      </c>
      <c r="J291" s="6">
        <v>46177</v>
      </c>
      <c r="K291">
        <v>100</v>
      </c>
      <c r="L291">
        <v>86</v>
      </c>
      <c r="M291">
        <v>94</v>
      </c>
      <c r="N291" s="8">
        <v>6.5</v>
      </c>
      <c r="O291">
        <v>77</v>
      </c>
      <c r="P291">
        <v>57</v>
      </c>
      <c r="Q291" s="3">
        <v>0.48</v>
      </c>
      <c r="R291">
        <f>Inventory_Table[[#This Row],[Stock_Quantity]]*Inventory_Table[[#This Row],[Unit_Price]]</f>
        <v>650</v>
      </c>
      <c r="S291">
        <f>Inventory_Table[[#This Row],[Sales_Volume]]*Inventory_Table[[#This Row],[Unit_Price]]</f>
        <v>500.5</v>
      </c>
      <c r="T291" t="str">
        <f>IF(Inventory_Table[[#This Row],[Stock_Quantity]]&lt;=Inventory_Table[[#This Row],[Reorder_Level]],"REORDER","OK")</f>
        <v>OK</v>
      </c>
      <c r="U291" t="s">
        <v>3837</v>
      </c>
      <c r="V291" s="14">
        <f ca="1">TODAY()-Inventory_Table[[#This Row],[Last_Order_Date]]</f>
        <v>782</v>
      </c>
    </row>
    <row r="292" spans="1:22" x14ac:dyDescent="0.35">
      <c r="A292" t="s">
        <v>532</v>
      </c>
      <c r="B292" t="s">
        <v>75</v>
      </c>
      <c r="C292" t="s">
        <v>1436</v>
      </c>
      <c r="D292" t="s">
        <v>1437</v>
      </c>
      <c r="E292" t="s">
        <v>21</v>
      </c>
      <c r="F292" t="s">
        <v>1438</v>
      </c>
      <c r="G292" t="s">
        <v>1439</v>
      </c>
      <c r="H292" s="1">
        <v>46335</v>
      </c>
      <c r="I292" s="6">
        <v>45399</v>
      </c>
      <c r="J292" s="6">
        <v>46111</v>
      </c>
      <c r="K292">
        <v>58</v>
      </c>
      <c r="L292">
        <v>77</v>
      </c>
      <c r="M292">
        <v>96</v>
      </c>
      <c r="N292" s="8">
        <v>18</v>
      </c>
      <c r="O292">
        <v>25</v>
      </c>
      <c r="P292">
        <v>17</v>
      </c>
      <c r="Q292" s="3">
        <v>0.26</v>
      </c>
      <c r="R292">
        <f>Inventory_Table[[#This Row],[Stock_Quantity]]*Inventory_Table[[#This Row],[Unit_Price]]</f>
        <v>1044</v>
      </c>
      <c r="S292">
        <f>Inventory_Table[[#This Row],[Sales_Volume]]*Inventory_Table[[#This Row],[Unit_Price]]</f>
        <v>450</v>
      </c>
      <c r="T292" t="str">
        <f>IF(Inventory_Table[[#This Row],[Stock_Quantity]]&lt;=Inventory_Table[[#This Row],[Reorder_Level]],"REORDER","OK")</f>
        <v>REORDER</v>
      </c>
      <c r="U292" t="s">
        <v>3838</v>
      </c>
      <c r="V292" s="14">
        <f ca="1">TODAY()-Inventory_Table[[#This Row],[Last_Order_Date]]</f>
        <v>777</v>
      </c>
    </row>
    <row r="293" spans="1:22" x14ac:dyDescent="0.35">
      <c r="A293" t="s">
        <v>1440</v>
      </c>
      <c r="B293" t="s">
        <v>18</v>
      </c>
      <c r="C293" t="s">
        <v>1441</v>
      </c>
      <c r="D293" t="s">
        <v>1442</v>
      </c>
      <c r="E293" t="s">
        <v>68</v>
      </c>
      <c r="F293" t="s">
        <v>1443</v>
      </c>
      <c r="G293" t="s">
        <v>1444</v>
      </c>
      <c r="H293" s="1">
        <v>46335</v>
      </c>
      <c r="I293" s="6">
        <v>45667</v>
      </c>
      <c r="J293" s="6">
        <v>46359</v>
      </c>
      <c r="K293">
        <v>75</v>
      </c>
      <c r="L293">
        <v>10</v>
      </c>
      <c r="M293">
        <v>68</v>
      </c>
      <c r="N293" s="8">
        <v>3</v>
      </c>
      <c r="O293">
        <v>90</v>
      </c>
      <c r="P293">
        <v>42</v>
      </c>
      <c r="Q293" s="3">
        <v>0.32</v>
      </c>
      <c r="R293">
        <f>Inventory_Table[[#This Row],[Stock_Quantity]]*Inventory_Table[[#This Row],[Unit_Price]]</f>
        <v>225</v>
      </c>
      <c r="S293">
        <f>Inventory_Table[[#This Row],[Sales_Volume]]*Inventory_Table[[#This Row],[Unit_Price]]</f>
        <v>270</v>
      </c>
      <c r="T293" t="str">
        <f>IF(Inventory_Table[[#This Row],[Stock_Quantity]]&lt;=Inventory_Table[[#This Row],[Reorder_Level]],"REORDER","OK")</f>
        <v>OK</v>
      </c>
      <c r="U293" t="s">
        <v>3836</v>
      </c>
      <c r="V293" s="14">
        <f ca="1">TODAY()-Inventory_Table[[#This Row],[Last_Order_Date]]</f>
        <v>509</v>
      </c>
    </row>
    <row r="294" spans="1:22" x14ac:dyDescent="0.35">
      <c r="A294" t="s">
        <v>83</v>
      </c>
      <c r="B294" t="s">
        <v>36</v>
      </c>
      <c r="C294" t="s">
        <v>1445</v>
      </c>
      <c r="D294" t="s">
        <v>1446</v>
      </c>
      <c r="E294" t="s">
        <v>68</v>
      </c>
      <c r="F294" t="s">
        <v>1447</v>
      </c>
      <c r="G294" t="s">
        <v>1448</v>
      </c>
      <c r="H294" s="1">
        <v>46335</v>
      </c>
      <c r="I294" s="6">
        <v>45440</v>
      </c>
      <c r="J294" s="6">
        <v>46186</v>
      </c>
      <c r="K294">
        <v>69</v>
      </c>
      <c r="L294">
        <v>53</v>
      </c>
      <c r="M294">
        <v>32</v>
      </c>
      <c r="N294" s="8">
        <v>9.1999999999999993</v>
      </c>
      <c r="O294">
        <v>28</v>
      </c>
      <c r="P294">
        <v>56</v>
      </c>
      <c r="Q294" s="3">
        <v>0.53</v>
      </c>
      <c r="R294">
        <f>Inventory_Table[[#This Row],[Stock_Quantity]]*Inventory_Table[[#This Row],[Unit_Price]]</f>
        <v>634.79999999999995</v>
      </c>
      <c r="S294">
        <f>Inventory_Table[[#This Row],[Sales_Volume]]*Inventory_Table[[#This Row],[Unit_Price]]</f>
        <v>257.59999999999997</v>
      </c>
      <c r="T294" t="str">
        <f>IF(Inventory_Table[[#This Row],[Stock_Quantity]]&lt;=Inventory_Table[[#This Row],[Reorder_Level]],"REORDER","OK")</f>
        <v>OK</v>
      </c>
      <c r="U294" t="s">
        <v>3837</v>
      </c>
      <c r="V294" s="14">
        <f ca="1">TODAY()-Inventory_Table[[#This Row],[Last_Order_Date]]</f>
        <v>736</v>
      </c>
    </row>
    <row r="295" spans="1:22" x14ac:dyDescent="0.35">
      <c r="A295" t="s">
        <v>283</v>
      </c>
      <c r="B295" t="s">
        <v>163</v>
      </c>
      <c r="C295" t="s">
        <v>51</v>
      </c>
      <c r="D295" t="s">
        <v>1449</v>
      </c>
      <c r="E295" t="s">
        <v>30</v>
      </c>
      <c r="F295" t="s">
        <v>1450</v>
      </c>
      <c r="G295" t="s">
        <v>1451</v>
      </c>
      <c r="H295" s="1">
        <v>46335</v>
      </c>
      <c r="I295" s="6">
        <v>45489</v>
      </c>
      <c r="J295" s="6">
        <v>46078</v>
      </c>
      <c r="K295">
        <v>59</v>
      </c>
      <c r="L295">
        <v>62</v>
      </c>
      <c r="M295">
        <v>57</v>
      </c>
      <c r="N295" s="8">
        <v>10.3</v>
      </c>
      <c r="O295">
        <v>90</v>
      </c>
      <c r="P295">
        <v>94</v>
      </c>
      <c r="Q295" s="3">
        <v>-1</v>
      </c>
      <c r="R295">
        <f>Inventory_Table[[#This Row],[Stock_Quantity]]*Inventory_Table[[#This Row],[Unit_Price]]</f>
        <v>607.70000000000005</v>
      </c>
      <c r="S295">
        <f>Inventory_Table[[#This Row],[Sales_Volume]]*Inventory_Table[[#This Row],[Unit_Price]]</f>
        <v>927.00000000000011</v>
      </c>
      <c r="T295" t="str">
        <f>IF(Inventory_Table[[#This Row],[Stock_Quantity]]&lt;=Inventory_Table[[#This Row],[Reorder_Level]],"REORDER","OK")</f>
        <v>REORDER</v>
      </c>
      <c r="U295" t="s">
        <v>3838</v>
      </c>
      <c r="V295" s="14">
        <f ca="1">TODAY()-Inventory_Table[[#This Row],[Last_Order_Date]]</f>
        <v>687</v>
      </c>
    </row>
    <row r="296" spans="1:22" x14ac:dyDescent="0.35">
      <c r="A296" t="s">
        <v>916</v>
      </c>
      <c r="B296" t="s">
        <v>114</v>
      </c>
      <c r="C296" t="s">
        <v>1454</v>
      </c>
      <c r="D296" t="s">
        <v>1455</v>
      </c>
      <c r="E296" t="s">
        <v>68</v>
      </c>
      <c r="F296" t="s">
        <v>1456</v>
      </c>
      <c r="G296" t="s">
        <v>1457</v>
      </c>
      <c r="H296" s="1">
        <v>46336</v>
      </c>
      <c r="I296" s="6">
        <v>45472</v>
      </c>
      <c r="J296" s="6">
        <v>46341</v>
      </c>
      <c r="K296">
        <v>34</v>
      </c>
      <c r="L296">
        <v>55</v>
      </c>
      <c r="M296">
        <v>22</v>
      </c>
      <c r="N296" s="8">
        <v>5</v>
      </c>
      <c r="O296">
        <v>77</v>
      </c>
      <c r="P296">
        <v>85</v>
      </c>
      <c r="Q296" s="3">
        <v>-0.04</v>
      </c>
      <c r="R296">
        <f>Inventory_Table[[#This Row],[Stock_Quantity]]*Inventory_Table[[#This Row],[Unit_Price]]</f>
        <v>170</v>
      </c>
      <c r="S296">
        <f>Inventory_Table[[#This Row],[Sales_Volume]]*Inventory_Table[[#This Row],[Unit_Price]]</f>
        <v>385</v>
      </c>
      <c r="T296" t="str">
        <f>IF(Inventory_Table[[#This Row],[Stock_Quantity]]&lt;=Inventory_Table[[#This Row],[Reorder_Level]],"REORDER","OK")</f>
        <v>REORDER</v>
      </c>
      <c r="U296" t="s">
        <v>3836</v>
      </c>
      <c r="V296" s="14">
        <f ca="1">TODAY()-Inventory_Table[[#This Row],[Last_Order_Date]]</f>
        <v>704</v>
      </c>
    </row>
    <row r="297" spans="1:22" x14ac:dyDescent="0.35">
      <c r="A297" t="s">
        <v>880</v>
      </c>
      <c r="B297" t="s">
        <v>27</v>
      </c>
      <c r="C297" t="s">
        <v>937</v>
      </c>
      <c r="D297" t="s">
        <v>1458</v>
      </c>
      <c r="E297" t="s">
        <v>30</v>
      </c>
      <c r="F297" t="s">
        <v>1459</v>
      </c>
      <c r="G297" t="s">
        <v>1460</v>
      </c>
      <c r="H297" s="1">
        <v>46336</v>
      </c>
      <c r="I297" s="6">
        <v>45588</v>
      </c>
      <c r="J297" s="6">
        <v>46386</v>
      </c>
      <c r="K297">
        <v>19</v>
      </c>
      <c r="L297">
        <v>80</v>
      </c>
      <c r="M297">
        <v>87</v>
      </c>
      <c r="N297" s="8">
        <v>2.2999999999999998</v>
      </c>
      <c r="O297">
        <v>33</v>
      </c>
      <c r="P297">
        <v>38</v>
      </c>
      <c r="Q297" s="3">
        <v>-0.1</v>
      </c>
      <c r="R297">
        <f>Inventory_Table[[#This Row],[Stock_Quantity]]*Inventory_Table[[#This Row],[Unit_Price]]</f>
        <v>43.699999999999996</v>
      </c>
      <c r="S297">
        <f>Inventory_Table[[#This Row],[Sales_Volume]]*Inventory_Table[[#This Row],[Unit_Price]]</f>
        <v>75.899999999999991</v>
      </c>
      <c r="T297" t="str">
        <f>IF(Inventory_Table[[#This Row],[Stock_Quantity]]&lt;=Inventory_Table[[#This Row],[Reorder_Level]],"REORDER","OK")</f>
        <v>REORDER</v>
      </c>
      <c r="U297" t="s">
        <v>3836</v>
      </c>
      <c r="V297" s="14">
        <f ca="1">TODAY()-Inventory_Table[[#This Row],[Last_Order_Date]]</f>
        <v>588</v>
      </c>
    </row>
    <row r="298" spans="1:22" x14ac:dyDescent="0.35">
      <c r="A298" t="s">
        <v>861</v>
      </c>
      <c r="B298" t="s">
        <v>36</v>
      </c>
      <c r="C298" t="s">
        <v>143</v>
      </c>
      <c r="D298" t="s">
        <v>1462</v>
      </c>
      <c r="E298" t="s">
        <v>30</v>
      </c>
      <c r="F298" t="s">
        <v>1463</v>
      </c>
      <c r="G298" t="s">
        <v>1464</v>
      </c>
      <c r="H298" s="1">
        <v>46337</v>
      </c>
      <c r="I298" s="6">
        <v>45550</v>
      </c>
      <c r="J298" s="6">
        <v>46205</v>
      </c>
      <c r="K298">
        <v>97</v>
      </c>
      <c r="L298">
        <v>77</v>
      </c>
      <c r="M298">
        <v>13</v>
      </c>
      <c r="N298" s="8">
        <v>7</v>
      </c>
      <c r="O298">
        <v>43</v>
      </c>
      <c r="P298">
        <v>40</v>
      </c>
      <c r="Q298" s="3">
        <v>-0.15</v>
      </c>
      <c r="R298">
        <f>Inventory_Table[[#This Row],[Stock_Quantity]]*Inventory_Table[[#This Row],[Unit_Price]]</f>
        <v>679</v>
      </c>
      <c r="S298">
        <f>Inventory_Table[[#This Row],[Sales_Volume]]*Inventory_Table[[#This Row],[Unit_Price]]</f>
        <v>301</v>
      </c>
      <c r="T298" t="str">
        <f>IF(Inventory_Table[[#This Row],[Stock_Quantity]]&lt;=Inventory_Table[[#This Row],[Reorder_Level]],"REORDER","OK")</f>
        <v>OK</v>
      </c>
      <c r="U298" t="s">
        <v>3836</v>
      </c>
      <c r="V298" s="14">
        <f ca="1">TODAY()-Inventory_Table[[#This Row],[Last_Order_Date]]</f>
        <v>626</v>
      </c>
    </row>
    <row r="299" spans="1:22" x14ac:dyDescent="0.35">
      <c r="A299" t="s">
        <v>750</v>
      </c>
      <c r="B299" t="s">
        <v>36</v>
      </c>
      <c r="C299" t="s">
        <v>424</v>
      </c>
      <c r="D299" t="s">
        <v>1465</v>
      </c>
      <c r="E299" t="s">
        <v>68</v>
      </c>
      <c r="F299" t="s">
        <v>1466</v>
      </c>
      <c r="G299" t="s">
        <v>1467</v>
      </c>
      <c r="H299" s="1">
        <v>46337</v>
      </c>
      <c r="I299" s="6">
        <v>45484</v>
      </c>
      <c r="J299" s="6">
        <v>46109</v>
      </c>
      <c r="K299">
        <v>70</v>
      </c>
      <c r="L299">
        <v>66</v>
      </c>
      <c r="M299">
        <v>74</v>
      </c>
      <c r="N299" s="8">
        <v>2.5</v>
      </c>
      <c r="O299">
        <v>47</v>
      </c>
      <c r="P299">
        <v>77</v>
      </c>
      <c r="Q299" s="3">
        <v>7.0000000000000007E-2</v>
      </c>
      <c r="R299">
        <f>Inventory_Table[[#This Row],[Stock_Quantity]]*Inventory_Table[[#This Row],[Unit_Price]]</f>
        <v>175</v>
      </c>
      <c r="S299">
        <f>Inventory_Table[[#This Row],[Sales_Volume]]*Inventory_Table[[#This Row],[Unit_Price]]</f>
        <v>117.5</v>
      </c>
      <c r="T299" t="str">
        <f>IF(Inventory_Table[[#This Row],[Stock_Quantity]]&lt;=Inventory_Table[[#This Row],[Reorder_Level]],"REORDER","OK")</f>
        <v>OK</v>
      </c>
      <c r="U299" t="s">
        <v>3838</v>
      </c>
      <c r="V299" s="14">
        <f ca="1">TODAY()-Inventory_Table[[#This Row],[Last_Order_Date]]</f>
        <v>692</v>
      </c>
    </row>
    <row r="300" spans="1:22" x14ac:dyDescent="0.35">
      <c r="A300" t="s">
        <v>653</v>
      </c>
      <c r="B300" t="s">
        <v>163</v>
      </c>
      <c r="C300" t="s">
        <v>1271</v>
      </c>
      <c r="D300" t="s">
        <v>1468</v>
      </c>
      <c r="E300" t="s">
        <v>30</v>
      </c>
      <c r="F300" t="s">
        <v>1469</v>
      </c>
      <c r="G300" t="s">
        <v>1470</v>
      </c>
      <c r="H300" s="1">
        <v>46338</v>
      </c>
      <c r="I300" s="6">
        <v>45511</v>
      </c>
      <c r="J300" s="6">
        <v>46160</v>
      </c>
      <c r="K300">
        <v>36</v>
      </c>
      <c r="L300">
        <v>90</v>
      </c>
      <c r="M300">
        <v>57</v>
      </c>
      <c r="N300" s="8">
        <v>25</v>
      </c>
      <c r="O300">
        <v>35</v>
      </c>
      <c r="P300">
        <v>68</v>
      </c>
      <c r="Q300" s="3">
        <v>-0.64</v>
      </c>
      <c r="R300">
        <f>Inventory_Table[[#This Row],[Stock_Quantity]]*Inventory_Table[[#This Row],[Unit_Price]]</f>
        <v>900</v>
      </c>
      <c r="S300">
        <f>Inventory_Table[[#This Row],[Sales_Volume]]*Inventory_Table[[#This Row],[Unit_Price]]</f>
        <v>875</v>
      </c>
      <c r="T300" t="str">
        <f>IF(Inventory_Table[[#This Row],[Stock_Quantity]]&lt;=Inventory_Table[[#This Row],[Reorder_Level]],"REORDER","OK")</f>
        <v>REORDER</v>
      </c>
      <c r="U300" t="s">
        <v>3838</v>
      </c>
      <c r="V300" s="14">
        <f ca="1">TODAY()-Inventory_Table[[#This Row],[Last_Order_Date]]</f>
        <v>665</v>
      </c>
    </row>
    <row r="301" spans="1:22" x14ac:dyDescent="0.35">
      <c r="A301" t="s">
        <v>503</v>
      </c>
      <c r="B301" t="s">
        <v>27</v>
      </c>
      <c r="C301" t="s">
        <v>1133</v>
      </c>
      <c r="D301" t="s">
        <v>1472</v>
      </c>
      <c r="E301" t="s">
        <v>21</v>
      </c>
      <c r="F301" t="s">
        <v>1473</v>
      </c>
      <c r="G301" t="s">
        <v>1474</v>
      </c>
      <c r="H301" s="1">
        <v>46338</v>
      </c>
      <c r="I301" s="6">
        <v>45593</v>
      </c>
      <c r="J301" s="6">
        <v>46365</v>
      </c>
      <c r="K301">
        <v>88</v>
      </c>
      <c r="L301">
        <v>100</v>
      </c>
      <c r="M301">
        <v>17</v>
      </c>
      <c r="N301" s="8">
        <v>2.5</v>
      </c>
      <c r="O301">
        <v>25</v>
      </c>
      <c r="P301">
        <v>28</v>
      </c>
      <c r="Q301" s="3">
        <v>-0.94</v>
      </c>
      <c r="R301">
        <f>Inventory_Table[[#This Row],[Stock_Quantity]]*Inventory_Table[[#This Row],[Unit_Price]]</f>
        <v>220</v>
      </c>
      <c r="S301">
        <f>Inventory_Table[[#This Row],[Sales_Volume]]*Inventory_Table[[#This Row],[Unit_Price]]</f>
        <v>62.5</v>
      </c>
      <c r="T301" t="str">
        <f>IF(Inventory_Table[[#This Row],[Stock_Quantity]]&lt;=Inventory_Table[[#This Row],[Reorder_Level]],"REORDER","OK")</f>
        <v>REORDER</v>
      </c>
      <c r="U301" t="s">
        <v>3836</v>
      </c>
      <c r="V301" s="14">
        <f ca="1">TODAY()-Inventory_Table[[#This Row],[Last_Order_Date]]</f>
        <v>583</v>
      </c>
    </row>
    <row r="302" spans="1:22" x14ac:dyDescent="0.35">
      <c r="A302" t="s">
        <v>106</v>
      </c>
      <c r="B302" t="s">
        <v>18</v>
      </c>
      <c r="C302" t="s">
        <v>377</v>
      </c>
      <c r="D302" t="s">
        <v>1475</v>
      </c>
      <c r="E302" t="s">
        <v>30</v>
      </c>
      <c r="F302" t="s">
        <v>1476</v>
      </c>
      <c r="G302" t="s">
        <v>1477</v>
      </c>
      <c r="H302" s="1">
        <v>46338</v>
      </c>
      <c r="I302" s="6">
        <v>45521</v>
      </c>
      <c r="J302" s="6">
        <v>46263</v>
      </c>
      <c r="K302">
        <v>75</v>
      </c>
      <c r="L302">
        <v>48</v>
      </c>
      <c r="M302">
        <v>25</v>
      </c>
      <c r="N302" s="8">
        <v>3</v>
      </c>
      <c r="O302">
        <v>96</v>
      </c>
      <c r="P302">
        <v>65</v>
      </c>
      <c r="Q302" s="3">
        <v>-0.12</v>
      </c>
      <c r="R302">
        <f>Inventory_Table[[#This Row],[Stock_Quantity]]*Inventory_Table[[#This Row],[Unit_Price]]</f>
        <v>225</v>
      </c>
      <c r="S302">
        <f>Inventory_Table[[#This Row],[Sales_Volume]]*Inventory_Table[[#This Row],[Unit_Price]]</f>
        <v>288</v>
      </c>
      <c r="T302" t="str">
        <f>IF(Inventory_Table[[#This Row],[Stock_Quantity]]&lt;=Inventory_Table[[#This Row],[Reorder_Level]],"REORDER","OK")</f>
        <v>OK</v>
      </c>
      <c r="U302" t="s">
        <v>3836</v>
      </c>
      <c r="V302" s="14">
        <f ca="1">TODAY()-Inventory_Table[[#This Row],[Last_Order_Date]]</f>
        <v>655</v>
      </c>
    </row>
    <row r="303" spans="1:22" x14ac:dyDescent="0.35">
      <c r="A303" t="s">
        <v>200</v>
      </c>
      <c r="B303" t="s">
        <v>163</v>
      </c>
      <c r="C303" t="s">
        <v>1478</v>
      </c>
      <c r="D303" t="s">
        <v>1479</v>
      </c>
      <c r="E303" t="s">
        <v>68</v>
      </c>
      <c r="F303" t="s">
        <v>1480</v>
      </c>
      <c r="G303" t="s">
        <v>1481</v>
      </c>
      <c r="H303" s="1">
        <v>46359</v>
      </c>
      <c r="I303" s="6">
        <v>45700</v>
      </c>
      <c r="J303" s="6">
        <v>46354</v>
      </c>
      <c r="K303">
        <v>62</v>
      </c>
      <c r="L303">
        <v>89</v>
      </c>
      <c r="M303">
        <v>18</v>
      </c>
      <c r="N303" s="8">
        <v>12</v>
      </c>
      <c r="O303">
        <v>35</v>
      </c>
      <c r="P303">
        <v>36</v>
      </c>
      <c r="Q303" s="3">
        <v>0.32</v>
      </c>
      <c r="R303">
        <f>Inventory_Table[[#This Row],[Stock_Quantity]]*Inventory_Table[[#This Row],[Unit_Price]]</f>
        <v>744</v>
      </c>
      <c r="S303">
        <f>Inventory_Table[[#This Row],[Sales_Volume]]*Inventory_Table[[#This Row],[Unit_Price]]</f>
        <v>420</v>
      </c>
      <c r="T303" t="str">
        <f>IF(Inventory_Table[[#This Row],[Stock_Quantity]]&lt;=Inventory_Table[[#This Row],[Reorder_Level]],"REORDER","OK")</f>
        <v>REORDER</v>
      </c>
      <c r="U303" t="s">
        <v>3836</v>
      </c>
      <c r="V303" s="14">
        <f ca="1">TODAY()-Inventory_Table[[#This Row],[Last_Order_Date]]</f>
        <v>476</v>
      </c>
    </row>
    <row r="304" spans="1:22" x14ac:dyDescent="0.35">
      <c r="A304" t="s">
        <v>122</v>
      </c>
      <c r="B304" t="s">
        <v>18</v>
      </c>
      <c r="C304" t="s">
        <v>178</v>
      </c>
      <c r="D304" t="s">
        <v>1483</v>
      </c>
      <c r="E304" t="s">
        <v>30</v>
      </c>
      <c r="F304" t="s">
        <v>1484</v>
      </c>
      <c r="G304" t="s">
        <v>1485</v>
      </c>
      <c r="H304" s="1">
        <v>46359</v>
      </c>
      <c r="I304" s="6">
        <v>45515</v>
      </c>
      <c r="J304" s="6">
        <v>46185</v>
      </c>
      <c r="K304">
        <v>19</v>
      </c>
      <c r="L304">
        <v>73</v>
      </c>
      <c r="M304">
        <v>60</v>
      </c>
      <c r="N304" s="8">
        <v>2.4500000000000002</v>
      </c>
      <c r="O304">
        <v>70</v>
      </c>
      <c r="P304">
        <v>48</v>
      </c>
      <c r="Q304" s="3">
        <v>-0.03</v>
      </c>
      <c r="R304">
        <f>Inventory_Table[[#This Row],[Stock_Quantity]]*Inventory_Table[[#This Row],[Unit_Price]]</f>
        <v>46.550000000000004</v>
      </c>
      <c r="S304">
        <f>Inventory_Table[[#This Row],[Sales_Volume]]*Inventory_Table[[#This Row],[Unit_Price]]</f>
        <v>171.5</v>
      </c>
      <c r="T304" t="str">
        <f>IF(Inventory_Table[[#This Row],[Stock_Quantity]]&lt;=Inventory_Table[[#This Row],[Reorder_Level]],"REORDER","OK")</f>
        <v>REORDER</v>
      </c>
      <c r="U304" t="s">
        <v>3837</v>
      </c>
      <c r="V304" s="14">
        <f ca="1">TODAY()-Inventory_Table[[#This Row],[Last_Order_Date]]</f>
        <v>661</v>
      </c>
    </row>
    <row r="305" spans="1:22" x14ac:dyDescent="0.35">
      <c r="A305" t="s">
        <v>690</v>
      </c>
      <c r="B305" t="s">
        <v>36</v>
      </c>
      <c r="C305" t="s">
        <v>1202</v>
      </c>
      <c r="D305" t="s">
        <v>1486</v>
      </c>
      <c r="E305" t="s">
        <v>21</v>
      </c>
      <c r="F305" t="s">
        <v>1487</v>
      </c>
      <c r="G305" t="s">
        <v>1488</v>
      </c>
      <c r="H305" s="1">
        <v>46360</v>
      </c>
      <c r="I305" s="6">
        <v>45676</v>
      </c>
      <c r="J305" s="6">
        <v>46207</v>
      </c>
      <c r="K305">
        <v>35</v>
      </c>
      <c r="L305">
        <v>78</v>
      </c>
      <c r="M305">
        <v>68</v>
      </c>
      <c r="N305" s="8">
        <v>2.5</v>
      </c>
      <c r="O305">
        <v>95</v>
      </c>
      <c r="P305">
        <v>91</v>
      </c>
      <c r="Q305" s="3">
        <v>0.31</v>
      </c>
      <c r="R305">
        <f>Inventory_Table[[#This Row],[Stock_Quantity]]*Inventory_Table[[#This Row],[Unit_Price]]</f>
        <v>87.5</v>
      </c>
      <c r="S305">
        <f>Inventory_Table[[#This Row],[Sales_Volume]]*Inventory_Table[[#This Row],[Unit_Price]]</f>
        <v>237.5</v>
      </c>
      <c r="T305" t="str">
        <f>IF(Inventory_Table[[#This Row],[Stock_Quantity]]&lt;=Inventory_Table[[#This Row],[Reorder_Level]],"REORDER","OK")</f>
        <v>REORDER</v>
      </c>
      <c r="U305" t="s">
        <v>3836</v>
      </c>
      <c r="V305" s="14">
        <f ca="1">TODAY()-Inventory_Table[[#This Row],[Last_Order_Date]]</f>
        <v>500</v>
      </c>
    </row>
    <row r="306" spans="1:22" x14ac:dyDescent="0.35">
      <c r="A306" t="s">
        <v>1311</v>
      </c>
      <c r="B306" t="s">
        <v>36</v>
      </c>
      <c r="C306" t="s">
        <v>460</v>
      </c>
      <c r="D306" t="s">
        <v>1489</v>
      </c>
      <c r="E306" t="s">
        <v>30</v>
      </c>
      <c r="F306" t="s">
        <v>1490</v>
      </c>
      <c r="G306" t="s">
        <v>1491</v>
      </c>
      <c r="H306" s="1">
        <v>46361</v>
      </c>
      <c r="I306" s="6">
        <v>45527</v>
      </c>
      <c r="J306" s="6">
        <v>46159</v>
      </c>
      <c r="K306">
        <v>50</v>
      </c>
      <c r="L306">
        <v>99</v>
      </c>
      <c r="M306">
        <v>73</v>
      </c>
      <c r="N306" s="8">
        <v>8</v>
      </c>
      <c r="O306">
        <v>42</v>
      </c>
      <c r="P306">
        <v>1</v>
      </c>
      <c r="Q306" s="3">
        <v>0.04</v>
      </c>
      <c r="R306">
        <f>Inventory_Table[[#This Row],[Stock_Quantity]]*Inventory_Table[[#This Row],[Unit_Price]]</f>
        <v>400</v>
      </c>
      <c r="S306">
        <f>Inventory_Table[[#This Row],[Sales_Volume]]*Inventory_Table[[#This Row],[Unit_Price]]</f>
        <v>336</v>
      </c>
      <c r="T306" t="str">
        <f>IF(Inventory_Table[[#This Row],[Stock_Quantity]]&lt;=Inventory_Table[[#This Row],[Reorder_Level]],"REORDER","OK")</f>
        <v>REORDER</v>
      </c>
      <c r="U306" t="s">
        <v>3838</v>
      </c>
      <c r="V306" s="14">
        <f ca="1">TODAY()-Inventory_Table[[#This Row],[Last_Order_Date]]</f>
        <v>649</v>
      </c>
    </row>
    <row r="307" spans="1:22" x14ac:dyDescent="0.35">
      <c r="A307" t="s">
        <v>793</v>
      </c>
      <c r="B307" t="s">
        <v>75</v>
      </c>
      <c r="C307" t="s">
        <v>1493</v>
      </c>
      <c r="D307" t="s">
        <v>1494</v>
      </c>
      <c r="E307" t="s">
        <v>21</v>
      </c>
      <c r="F307" t="s">
        <v>1495</v>
      </c>
      <c r="G307" t="s">
        <v>1496</v>
      </c>
      <c r="H307" s="1">
        <v>46361</v>
      </c>
      <c r="I307" s="6">
        <v>45568</v>
      </c>
      <c r="J307" s="6">
        <v>46172</v>
      </c>
      <c r="K307">
        <v>65</v>
      </c>
      <c r="L307">
        <v>79</v>
      </c>
      <c r="M307">
        <v>52</v>
      </c>
      <c r="N307" s="8">
        <v>8</v>
      </c>
      <c r="O307">
        <v>56</v>
      </c>
      <c r="P307">
        <v>94</v>
      </c>
      <c r="Q307" s="3">
        <v>0.98</v>
      </c>
      <c r="R307">
        <f>Inventory_Table[[#This Row],[Stock_Quantity]]*Inventory_Table[[#This Row],[Unit_Price]]</f>
        <v>520</v>
      </c>
      <c r="S307">
        <f>Inventory_Table[[#This Row],[Sales_Volume]]*Inventory_Table[[#This Row],[Unit_Price]]</f>
        <v>448</v>
      </c>
      <c r="T307" t="str">
        <f>IF(Inventory_Table[[#This Row],[Stock_Quantity]]&lt;=Inventory_Table[[#This Row],[Reorder_Level]],"REORDER","OK")</f>
        <v>REORDER</v>
      </c>
      <c r="U307" t="s">
        <v>3838</v>
      </c>
      <c r="V307" s="14">
        <f ca="1">TODAY()-Inventory_Table[[#This Row],[Last_Order_Date]]</f>
        <v>608</v>
      </c>
    </row>
    <row r="308" spans="1:22" x14ac:dyDescent="0.35">
      <c r="A308" t="s">
        <v>640</v>
      </c>
      <c r="B308" t="s">
        <v>163</v>
      </c>
      <c r="C308" t="s">
        <v>1497</v>
      </c>
      <c r="D308" t="s">
        <v>1498</v>
      </c>
      <c r="E308" t="s">
        <v>68</v>
      </c>
      <c r="F308" t="s">
        <v>1499</v>
      </c>
      <c r="G308" t="s">
        <v>1500</v>
      </c>
      <c r="H308" s="1">
        <v>46361</v>
      </c>
      <c r="I308" s="6">
        <v>45413</v>
      </c>
      <c r="J308" s="6">
        <v>46197</v>
      </c>
      <c r="K308">
        <v>18</v>
      </c>
      <c r="L308">
        <v>36</v>
      </c>
      <c r="M308">
        <v>53</v>
      </c>
      <c r="N308" s="8">
        <v>5.3</v>
      </c>
      <c r="O308">
        <v>65</v>
      </c>
      <c r="P308">
        <v>100</v>
      </c>
      <c r="Q308" s="3">
        <v>-0.68</v>
      </c>
      <c r="R308">
        <f>Inventory_Table[[#This Row],[Stock_Quantity]]*Inventory_Table[[#This Row],[Unit_Price]]</f>
        <v>95.399999999999991</v>
      </c>
      <c r="S308">
        <f>Inventory_Table[[#This Row],[Sales_Volume]]*Inventory_Table[[#This Row],[Unit_Price]]</f>
        <v>344.5</v>
      </c>
      <c r="T308" t="str">
        <f>IF(Inventory_Table[[#This Row],[Stock_Quantity]]&lt;=Inventory_Table[[#This Row],[Reorder_Level]],"REORDER","OK")</f>
        <v>REORDER</v>
      </c>
      <c r="U308" t="s">
        <v>3837</v>
      </c>
      <c r="V308" s="14">
        <f ca="1">TODAY()-Inventory_Table[[#This Row],[Last_Order_Date]]</f>
        <v>763</v>
      </c>
    </row>
    <row r="309" spans="1:22" x14ac:dyDescent="0.35">
      <c r="A309" t="s">
        <v>1502</v>
      </c>
      <c r="B309" t="s">
        <v>114</v>
      </c>
      <c r="C309" t="s">
        <v>899</v>
      </c>
      <c r="D309" t="s">
        <v>1503</v>
      </c>
      <c r="E309" t="s">
        <v>21</v>
      </c>
      <c r="F309" t="s">
        <v>1504</v>
      </c>
      <c r="G309" t="s">
        <v>1505</v>
      </c>
      <c r="H309" s="1">
        <v>46361</v>
      </c>
      <c r="I309" s="6">
        <v>45468</v>
      </c>
      <c r="J309" s="6">
        <v>46248</v>
      </c>
      <c r="K309">
        <v>89</v>
      </c>
      <c r="L309">
        <v>22</v>
      </c>
      <c r="M309">
        <v>23</v>
      </c>
      <c r="N309" s="8">
        <v>5.5</v>
      </c>
      <c r="O309">
        <v>83</v>
      </c>
      <c r="P309">
        <v>25</v>
      </c>
      <c r="Q309" s="3">
        <v>-0.54</v>
      </c>
      <c r="R309">
        <f>Inventory_Table[[#This Row],[Stock_Quantity]]*Inventory_Table[[#This Row],[Unit_Price]]</f>
        <v>489.5</v>
      </c>
      <c r="S309">
        <f>Inventory_Table[[#This Row],[Sales_Volume]]*Inventory_Table[[#This Row],[Unit_Price]]</f>
        <v>456.5</v>
      </c>
      <c r="T309" t="str">
        <f>IF(Inventory_Table[[#This Row],[Stock_Quantity]]&lt;=Inventory_Table[[#This Row],[Reorder_Level]],"REORDER","OK")</f>
        <v>OK</v>
      </c>
      <c r="U309" t="s">
        <v>3836</v>
      </c>
      <c r="V309" s="14">
        <f ca="1">TODAY()-Inventory_Table[[#This Row],[Last_Order_Date]]</f>
        <v>708</v>
      </c>
    </row>
    <row r="310" spans="1:22" x14ac:dyDescent="0.35">
      <c r="A310" t="s">
        <v>624</v>
      </c>
      <c r="B310" t="s">
        <v>18</v>
      </c>
      <c r="C310" t="s">
        <v>1507</v>
      </c>
      <c r="D310" t="s">
        <v>1508</v>
      </c>
      <c r="E310" t="s">
        <v>21</v>
      </c>
      <c r="F310" t="s">
        <v>1509</v>
      </c>
      <c r="G310" t="s">
        <v>1510</v>
      </c>
      <c r="H310" s="1">
        <v>46362</v>
      </c>
      <c r="I310" s="6">
        <v>45646</v>
      </c>
      <c r="J310" s="6">
        <v>46273</v>
      </c>
      <c r="K310">
        <v>34</v>
      </c>
      <c r="L310">
        <v>1</v>
      </c>
      <c r="M310">
        <v>79</v>
      </c>
      <c r="N310" s="8">
        <v>6.2</v>
      </c>
      <c r="O310">
        <v>58</v>
      </c>
      <c r="P310">
        <v>36</v>
      </c>
      <c r="Q310" s="3">
        <v>0.7</v>
      </c>
      <c r="R310">
        <f>Inventory_Table[[#This Row],[Stock_Quantity]]*Inventory_Table[[#This Row],[Unit_Price]]</f>
        <v>210.8</v>
      </c>
      <c r="S310">
        <f>Inventory_Table[[#This Row],[Sales_Volume]]*Inventory_Table[[#This Row],[Unit_Price]]</f>
        <v>359.6</v>
      </c>
      <c r="T310" t="str">
        <f>IF(Inventory_Table[[#This Row],[Stock_Quantity]]&lt;=Inventory_Table[[#This Row],[Reorder_Level]],"REORDER","OK")</f>
        <v>OK</v>
      </c>
      <c r="U310" t="s">
        <v>3836</v>
      </c>
      <c r="V310" s="14">
        <f ca="1">TODAY()-Inventory_Table[[#This Row],[Last_Order_Date]]</f>
        <v>530</v>
      </c>
    </row>
    <row r="311" spans="1:22" x14ac:dyDescent="0.35">
      <c r="A311" t="s">
        <v>222</v>
      </c>
      <c r="B311" t="s">
        <v>65</v>
      </c>
      <c r="C311" t="s">
        <v>846</v>
      </c>
      <c r="D311" t="s">
        <v>1511</v>
      </c>
      <c r="E311" t="s">
        <v>68</v>
      </c>
      <c r="F311" t="s">
        <v>1512</v>
      </c>
      <c r="G311" t="s">
        <v>1513</v>
      </c>
      <c r="H311" s="1">
        <v>46362</v>
      </c>
      <c r="I311" s="6">
        <v>45558</v>
      </c>
      <c r="J311" s="6">
        <v>46130</v>
      </c>
      <c r="K311">
        <v>87</v>
      </c>
      <c r="L311">
        <v>97</v>
      </c>
      <c r="M311">
        <v>28</v>
      </c>
      <c r="N311" s="8">
        <v>1.5</v>
      </c>
      <c r="O311">
        <v>58</v>
      </c>
      <c r="P311">
        <v>21</v>
      </c>
      <c r="Q311" s="3">
        <v>0.38</v>
      </c>
      <c r="R311">
        <f>Inventory_Table[[#This Row],[Stock_Quantity]]*Inventory_Table[[#This Row],[Unit_Price]]</f>
        <v>130.5</v>
      </c>
      <c r="S311">
        <f>Inventory_Table[[#This Row],[Sales_Volume]]*Inventory_Table[[#This Row],[Unit_Price]]</f>
        <v>87</v>
      </c>
      <c r="T311" t="str">
        <f>IF(Inventory_Table[[#This Row],[Stock_Quantity]]&lt;=Inventory_Table[[#This Row],[Reorder_Level]],"REORDER","OK")</f>
        <v>REORDER</v>
      </c>
      <c r="U311" t="s">
        <v>3838</v>
      </c>
      <c r="V311" s="14">
        <f ca="1">TODAY()-Inventory_Table[[#This Row],[Last_Order_Date]]</f>
        <v>618</v>
      </c>
    </row>
    <row r="312" spans="1:22" x14ac:dyDescent="0.35">
      <c r="A312" t="s">
        <v>880</v>
      </c>
      <c r="B312" t="s">
        <v>27</v>
      </c>
      <c r="C312" t="s">
        <v>332</v>
      </c>
      <c r="D312" t="s">
        <v>1516</v>
      </c>
      <c r="E312" t="s">
        <v>30</v>
      </c>
      <c r="F312" t="s">
        <v>1517</v>
      </c>
      <c r="G312" t="s">
        <v>1518</v>
      </c>
      <c r="H312" s="1">
        <v>46362</v>
      </c>
      <c r="I312" s="6">
        <v>45566</v>
      </c>
      <c r="J312" s="6">
        <v>46391</v>
      </c>
      <c r="K312">
        <v>53</v>
      </c>
      <c r="L312">
        <v>20</v>
      </c>
      <c r="M312">
        <v>75</v>
      </c>
      <c r="N312" s="8">
        <v>2.2999999999999998</v>
      </c>
      <c r="O312">
        <v>83</v>
      </c>
      <c r="P312">
        <v>77</v>
      </c>
      <c r="Q312" s="3">
        <v>0.64</v>
      </c>
      <c r="R312">
        <f>Inventory_Table[[#This Row],[Stock_Quantity]]*Inventory_Table[[#This Row],[Unit_Price]]</f>
        <v>121.89999999999999</v>
      </c>
      <c r="S312">
        <f>Inventory_Table[[#This Row],[Sales_Volume]]*Inventory_Table[[#This Row],[Unit_Price]]</f>
        <v>190.89999999999998</v>
      </c>
      <c r="T312" t="str">
        <f>IF(Inventory_Table[[#This Row],[Stock_Quantity]]&lt;=Inventory_Table[[#This Row],[Reorder_Level]],"REORDER","OK")</f>
        <v>OK</v>
      </c>
      <c r="U312" t="s">
        <v>3836</v>
      </c>
      <c r="V312" s="14">
        <f ca="1">TODAY()-Inventory_Table[[#This Row],[Last_Order_Date]]</f>
        <v>610</v>
      </c>
    </row>
    <row r="313" spans="1:22" x14ac:dyDescent="0.35">
      <c r="A313" t="s">
        <v>893</v>
      </c>
      <c r="B313" t="s">
        <v>65</v>
      </c>
      <c r="C313" t="s">
        <v>1519</v>
      </c>
      <c r="D313" t="s">
        <v>1520</v>
      </c>
      <c r="E313" t="s">
        <v>68</v>
      </c>
      <c r="F313" t="s">
        <v>1521</v>
      </c>
      <c r="G313" t="s">
        <v>1522</v>
      </c>
      <c r="H313" s="1">
        <v>46363</v>
      </c>
      <c r="I313" s="6">
        <v>45497</v>
      </c>
      <c r="J313" s="6">
        <v>46415</v>
      </c>
      <c r="K313">
        <v>56</v>
      </c>
      <c r="L313">
        <v>53</v>
      </c>
      <c r="M313">
        <v>77</v>
      </c>
      <c r="N313" s="8">
        <v>4.5</v>
      </c>
      <c r="O313">
        <v>69</v>
      </c>
      <c r="P313">
        <v>69</v>
      </c>
      <c r="Q313" s="3">
        <v>7.0000000000000007E-2</v>
      </c>
      <c r="R313">
        <f>Inventory_Table[[#This Row],[Stock_Quantity]]*Inventory_Table[[#This Row],[Unit_Price]]</f>
        <v>252</v>
      </c>
      <c r="S313">
        <f>Inventory_Table[[#This Row],[Sales_Volume]]*Inventory_Table[[#This Row],[Unit_Price]]</f>
        <v>310.5</v>
      </c>
      <c r="T313" t="str">
        <f>IF(Inventory_Table[[#This Row],[Stock_Quantity]]&lt;=Inventory_Table[[#This Row],[Reorder_Level]],"REORDER","OK")</f>
        <v>OK</v>
      </c>
      <c r="U313" t="s">
        <v>3836</v>
      </c>
      <c r="V313" s="14">
        <f ca="1">TODAY()-Inventory_Table[[#This Row],[Last_Order_Date]]</f>
        <v>679</v>
      </c>
    </row>
    <row r="314" spans="1:22" x14ac:dyDescent="0.35">
      <c r="A314" t="s">
        <v>832</v>
      </c>
      <c r="B314" t="s">
        <v>18</v>
      </c>
      <c r="C314" t="s">
        <v>573</v>
      </c>
      <c r="D314" t="s">
        <v>1523</v>
      </c>
      <c r="E314" t="s">
        <v>21</v>
      </c>
      <c r="F314" t="s">
        <v>1524</v>
      </c>
      <c r="G314" t="s">
        <v>1525</v>
      </c>
      <c r="H314" s="1">
        <v>46363</v>
      </c>
      <c r="I314" s="6">
        <v>45705</v>
      </c>
      <c r="J314" s="6">
        <v>46347</v>
      </c>
      <c r="K314">
        <v>38</v>
      </c>
      <c r="L314">
        <v>91</v>
      </c>
      <c r="M314">
        <v>94</v>
      </c>
      <c r="N314" s="8">
        <v>5.7</v>
      </c>
      <c r="O314">
        <v>53</v>
      </c>
      <c r="P314">
        <v>87</v>
      </c>
      <c r="Q314" s="3">
        <v>0</v>
      </c>
      <c r="R314">
        <f>Inventory_Table[[#This Row],[Stock_Quantity]]*Inventory_Table[[#This Row],[Unit_Price]]</f>
        <v>216.6</v>
      </c>
      <c r="S314">
        <f>Inventory_Table[[#This Row],[Sales_Volume]]*Inventory_Table[[#This Row],[Unit_Price]]</f>
        <v>302.10000000000002</v>
      </c>
      <c r="T314" t="str">
        <f>IF(Inventory_Table[[#This Row],[Stock_Quantity]]&lt;=Inventory_Table[[#This Row],[Reorder_Level]],"REORDER","OK")</f>
        <v>REORDER</v>
      </c>
      <c r="U314" t="s">
        <v>3836</v>
      </c>
      <c r="V314" s="14">
        <f ca="1">TODAY()-Inventory_Table[[#This Row],[Last_Order_Date]]</f>
        <v>471</v>
      </c>
    </row>
    <row r="315" spans="1:22" x14ac:dyDescent="0.35">
      <c r="A315" t="s">
        <v>1527</v>
      </c>
      <c r="B315" t="s">
        <v>18</v>
      </c>
      <c r="C315" t="s">
        <v>404</v>
      </c>
      <c r="D315" t="s">
        <v>1528</v>
      </c>
      <c r="E315" t="s">
        <v>68</v>
      </c>
      <c r="F315" t="s">
        <v>1529</v>
      </c>
      <c r="G315" t="s">
        <v>1530</v>
      </c>
      <c r="H315" s="1">
        <v>46363</v>
      </c>
      <c r="I315" s="6">
        <v>45564</v>
      </c>
      <c r="J315" s="6">
        <v>46256</v>
      </c>
      <c r="K315">
        <v>97</v>
      </c>
      <c r="L315">
        <v>97</v>
      </c>
      <c r="M315">
        <v>71</v>
      </c>
      <c r="N315" s="8">
        <v>4.5</v>
      </c>
      <c r="O315">
        <v>53</v>
      </c>
      <c r="P315">
        <v>31</v>
      </c>
      <c r="Q315" s="3">
        <v>-0.64</v>
      </c>
      <c r="R315">
        <f>Inventory_Table[[#This Row],[Stock_Quantity]]*Inventory_Table[[#This Row],[Unit_Price]]</f>
        <v>436.5</v>
      </c>
      <c r="S315">
        <f>Inventory_Table[[#This Row],[Sales_Volume]]*Inventory_Table[[#This Row],[Unit_Price]]</f>
        <v>238.5</v>
      </c>
      <c r="T315" t="str">
        <f>IF(Inventory_Table[[#This Row],[Stock_Quantity]]&lt;=Inventory_Table[[#This Row],[Reorder_Level]],"REORDER","OK")</f>
        <v>REORDER</v>
      </c>
      <c r="U315" t="s">
        <v>3836</v>
      </c>
      <c r="V315" s="14">
        <f ca="1">TODAY()-Inventory_Table[[#This Row],[Last_Order_Date]]</f>
        <v>612</v>
      </c>
    </row>
    <row r="316" spans="1:22" x14ac:dyDescent="0.35">
      <c r="A316" t="s">
        <v>371</v>
      </c>
      <c r="B316" t="s">
        <v>75</v>
      </c>
      <c r="C316" t="s">
        <v>1531</v>
      </c>
      <c r="D316" t="s">
        <v>1532</v>
      </c>
      <c r="E316" t="s">
        <v>30</v>
      </c>
      <c r="F316" t="s">
        <v>1533</v>
      </c>
      <c r="G316" t="s">
        <v>1534</v>
      </c>
      <c r="H316" s="1">
        <v>46364</v>
      </c>
      <c r="I316" s="6">
        <v>45579</v>
      </c>
      <c r="J316" s="6">
        <v>46345</v>
      </c>
      <c r="K316">
        <v>91</v>
      </c>
      <c r="L316">
        <v>68</v>
      </c>
      <c r="M316">
        <v>80</v>
      </c>
      <c r="N316" s="8">
        <v>11.5</v>
      </c>
      <c r="O316">
        <v>81</v>
      </c>
      <c r="P316">
        <v>85</v>
      </c>
      <c r="Q316" s="3">
        <v>0.42</v>
      </c>
      <c r="R316">
        <f>Inventory_Table[[#This Row],[Stock_Quantity]]*Inventory_Table[[#This Row],[Unit_Price]]</f>
        <v>1046.5</v>
      </c>
      <c r="S316">
        <f>Inventory_Table[[#This Row],[Sales_Volume]]*Inventory_Table[[#This Row],[Unit_Price]]</f>
        <v>931.5</v>
      </c>
      <c r="T316" t="str">
        <f>IF(Inventory_Table[[#This Row],[Stock_Quantity]]&lt;=Inventory_Table[[#This Row],[Reorder_Level]],"REORDER","OK")</f>
        <v>OK</v>
      </c>
      <c r="U316" t="s">
        <v>3836</v>
      </c>
      <c r="V316" s="14">
        <f ca="1">TODAY()-Inventory_Table[[#This Row],[Last_Order_Date]]</f>
        <v>597</v>
      </c>
    </row>
    <row r="317" spans="1:22" x14ac:dyDescent="0.35">
      <c r="A317" t="s">
        <v>619</v>
      </c>
      <c r="B317" t="s">
        <v>18</v>
      </c>
      <c r="C317" t="s">
        <v>1536</v>
      </c>
      <c r="D317" t="s">
        <v>1537</v>
      </c>
      <c r="E317" t="s">
        <v>68</v>
      </c>
      <c r="F317" t="s">
        <v>1538</v>
      </c>
      <c r="G317" t="s">
        <v>1539</v>
      </c>
      <c r="H317" s="1">
        <v>46365</v>
      </c>
      <c r="I317" s="6">
        <v>45657</v>
      </c>
      <c r="J317" s="6">
        <v>46413</v>
      </c>
      <c r="K317">
        <v>22</v>
      </c>
      <c r="L317">
        <v>40</v>
      </c>
      <c r="M317">
        <v>7</v>
      </c>
      <c r="N317" s="8">
        <v>5</v>
      </c>
      <c r="O317">
        <v>98</v>
      </c>
      <c r="P317">
        <v>60</v>
      </c>
      <c r="Q317" s="3">
        <v>-0.05</v>
      </c>
      <c r="R317">
        <f>Inventory_Table[[#This Row],[Stock_Quantity]]*Inventory_Table[[#This Row],[Unit_Price]]</f>
        <v>110</v>
      </c>
      <c r="S317">
        <f>Inventory_Table[[#This Row],[Sales_Volume]]*Inventory_Table[[#This Row],[Unit_Price]]</f>
        <v>490</v>
      </c>
      <c r="T317" t="str">
        <f>IF(Inventory_Table[[#This Row],[Stock_Quantity]]&lt;=Inventory_Table[[#This Row],[Reorder_Level]],"REORDER","OK")</f>
        <v>REORDER</v>
      </c>
      <c r="U317" t="s">
        <v>3836</v>
      </c>
      <c r="V317" s="14">
        <f ca="1">TODAY()-Inventory_Table[[#This Row],[Last_Order_Date]]</f>
        <v>519</v>
      </c>
    </row>
    <row r="318" spans="1:22" x14ac:dyDescent="0.35">
      <c r="A318" t="s">
        <v>1415</v>
      </c>
      <c r="B318" t="s">
        <v>114</v>
      </c>
      <c r="C318" t="s">
        <v>1536</v>
      </c>
      <c r="D318" t="s">
        <v>1541</v>
      </c>
      <c r="E318" t="s">
        <v>30</v>
      </c>
      <c r="F318" t="s">
        <v>1542</v>
      </c>
      <c r="G318" t="s">
        <v>1543</v>
      </c>
      <c r="H318" s="1">
        <v>46365</v>
      </c>
      <c r="I318" s="6">
        <v>45356</v>
      </c>
      <c r="J318" s="6">
        <v>46381</v>
      </c>
      <c r="K318">
        <v>78</v>
      </c>
      <c r="L318">
        <v>68</v>
      </c>
      <c r="M318">
        <v>68</v>
      </c>
      <c r="N318" s="8">
        <v>2.5</v>
      </c>
      <c r="O318">
        <v>89</v>
      </c>
      <c r="P318">
        <v>24</v>
      </c>
      <c r="Q318" s="3">
        <v>0.39</v>
      </c>
      <c r="R318">
        <f>Inventory_Table[[#This Row],[Stock_Quantity]]*Inventory_Table[[#This Row],[Unit_Price]]</f>
        <v>195</v>
      </c>
      <c r="S318">
        <f>Inventory_Table[[#This Row],[Sales_Volume]]*Inventory_Table[[#This Row],[Unit_Price]]</f>
        <v>222.5</v>
      </c>
      <c r="T318" t="str">
        <f>IF(Inventory_Table[[#This Row],[Stock_Quantity]]&lt;=Inventory_Table[[#This Row],[Reorder_Level]],"REORDER","OK")</f>
        <v>OK</v>
      </c>
      <c r="U318" t="s">
        <v>3836</v>
      </c>
      <c r="V318" s="14">
        <f ca="1">TODAY()-Inventory_Table[[#This Row],[Last_Order_Date]]</f>
        <v>820</v>
      </c>
    </row>
    <row r="319" spans="1:22" x14ac:dyDescent="0.35">
      <c r="A319" t="s">
        <v>1440</v>
      </c>
      <c r="B319" t="s">
        <v>18</v>
      </c>
      <c r="C319" t="s">
        <v>28</v>
      </c>
      <c r="D319" t="s">
        <v>1544</v>
      </c>
      <c r="E319" t="s">
        <v>30</v>
      </c>
      <c r="F319" t="s">
        <v>1545</v>
      </c>
      <c r="G319" t="s">
        <v>1546</v>
      </c>
      <c r="H319" s="1">
        <v>46366</v>
      </c>
      <c r="I319" s="6">
        <v>45496</v>
      </c>
      <c r="J319" s="6">
        <v>46415</v>
      </c>
      <c r="K319">
        <v>23</v>
      </c>
      <c r="L319">
        <v>85</v>
      </c>
      <c r="M319">
        <v>94</v>
      </c>
      <c r="N319" s="8">
        <v>3</v>
      </c>
      <c r="O319">
        <v>92</v>
      </c>
      <c r="P319">
        <v>72</v>
      </c>
      <c r="Q319" s="3">
        <v>0.73</v>
      </c>
      <c r="R319">
        <f>Inventory_Table[[#This Row],[Stock_Quantity]]*Inventory_Table[[#This Row],[Unit_Price]]</f>
        <v>69</v>
      </c>
      <c r="S319">
        <f>Inventory_Table[[#This Row],[Sales_Volume]]*Inventory_Table[[#This Row],[Unit_Price]]</f>
        <v>276</v>
      </c>
      <c r="T319" t="str">
        <f>IF(Inventory_Table[[#This Row],[Stock_Quantity]]&lt;=Inventory_Table[[#This Row],[Reorder_Level]],"REORDER","OK")</f>
        <v>REORDER</v>
      </c>
      <c r="U319" t="s">
        <v>3836</v>
      </c>
      <c r="V319" s="14">
        <f ca="1">TODAY()-Inventory_Table[[#This Row],[Last_Order_Date]]</f>
        <v>680</v>
      </c>
    </row>
    <row r="320" spans="1:22" x14ac:dyDescent="0.35">
      <c r="A320" t="s">
        <v>619</v>
      </c>
      <c r="B320" t="s">
        <v>18</v>
      </c>
      <c r="C320" t="s">
        <v>1547</v>
      </c>
      <c r="D320" t="s">
        <v>1548</v>
      </c>
      <c r="E320" t="s">
        <v>30</v>
      </c>
      <c r="F320" t="s">
        <v>1549</v>
      </c>
      <c r="G320" t="s">
        <v>1550</v>
      </c>
      <c r="H320" s="1">
        <v>46366</v>
      </c>
      <c r="I320" s="6">
        <v>45630</v>
      </c>
      <c r="J320" s="6">
        <v>46174</v>
      </c>
      <c r="K320">
        <v>78</v>
      </c>
      <c r="L320">
        <v>16</v>
      </c>
      <c r="M320">
        <v>37</v>
      </c>
      <c r="N320" s="8">
        <v>4.7</v>
      </c>
      <c r="O320">
        <v>25</v>
      </c>
      <c r="P320">
        <v>96</v>
      </c>
      <c r="Q320" s="3">
        <v>0.22</v>
      </c>
      <c r="R320">
        <f>Inventory_Table[[#This Row],[Stock_Quantity]]*Inventory_Table[[#This Row],[Unit_Price]]</f>
        <v>366.6</v>
      </c>
      <c r="S320">
        <f>Inventory_Table[[#This Row],[Sales_Volume]]*Inventory_Table[[#This Row],[Unit_Price]]</f>
        <v>117.5</v>
      </c>
      <c r="T320" t="str">
        <f>IF(Inventory_Table[[#This Row],[Stock_Quantity]]&lt;=Inventory_Table[[#This Row],[Reorder_Level]],"REORDER","OK")</f>
        <v>OK</v>
      </c>
      <c r="U320" t="s">
        <v>3837</v>
      </c>
      <c r="V320" s="14">
        <f ca="1">TODAY()-Inventory_Table[[#This Row],[Last_Order_Date]]</f>
        <v>546</v>
      </c>
    </row>
    <row r="321" spans="1:22" x14ac:dyDescent="0.35">
      <c r="A321" t="s">
        <v>170</v>
      </c>
      <c r="B321" t="s">
        <v>18</v>
      </c>
      <c r="C321" t="s">
        <v>1372</v>
      </c>
      <c r="D321" t="s">
        <v>1551</v>
      </c>
      <c r="E321" t="s">
        <v>30</v>
      </c>
      <c r="F321" t="s">
        <v>1552</v>
      </c>
      <c r="G321" t="s">
        <v>1553</v>
      </c>
      <c r="H321" s="1">
        <v>46366</v>
      </c>
      <c r="I321" s="6">
        <v>45353</v>
      </c>
      <c r="J321" s="6">
        <v>46238</v>
      </c>
      <c r="K321">
        <v>95</v>
      </c>
      <c r="L321">
        <v>87</v>
      </c>
      <c r="M321">
        <v>13</v>
      </c>
      <c r="N321" s="8">
        <v>2</v>
      </c>
      <c r="O321">
        <v>61</v>
      </c>
      <c r="P321">
        <v>4</v>
      </c>
      <c r="Q321" s="3">
        <v>-2.84</v>
      </c>
      <c r="R321">
        <f>Inventory_Table[[#This Row],[Stock_Quantity]]*Inventory_Table[[#This Row],[Unit_Price]]</f>
        <v>190</v>
      </c>
      <c r="S321">
        <f>Inventory_Table[[#This Row],[Sales_Volume]]*Inventory_Table[[#This Row],[Unit_Price]]</f>
        <v>122</v>
      </c>
      <c r="T321" t="str">
        <f>IF(Inventory_Table[[#This Row],[Stock_Quantity]]&lt;=Inventory_Table[[#This Row],[Reorder_Level]],"REORDER","OK")</f>
        <v>OK</v>
      </c>
      <c r="U321" t="s">
        <v>3836</v>
      </c>
      <c r="V321" s="14">
        <f ca="1">TODAY()-Inventory_Table[[#This Row],[Last_Order_Date]]</f>
        <v>823</v>
      </c>
    </row>
    <row r="322" spans="1:22" x14ac:dyDescent="0.35">
      <c r="A322" t="s">
        <v>142</v>
      </c>
      <c r="B322" t="s">
        <v>36</v>
      </c>
      <c r="C322" t="s">
        <v>1554</v>
      </c>
      <c r="D322" t="s">
        <v>1555</v>
      </c>
      <c r="E322" t="s">
        <v>68</v>
      </c>
      <c r="F322" t="s">
        <v>1556</v>
      </c>
      <c r="G322" t="s">
        <v>1557</v>
      </c>
      <c r="H322" s="1">
        <v>46368</v>
      </c>
      <c r="I322" s="6">
        <v>45514</v>
      </c>
      <c r="J322" s="6">
        <v>46128</v>
      </c>
      <c r="K322">
        <v>49</v>
      </c>
      <c r="L322">
        <v>94</v>
      </c>
      <c r="M322">
        <v>18</v>
      </c>
      <c r="N322" s="8">
        <v>6</v>
      </c>
      <c r="O322">
        <v>38</v>
      </c>
      <c r="P322">
        <v>11</v>
      </c>
      <c r="Q322" s="3">
        <v>0.93</v>
      </c>
      <c r="R322">
        <f>Inventory_Table[[#This Row],[Stock_Quantity]]*Inventory_Table[[#This Row],[Unit_Price]]</f>
        <v>294</v>
      </c>
      <c r="S322">
        <f>Inventory_Table[[#This Row],[Sales_Volume]]*Inventory_Table[[#This Row],[Unit_Price]]</f>
        <v>228</v>
      </c>
      <c r="T322" t="str">
        <f>IF(Inventory_Table[[#This Row],[Stock_Quantity]]&lt;=Inventory_Table[[#This Row],[Reorder_Level]],"REORDER","OK")</f>
        <v>REORDER</v>
      </c>
      <c r="U322" t="s">
        <v>3838</v>
      </c>
      <c r="V322" s="14">
        <f ca="1">TODAY()-Inventory_Table[[#This Row],[Last_Order_Date]]</f>
        <v>662</v>
      </c>
    </row>
    <row r="323" spans="1:22" x14ac:dyDescent="0.35">
      <c r="A323" t="s">
        <v>408</v>
      </c>
      <c r="B323" t="s">
        <v>18</v>
      </c>
      <c r="C323" t="s">
        <v>1559</v>
      </c>
      <c r="D323" t="s">
        <v>1560</v>
      </c>
      <c r="E323" t="s">
        <v>68</v>
      </c>
      <c r="F323" t="s">
        <v>1561</v>
      </c>
      <c r="G323" t="s">
        <v>1562</v>
      </c>
      <c r="H323" s="1">
        <v>46368</v>
      </c>
      <c r="I323" s="6">
        <v>45451</v>
      </c>
      <c r="J323" s="6">
        <v>46222</v>
      </c>
      <c r="K323">
        <v>26</v>
      </c>
      <c r="L323">
        <v>69</v>
      </c>
      <c r="M323">
        <v>90</v>
      </c>
      <c r="N323" s="8">
        <v>4</v>
      </c>
      <c r="O323">
        <v>47</v>
      </c>
      <c r="P323">
        <v>35</v>
      </c>
      <c r="Q323" s="3">
        <v>0.71</v>
      </c>
      <c r="R323">
        <f>Inventory_Table[[#This Row],[Stock_Quantity]]*Inventory_Table[[#This Row],[Unit_Price]]</f>
        <v>104</v>
      </c>
      <c r="S323">
        <f>Inventory_Table[[#This Row],[Sales_Volume]]*Inventory_Table[[#This Row],[Unit_Price]]</f>
        <v>188</v>
      </c>
      <c r="T323" t="str">
        <f>IF(Inventory_Table[[#This Row],[Stock_Quantity]]&lt;=Inventory_Table[[#This Row],[Reorder_Level]],"REORDER","OK")</f>
        <v>REORDER</v>
      </c>
      <c r="U323" t="s">
        <v>3836</v>
      </c>
      <c r="V323" s="14">
        <f ca="1">TODAY()-Inventory_Table[[#This Row],[Last_Order_Date]]</f>
        <v>725</v>
      </c>
    </row>
    <row r="324" spans="1:22" x14ac:dyDescent="0.35">
      <c r="A324" t="s">
        <v>376</v>
      </c>
      <c r="B324" t="s">
        <v>18</v>
      </c>
      <c r="C324" t="s">
        <v>1563</v>
      </c>
      <c r="D324" t="s">
        <v>1564</v>
      </c>
      <c r="E324" t="s">
        <v>21</v>
      </c>
      <c r="F324" t="s">
        <v>1565</v>
      </c>
      <c r="G324" t="s">
        <v>1566</v>
      </c>
      <c r="H324" s="1">
        <v>46368</v>
      </c>
      <c r="I324" s="6">
        <v>45421</v>
      </c>
      <c r="J324" s="6">
        <v>46178</v>
      </c>
      <c r="K324">
        <v>50</v>
      </c>
      <c r="L324">
        <v>68</v>
      </c>
      <c r="M324">
        <v>90</v>
      </c>
      <c r="N324" s="8">
        <v>2</v>
      </c>
      <c r="O324">
        <v>40</v>
      </c>
      <c r="P324">
        <v>13</v>
      </c>
      <c r="Q324" s="3">
        <v>0.26</v>
      </c>
      <c r="R324">
        <f>Inventory_Table[[#This Row],[Stock_Quantity]]*Inventory_Table[[#This Row],[Unit_Price]]</f>
        <v>100</v>
      </c>
      <c r="S324">
        <f>Inventory_Table[[#This Row],[Sales_Volume]]*Inventory_Table[[#This Row],[Unit_Price]]</f>
        <v>80</v>
      </c>
      <c r="T324" t="str">
        <f>IF(Inventory_Table[[#This Row],[Stock_Quantity]]&lt;=Inventory_Table[[#This Row],[Reorder_Level]],"REORDER","OK")</f>
        <v>REORDER</v>
      </c>
      <c r="U324" t="s">
        <v>3837</v>
      </c>
      <c r="V324" s="14">
        <f ca="1">TODAY()-Inventory_Table[[#This Row],[Last_Order_Date]]</f>
        <v>755</v>
      </c>
    </row>
    <row r="325" spans="1:22" x14ac:dyDescent="0.35">
      <c r="A325" t="s">
        <v>308</v>
      </c>
      <c r="B325" t="s">
        <v>27</v>
      </c>
      <c r="C325" t="s">
        <v>1105</v>
      </c>
      <c r="D325" t="s">
        <v>1567</v>
      </c>
      <c r="E325" t="s">
        <v>30</v>
      </c>
      <c r="F325" t="s">
        <v>1568</v>
      </c>
      <c r="G325" t="s">
        <v>1569</v>
      </c>
      <c r="H325" s="1">
        <v>46368</v>
      </c>
      <c r="I325" s="6">
        <v>45516</v>
      </c>
      <c r="J325" s="6">
        <v>46204</v>
      </c>
      <c r="K325">
        <v>50</v>
      </c>
      <c r="L325">
        <v>36</v>
      </c>
      <c r="M325">
        <v>96</v>
      </c>
      <c r="N325" s="8">
        <v>6.5</v>
      </c>
      <c r="O325">
        <v>53</v>
      </c>
      <c r="P325">
        <v>73</v>
      </c>
      <c r="Q325" s="3">
        <v>0.68</v>
      </c>
      <c r="R325">
        <f>Inventory_Table[[#This Row],[Stock_Quantity]]*Inventory_Table[[#This Row],[Unit_Price]]</f>
        <v>325</v>
      </c>
      <c r="S325">
        <f>Inventory_Table[[#This Row],[Sales_Volume]]*Inventory_Table[[#This Row],[Unit_Price]]</f>
        <v>344.5</v>
      </c>
      <c r="T325" t="str">
        <f>IF(Inventory_Table[[#This Row],[Stock_Quantity]]&lt;=Inventory_Table[[#This Row],[Reorder_Level]],"REORDER","OK")</f>
        <v>OK</v>
      </c>
      <c r="U325" t="s">
        <v>3836</v>
      </c>
      <c r="V325" s="14">
        <f ca="1">TODAY()-Inventory_Table[[#This Row],[Last_Order_Date]]</f>
        <v>660</v>
      </c>
    </row>
    <row r="326" spans="1:22" x14ac:dyDescent="0.35">
      <c r="A326" t="s">
        <v>188</v>
      </c>
      <c r="B326" t="s">
        <v>65</v>
      </c>
      <c r="C326" t="s">
        <v>1570</v>
      </c>
      <c r="D326" t="s">
        <v>1571</v>
      </c>
      <c r="E326" t="s">
        <v>21</v>
      </c>
      <c r="F326" t="s">
        <v>1572</v>
      </c>
      <c r="G326" t="s">
        <v>1573</v>
      </c>
      <c r="H326" s="1">
        <v>46389</v>
      </c>
      <c r="I326" s="6">
        <v>45528</v>
      </c>
      <c r="J326" s="6">
        <v>46363</v>
      </c>
      <c r="K326">
        <v>91</v>
      </c>
      <c r="L326">
        <v>73</v>
      </c>
      <c r="M326">
        <v>77</v>
      </c>
      <c r="N326" s="8">
        <v>4.75</v>
      </c>
      <c r="O326">
        <v>51</v>
      </c>
      <c r="P326">
        <v>49</v>
      </c>
      <c r="Q326" s="3">
        <v>-0.38</v>
      </c>
      <c r="R326">
        <f>Inventory_Table[[#This Row],[Stock_Quantity]]*Inventory_Table[[#This Row],[Unit_Price]]</f>
        <v>432.25</v>
      </c>
      <c r="S326">
        <f>Inventory_Table[[#This Row],[Sales_Volume]]*Inventory_Table[[#This Row],[Unit_Price]]</f>
        <v>242.25</v>
      </c>
      <c r="T326" t="str">
        <f>IF(Inventory_Table[[#This Row],[Stock_Quantity]]&lt;=Inventory_Table[[#This Row],[Reorder_Level]],"REORDER","OK")</f>
        <v>OK</v>
      </c>
      <c r="U326" t="s">
        <v>3836</v>
      </c>
      <c r="V326" s="14">
        <f ca="1">TODAY()-Inventory_Table[[#This Row],[Last_Order_Date]]</f>
        <v>648</v>
      </c>
    </row>
    <row r="327" spans="1:22" x14ac:dyDescent="0.35">
      <c r="A327" t="s">
        <v>793</v>
      </c>
      <c r="B327" t="s">
        <v>75</v>
      </c>
      <c r="C327" t="s">
        <v>787</v>
      </c>
      <c r="D327" t="s">
        <v>1574</v>
      </c>
      <c r="E327" t="s">
        <v>30</v>
      </c>
      <c r="F327" t="s">
        <v>1575</v>
      </c>
      <c r="G327" t="s">
        <v>1576</v>
      </c>
      <c r="H327" s="1">
        <v>46389</v>
      </c>
      <c r="I327" s="6">
        <v>45488</v>
      </c>
      <c r="J327" s="6">
        <v>46105</v>
      </c>
      <c r="K327">
        <v>23</v>
      </c>
      <c r="L327">
        <v>42</v>
      </c>
      <c r="M327">
        <v>87</v>
      </c>
      <c r="N327" s="8">
        <v>8</v>
      </c>
      <c r="O327">
        <v>63</v>
      </c>
      <c r="P327">
        <v>5</v>
      </c>
      <c r="Q327" s="3">
        <v>0.04</v>
      </c>
      <c r="R327">
        <f>Inventory_Table[[#This Row],[Stock_Quantity]]*Inventory_Table[[#This Row],[Unit_Price]]</f>
        <v>184</v>
      </c>
      <c r="S327">
        <f>Inventory_Table[[#This Row],[Sales_Volume]]*Inventory_Table[[#This Row],[Unit_Price]]</f>
        <v>504</v>
      </c>
      <c r="T327" t="str">
        <f>IF(Inventory_Table[[#This Row],[Stock_Quantity]]&lt;=Inventory_Table[[#This Row],[Reorder_Level]],"REORDER","OK")</f>
        <v>REORDER</v>
      </c>
      <c r="U327" t="s">
        <v>3838</v>
      </c>
      <c r="V327" s="14">
        <f ca="1">TODAY()-Inventory_Table[[#This Row],[Last_Order_Date]]</f>
        <v>688</v>
      </c>
    </row>
    <row r="328" spans="1:22" x14ac:dyDescent="0.35">
      <c r="A328" t="s">
        <v>83</v>
      </c>
      <c r="B328" t="s">
        <v>36</v>
      </c>
      <c r="C328" t="s">
        <v>1275</v>
      </c>
      <c r="D328" t="s">
        <v>1577</v>
      </c>
      <c r="E328" t="s">
        <v>21</v>
      </c>
      <c r="F328" t="s">
        <v>1578</v>
      </c>
      <c r="G328" t="s">
        <v>1579</v>
      </c>
      <c r="H328" s="1">
        <v>46389</v>
      </c>
      <c r="I328" s="6">
        <v>45499</v>
      </c>
      <c r="J328" s="6">
        <v>46148</v>
      </c>
      <c r="K328">
        <v>76</v>
      </c>
      <c r="L328">
        <v>15</v>
      </c>
      <c r="M328">
        <v>99</v>
      </c>
      <c r="N328" s="8">
        <v>9.5</v>
      </c>
      <c r="O328">
        <v>60</v>
      </c>
      <c r="P328">
        <v>49</v>
      </c>
      <c r="Q328" s="3">
        <v>0.92</v>
      </c>
      <c r="R328">
        <f>Inventory_Table[[#This Row],[Stock_Quantity]]*Inventory_Table[[#This Row],[Unit_Price]]</f>
        <v>722</v>
      </c>
      <c r="S328">
        <f>Inventory_Table[[#This Row],[Sales_Volume]]*Inventory_Table[[#This Row],[Unit_Price]]</f>
        <v>570</v>
      </c>
      <c r="T328" t="str">
        <f>IF(Inventory_Table[[#This Row],[Stock_Quantity]]&lt;=Inventory_Table[[#This Row],[Reorder_Level]],"REORDER","OK")</f>
        <v>OK</v>
      </c>
      <c r="U328" t="s">
        <v>3838</v>
      </c>
      <c r="V328" s="14">
        <f ca="1">TODAY()-Inventory_Table[[#This Row],[Last_Order_Date]]</f>
        <v>677</v>
      </c>
    </row>
    <row r="329" spans="1:22" x14ac:dyDescent="0.35">
      <c r="A329" t="s">
        <v>769</v>
      </c>
      <c r="B329" t="s">
        <v>36</v>
      </c>
      <c r="C329" t="s">
        <v>1580</v>
      </c>
      <c r="D329" t="s">
        <v>1581</v>
      </c>
      <c r="E329" t="s">
        <v>21</v>
      </c>
      <c r="F329" t="s">
        <v>1582</v>
      </c>
      <c r="G329" t="s">
        <v>1583</v>
      </c>
      <c r="H329" s="1">
        <v>46389</v>
      </c>
      <c r="I329" s="6">
        <v>45700</v>
      </c>
      <c r="J329" s="6">
        <v>46432</v>
      </c>
      <c r="K329">
        <v>15</v>
      </c>
      <c r="L329">
        <v>75</v>
      </c>
      <c r="M329">
        <v>78</v>
      </c>
      <c r="N329" s="8">
        <v>1.9</v>
      </c>
      <c r="O329">
        <v>71</v>
      </c>
      <c r="P329">
        <v>21</v>
      </c>
      <c r="Q329" s="3">
        <v>0.18</v>
      </c>
      <c r="R329">
        <f>Inventory_Table[[#This Row],[Stock_Quantity]]*Inventory_Table[[#This Row],[Unit_Price]]</f>
        <v>28.5</v>
      </c>
      <c r="S329">
        <f>Inventory_Table[[#This Row],[Sales_Volume]]*Inventory_Table[[#This Row],[Unit_Price]]</f>
        <v>134.9</v>
      </c>
      <c r="T329" t="str">
        <f>IF(Inventory_Table[[#This Row],[Stock_Quantity]]&lt;=Inventory_Table[[#This Row],[Reorder_Level]],"REORDER","OK")</f>
        <v>REORDER</v>
      </c>
      <c r="U329" t="s">
        <v>3836</v>
      </c>
      <c r="V329" s="14">
        <f ca="1">TODAY()-Inventory_Table[[#This Row],[Last_Order_Date]]</f>
        <v>476</v>
      </c>
    </row>
    <row r="330" spans="1:22" x14ac:dyDescent="0.35">
      <c r="A330" t="s">
        <v>1196</v>
      </c>
      <c r="B330" t="s">
        <v>75</v>
      </c>
      <c r="C330" t="s">
        <v>1585</v>
      </c>
      <c r="D330" t="s">
        <v>1586</v>
      </c>
      <c r="E330" t="s">
        <v>68</v>
      </c>
      <c r="F330" t="s">
        <v>1587</v>
      </c>
      <c r="G330" t="s">
        <v>1588</v>
      </c>
      <c r="H330" s="1">
        <v>46389</v>
      </c>
      <c r="I330" s="6">
        <v>45555</v>
      </c>
      <c r="J330" s="6">
        <v>46159</v>
      </c>
      <c r="K330">
        <v>79</v>
      </c>
      <c r="L330">
        <v>28</v>
      </c>
      <c r="M330">
        <v>4</v>
      </c>
      <c r="N330" s="8">
        <v>15</v>
      </c>
      <c r="O330">
        <v>42</v>
      </c>
      <c r="P330">
        <v>46</v>
      </c>
      <c r="Q330" s="3">
        <v>0.7</v>
      </c>
      <c r="R330">
        <f>Inventory_Table[[#This Row],[Stock_Quantity]]*Inventory_Table[[#This Row],[Unit_Price]]</f>
        <v>1185</v>
      </c>
      <c r="S330">
        <f>Inventory_Table[[#This Row],[Sales_Volume]]*Inventory_Table[[#This Row],[Unit_Price]]</f>
        <v>630</v>
      </c>
      <c r="T330" t="str">
        <f>IF(Inventory_Table[[#This Row],[Stock_Quantity]]&lt;=Inventory_Table[[#This Row],[Reorder_Level]],"REORDER","OK")</f>
        <v>OK</v>
      </c>
      <c r="U330" t="s">
        <v>3838</v>
      </c>
      <c r="V330" s="14">
        <f ca="1">TODAY()-Inventory_Table[[#This Row],[Last_Order_Date]]</f>
        <v>621</v>
      </c>
    </row>
    <row r="331" spans="1:22" x14ac:dyDescent="0.35">
      <c r="A331" t="s">
        <v>270</v>
      </c>
      <c r="B331" t="s">
        <v>36</v>
      </c>
      <c r="C331" t="s">
        <v>1589</v>
      </c>
      <c r="D331" t="s">
        <v>1590</v>
      </c>
      <c r="E331" t="s">
        <v>30</v>
      </c>
      <c r="F331" t="s">
        <v>1591</v>
      </c>
      <c r="G331" t="s">
        <v>1592</v>
      </c>
      <c r="H331" s="1">
        <v>46389</v>
      </c>
      <c r="I331" s="6">
        <v>45499</v>
      </c>
      <c r="J331" s="6">
        <v>46303</v>
      </c>
      <c r="K331">
        <v>22</v>
      </c>
      <c r="L331">
        <v>43</v>
      </c>
      <c r="M331">
        <v>3</v>
      </c>
      <c r="N331" s="8">
        <v>4.0999999999999996</v>
      </c>
      <c r="O331">
        <v>45</v>
      </c>
      <c r="P331">
        <v>87</v>
      </c>
      <c r="Q331" s="3">
        <v>-0.1</v>
      </c>
      <c r="R331">
        <f>Inventory_Table[[#This Row],[Stock_Quantity]]*Inventory_Table[[#This Row],[Unit_Price]]</f>
        <v>90.199999999999989</v>
      </c>
      <c r="S331">
        <f>Inventory_Table[[#This Row],[Sales_Volume]]*Inventory_Table[[#This Row],[Unit_Price]]</f>
        <v>184.49999999999997</v>
      </c>
      <c r="T331" t="str">
        <f>IF(Inventory_Table[[#This Row],[Stock_Quantity]]&lt;=Inventory_Table[[#This Row],[Reorder_Level]],"REORDER","OK")</f>
        <v>REORDER</v>
      </c>
      <c r="U331" t="s">
        <v>3836</v>
      </c>
      <c r="V331" s="14">
        <f ca="1">TODAY()-Inventory_Table[[#This Row],[Last_Order_Date]]</f>
        <v>677</v>
      </c>
    </row>
    <row r="332" spans="1:22" x14ac:dyDescent="0.35">
      <c r="A332" t="s">
        <v>1021</v>
      </c>
      <c r="B332" t="s">
        <v>36</v>
      </c>
      <c r="C332" t="s">
        <v>647</v>
      </c>
      <c r="D332" t="s">
        <v>1593</v>
      </c>
      <c r="E332" t="s">
        <v>68</v>
      </c>
      <c r="F332" t="s">
        <v>1594</v>
      </c>
      <c r="G332" t="s">
        <v>1595</v>
      </c>
      <c r="H332" s="1">
        <v>46419</v>
      </c>
      <c r="I332" s="6">
        <v>45348</v>
      </c>
      <c r="J332" s="6">
        <v>46354</v>
      </c>
      <c r="K332">
        <v>37</v>
      </c>
      <c r="L332">
        <v>5</v>
      </c>
      <c r="M332">
        <v>1</v>
      </c>
      <c r="N332" s="8">
        <v>5</v>
      </c>
      <c r="O332">
        <v>68</v>
      </c>
      <c r="P332">
        <v>99</v>
      </c>
      <c r="Q332" s="3">
        <v>-0.93</v>
      </c>
      <c r="R332">
        <f>Inventory_Table[[#This Row],[Stock_Quantity]]*Inventory_Table[[#This Row],[Unit_Price]]</f>
        <v>185</v>
      </c>
      <c r="S332">
        <f>Inventory_Table[[#This Row],[Sales_Volume]]*Inventory_Table[[#This Row],[Unit_Price]]</f>
        <v>340</v>
      </c>
      <c r="T332" t="str">
        <f>IF(Inventory_Table[[#This Row],[Stock_Quantity]]&lt;=Inventory_Table[[#This Row],[Reorder_Level]],"REORDER","OK")</f>
        <v>OK</v>
      </c>
      <c r="U332" t="s">
        <v>3836</v>
      </c>
      <c r="V332" s="14">
        <f ca="1">TODAY()-Inventory_Table[[#This Row],[Last_Order_Date]]</f>
        <v>828</v>
      </c>
    </row>
    <row r="333" spans="1:22" x14ac:dyDescent="0.35">
      <c r="A333" t="s">
        <v>532</v>
      </c>
      <c r="B333" t="s">
        <v>75</v>
      </c>
      <c r="C333" t="s">
        <v>592</v>
      </c>
      <c r="D333" t="s">
        <v>1596</v>
      </c>
      <c r="E333" t="s">
        <v>68</v>
      </c>
      <c r="F333" t="s">
        <v>1597</v>
      </c>
      <c r="G333" t="s">
        <v>1598</v>
      </c>
      <c r="H333" s="1">
        <v>46419</v>
      </c>
      <c r="I333" s="6">
        <v>45570</v>
      </c>
      <c r="J333" s="6">
        <v>46146</v>
      </c>
      <c r="K333">
        <v>25</v>
      </c>
      <c r="L333">
        <v>75</v>
      </c>
      <c r="M333">
        <v>27</v>
      </c>
      <c r="N333" s="8">
        <v>18</v>
      </c>
      <c r="O333">
        <v>31</v>
      </c>
      <c r="P333">
        <v>36</v>
      </c>
      <c r="Q333" s="3">
        <v>-0.46</v>
      </c>
      <c r="R333">
        <f>Inventory_Table[[#This Row],[Stock_Quantity]]*Inventory_Table[[#This Row],[Unit_Price]]</f>
        <v>450</v>
      </c>
      <c r="S333">
        <f>Inventory_Table[[#This Row],[Sales_Volume]]*Inventory_Table[[#This Row],[Unit_Price]]</f>
        <v>558</v>
      </c>
      <c r="T333" t="str">
        <f>IF(Inventory_Table[[#This Row],[Stock_Quantity]]&lt;=Inventory_Table[[#This Row],[Reorder_Level]],"REORDER","OK")</f>
        <v>REORDER</v>
      </c>
      <c r="U333" t="s">
        <v>3838</v>
      </c>
      <c r="V333" s="14">
        <f ca="1">TODAY()-Inventory_Table[[#This Row],[Last_Order_Date]]</f>
        <v>606</v>
      </c>
    </row>
    <row r="334" spans="1:22" x14ac:dyDescent="0.35">
      <c r="A334" t="s">
        <v>842</v>
      </c>
      <c r="B334" t="s">
        <v>75</v>
      </c>
      <c r="C334" t="s">
        <v>1599</v>
      </c>
      <c r="D334" t="s">
        <v>1600</v>
      </c>
      <c r="E334" t="s">
        <v>68</v>
      </c>
      <c r="F334" t="s">
        <v>1601</v>
      </c>
      <c r="G334" t="s">
        <v>1602</v>
      </c>
      <c r="H334" s="1">
        <v>46419</v>
      </c>
      <c r="I334" s="6">
        <v>45449</v>
      </c>
      <c r="J334" s="6">
        <v>46427</v>
      </c>
      <c r="K334">
        <v>11</v>
      </c>
      <c r="L334">
        <v>87</v>
      </c>
      <c r="M334">
        <v>43</v>
      </c>
      <c r="N334" s="8">
        <v>9</v>
      </c>
      <c r="O334">
        <v>86</v>
      </c>
      <c r="P334">
        <v>91</v>
      </c>
      <c r="Q334" s="3">
        <v>-0.16</v>
      </c>
      <c r="R334">
        <f>Inventory_Table[[#This Row],[Stock_Quantity]]*Inventory_Table[[#This Row],[Unit_Price]]</f>
        <v>99</v>
      </c>
      <c r="S334">
        <f>Inventory_Table[[#This Row],[Sales_Volume]]*Inventory_Table[[#This Row],[Unit_Price]]</f>
        <v>774</v>
      </c>
      <c r="T334" t="str">
        <f>IF(Inventory_Table[[#This Row],[Stock_Quantity]]&lt;=Inventory_Table[[#This Row],[Reorder_Level]],"REORDER","OK")</f>
        <v>REORDER</v>
      </c>
      <c r="U334" t="s">
        <v>3836</v>
      </c>
      <c r="V334" s="14">
        <f ca="1">TODAY()-Inventory_Table[[#This Row],[Last_Order_Date]]</f>
        <v>727</v>
      </c>
    </row>
    <row r="335" spans="1:22" x14ac:dyDescent="0.35">
      <c r="A335" t="s">
        <v>1603</v>
      </c>
      <c r="B335" t="s">
        <v>36</v>
      </c>
      <c r="C335" t="s">
        <v>1604</v>
      </c>
      <c r="D335" t="s">
        <v>1605</v>
      </c>
      <c r="E335" t="s">
        <v>21</v>
      </c>
      <c r="F335" t="s">
        <v>1606</v>
      </c>
      <c r="G335" t="s">
        <v>1607</v>
      </c>
      <c r="H335" s="1">
        <v>46447</v>
      </c>
      <c r="I335" s="6">
        <v>45680</v>
      </c>
      <c r="J335" s="6">
        <v>46112</v>
      </c>
      <c r="K335">
        <v>21</v>
      </c>
      <c r="L335">
        <v>87</v>
      </c>
      <c r="M335">
        <v>67</v>
      </c>
      <c r="N335" s="8">
        <v>3.1</v>
      </c>
      <c r="O335">
        <v>64</v>
      </c>
      <c r="P335">
        <v>69</v>
      </c>
      <c r="Q335" s="3">
        <v>-0.06</v>
      </c>
      <c r="R335">
        <f>Inventory_Table[[#This Row],[Stock_Quantity]]*Inventory_Table[[#This Row],[Unit_Price]]</f>
        <v>65.100000000000009</v>
      </c>
      <c r="S335">
        <f>Inventory_Table[[#This Row],[Sales_Volume]]*Inventory_Table[[#This Row],[Unit_Price]]</f>
        <v>198.4</v>
      </c>
      <c r="T335" t="str">
        <f>IF(Inventory_Table[[#This Row],[Stock_Quantity]]&lt;=Inventory_Table[[#This Row],[Reorder_Level]],"REORDER","OK")</f>
        <v>REORDER</v>
      </c>
      <c r="U335" t="s">
        <v>3838</v>
      </c>
      <c r="V335" s="14">
        <f ca="1">TODAY()-Inventory_Table[[#This Row],[Last_Order_Date]]</f>
        <v>496</v>
      </c>
    </row>
    <row r="336" spans="1:22" x14ac:dyDescent="0.35">
      <c r="A336" t="s">
        <v>727</v>
      </c>
      <c r="B336" t="s">
        <v>36</v>
      </c>
      <c r="C336" t="s">
        <v>143</v>
      </c>
      <c r="D336" t="s">
        <v>1609</v>
      </c>
      <c r="E336" t="s">
        <v>30</v>
      </c>
      <c r="F336" t="s">
        <v>1610</v>
      </c>
      <c r="G336" t="s">
        <v>1611</v>
      </c>
      <c r="H336" s="1">
        <v>46447</v>
      </c>
      <c r="I336" s="6">
        <v>45363</v>
      </c>
      <c r="J336" s="6">
        <v>46220</v>
      </c>
      <c r="K336">
        <v>34</v>
      </c>
      <c r="L336">
        <v>94</v>
      </c>
      <c r="M336">
        <v>69</v>
      </c>
      <c r="N336" s="8">
        <v>0.8</v>
      </c>
      <c r="O336">
        <v>96</v>
      </c>
      <c r="P336">
        <v>30</v>
      </c>
      <c r="Q336" s="3">
        <v>-0.08</v>
      </c>
      <c r="R336">
        <f>Inventory_Table[[#This Row],[Stock_Quantity]]*Inventory_Table[[#This Row],[Unit_Price]]</f>
        <v>27.200000000000003</v>
      </c>
      <c r="S336">
        <f>Inventory_Table[[#This Row],[Sales_Volume]]*Inventory_Table[[#This Row],[Unit_Price]]</f>
        <v>76.800000000000011</v>
      </c>
      <c r="T336" t="str">
        <f>IF(Inventory_Table[[#This Row],[Stock_Quantity]]&lt;=Inventory_Table[[#This Row],[Reorder_Level]],"REORDER","OK")</f>
        <v>REORDER</v>
      </c>
      <c r="U336" t="s">
        <v>3836</v>
      </c>
      <c r="V336" s="14">
        <f ca="1">TODAY()-Inventory_Table[[#This Row],[Last_Order_Date]]</f>
        <v>813</v>
      </c>
    </row>
    <row r="337" spans="1:22" x14ac:dyDescent="0.35">
      <c r="A337" t="s">
        <v>690</v>
      </c>
      <c r="B337" t="s">
        <v>36</v>
      </c>
      <c r="C337" t="s">
        <v>1612</v>
      </c>
      <c r="D337" t="s">
        <v>1613</v>
      </c>
      <c r="E337" t="s">
        <v>21</v>
      </c>
      <c r="F337" t="s">
        <v>1614</v>
      </c>
      <c r="G337" t="s">
        <v>1615</v>
      </c>
      <c r="H337" s="1">
        <v>46448</v>
      </c>
      <c r="I337" s="6">
        <v>45391</v>
      </c>
      <c r="J337" s="6">
        <v>46423</v>
      </c>
      <c r="K337">
        <v>44</v>
      </c>
      <c r="L337">
        <v>90</v>
      </c>
      <c r="M337">
        <v>17</v>
      </c>
      <c r="N337" s="8">
        <v>2.5</v>
      </c>
      <c r="O337">
        <v>21</v>
      </c>
      <c r="P337">
        <v>91</v>
      </c>
      <c r="Q337" s="3">
        <v>0.69</v>
      </c>
      <c r="R337">
        <f>Inventory_Table[[#This Row],[Stock_Quantity]]*Inventory_Table[[#This Row],[Unit_Price]]</f>
        <v>110</v>
      </c>
      <c r="S337">
        <f>Inventory_Table[[#This Row],[Sales_Volume]]*Inventory_Table[[#This Row],[Unit_Price]]</f>
        <v>52.5</v>
      </c>
      <c r="T337" t="str">
        <f>IF(Inventory_Table[[#This Row],[Stock_Quantity]]&lt;=Inventory_Table[[#This Row],[Reorder_Level]],"REORDER","OK")</f>
        <v>REORDER</v>
      </c>
      <c r="U337" t="s">
        <v>3836</v>
      </c>
      <c r="V337" s="14">
        <f ca="1">TODAY()-Inventory_Table[[#This Row],[Last_Order_Date]]</f>
        <v>785</v>
      </c>
    </row>
    <row r="338" spans="1:22" x14ac:dyDescent="0.35">
      <c r="A338" t="s">
        <v>106</v>
      </c>
      <c r="B338" t="s">
        <v>18</v>
      </c>
      <c r="C338" t="s">
        <v>404</v>
      </c>
      <c r="D338" t="s">
        <v>1616</v>
      </c>
      <c r="E338" t="s">
        <v>21</v>
      </c>
      <c r="F338" t="s">
        <v>1617</v>
      </c>
      <c r="G338" t="s">
        <v>1618</v>
      </c>
      <c r="H338" s="1">
        <v>46448</v>
      </c>
      <c r="I338" s="6">
        <v>45609</v>
      </c>
      <c r="J338" s="6">
        <v>46100</v>
      </c>
      <c r="K338">
        <v>88</v>
      </c>
      <c r="L338">
        <v>37</v>
      </c>
      <c r="M338">
        <v>61</v>
      </c>
      <c r="N338" s="8">
        <v>2.9</v>
      </c>
      <c r="O338">
        <v>63</v>
      </c>
      <c r="P338">
        <v>35</v>
      </c>
      <c r="Q338" s="3">
        <v>-3.33</v>
      </c>
      <c r="R338">
        <f>Inventory_Table[[#This Row],[Stock_Quantity]]*Inventory_Table[[#This Row],[Unit_Price]]</f>
        <v>255.2</v>
      </c>
      <c r="S338">
        <f>Inventory_Table[[#This Row],[Sales_Volume]]*Inventory_Table[[#This Row],[Unit_Price]]</f>
        <v>182.7</v>
      </c>
      <c r="T338" t="str">
        <f>IF(Inventory_Table[[#This Row],[Stock_Quantity]]&lt;=Inventory_Table[[#This Row],[Reorder_Level]],"REORDER","OK")</f>
        <v>OK</v>
      </c>
      <c r="U338" t="s">
        <v>3838</v>
      </c>
      <c r="V338" s="14">
        <f ca="1">TODAY()-Inventory_Table[[#This Row],[Last_Order_Date]]</f>
        <v>567</v>
      </c>
    </row>
    <row r="339" spans="1:22" x14ac:dyDescent="0.35">
      <c r="A339" t="s">
        <v>708</v>
      </c>
      <c r="B339" t="s">
        <v>163</v>
      </c>
      <c r="C339" t="s">
        <v>1619</v>
      </c>
      <c r="D339" t="s">
        <v>1620</v>
      </c>
      <c r="E339" t="s">
        <v>21</v>
      </c>
      <c r="F339" t="s">
        <v>1621</v>
      </c>
      <c r="G339" t="s">
        <v>1622</v>
      </c>
      <c r="H339" s="1">
        <v>46448</v>
      </c>
      <c r="I339" s="6">
        <v>45590</v>
      </c>
      <c r="J339" s="6">
        <v>46084</v>
      </c>
      <c r="K339">
        <v>61</v>
      </c>
      <c r="L339">
        <v>43</v>
      </c>
      <c r="M339">
        <v>29</v>
      </c>
      <c r="N339" s="8">
        <v>15</v>
      </c>
      <c r="O339">
        <v>67</v>
      </c>
      <c r="P339">
        <v>6</v>
      </c>
      <c r="Q339" s="3">
        <v>0.44</v>
      </c>
      <c r="R339">
        <f>Inventory_Table[[#This Row],[Stock_Quantity]]*Inventory_Table[[#This Row],[Unit_Price]]</f>
        <v>915</v>
      </c>
      <c r="S339">
        <f>Inventory_Table[[#This Row],[Sales_Volume]]*Inventory_Table[[#This Row],[Unit_Price]]</f>
        <v>1005</v>
      </c>
      <c r="T339" t="str">
        <f>IF(Inventory_Table[[#This Row],[Stock_Quantity]]&lt;=Inventory_Table[[#This Row],[Reorder_Level]],"REORDER","OK")</f>
        <v>OK</v>
      </c>
      <c r="U339" t="s">
        <v>3838</v>
      </c>
      <c r="V339" s="14">
        <f ca="1">TODAY()-Inventory_Table[[#This Row],[Last_Order_Date]]</f>
        <v>586</v>
      </c>
    </row>
    <row r="340" spans="1:22" x14ac:dyDescent="0.35">
      <c r="A340" t="s">
        <v>1623</v>
      </c>
      <c r="B340" t="s">
        <v>36</v>
      </c>
      <c r="C340" t="s">
        <v>1624</v>
      </c>
      <c r="D340" t="s">
        <v>1625</v>
      </c>
      <c r="E340" t="s">
        <v>21</v>
      </c>
      <c r="F340" t="s">
        <v>1626</v>
      </c>
      <c r="G340" t="s">
        <v>1627</v>
      </c>
      <c r="H340" s="1">
        <v>46448</v>
      </c>
      <c r="I340" s="6">
        <v>45367</v>
      </c>
      <c r="J340" s="6">
        <v>46266</v>
      </c>
      <c r="K340">
        <v>12</v>
      </c>
      <c r="L340">
        <v>60</v>
      </c>
      <c r="M340">
        <v>73</v>
      </c>
      <c r="N340" s="8">
        <v>4</v>
      </c>
      <c r="O340">
        <v>20</v>
      </c>
      <c r="P340">
        <v>35</v>
      </c>
      <c r="Q340" s="3">
        <v>0.91</v>
      </c>
      <c r="R340">
        <f>Inventory_Table[[#This Row],[Stock_Quantity]]*Inventory_Table[[#This Row],[Unit_Price]]</f>
        <v>48</v>
      </c>
      <c r="S340">
        <f>Inventory_Table[[#This Row],[Sales_Volume]]*Inventory_Table[[#This Row],[Unit_Price]]</f>
        <v>80</v>
      </c>
      <c r="T340" t="str">
        <f>IF(Inventory_Table[[#This Row],[Stock_Quantity]]&lt;=Inventory_Table[[#This Row],[Reorder_Level]],"REORDER","OK")</f>
        <v>REORDER</v>
      </c>
      <c r="U340" t="s">
        <v>3836</v>
      </c>
      <c r="V340" s="14">
        <f ca="1">TODAY()-Inventory_Table[[#This Row],[Last_Order_Date]]</f>
        <v>809</v>
      </c>
    </row>
    <row r="341" spans="1:22" x14ac:dyDescent="0.35">
      <c r="A341" t="s">
        <v>376</v>
      </c>
      <c r="B341" t="s">
        <v>18</v>
      </c>
      <c r="C341" t="s">
        <v>1628</v>
      </c>
      <c r="D341" t="s">
        <v>1629</v>
      </c>
      <c r="E341" t="s">
        <v>68</v>
      </c>
      <c r="F341" t="s">
        <v>1630</v>
      </c>
      <c r="G341" t="s">
        <v>1631</v>
      </c>
      <c r="H341" s="1">
        <v>46448</v>
      </c>
      <c r="I341" s="6">
        <v>45595</v>
      </c>
      <c r="J341" s="6">
        <v>46375</v>
      </c>
      <c r="K341">
        <v>98</v>
      </c>
      <c r="L341">
        <v>40</v>
      </c>
      <c r="M341">
        <v>100</v>
      </c>
      <c r="N341" s="8">
        <v>2</v>
      </c>
      <c r="O341">
        <v>46</v>
      </c>
      <c r="P341">
        <v>9</v>
      </c>
      <c r="Q341" s="3">
        <v>-0.75</v>
      </c>
      <c r="R341">
        <f>Inventory_Table[[#This Row],[Stock_Quantity]]*Inventory_Table[[#This Row],[Unit_Price]]</f>
        <v>196</v>
      </c>
      <c r="S341">
        <f>Inventory_Table[[#This Row],[Sales_Volume]]*Inventory_Table[[#This Row],[Unit_Price]]</f>
        <v>92</v>
      </c>
      <c r="T341" t="str">
        <f>IF(Inventory_Table[[#This Row],[Stock_Quantity]]&lt;=Inventory_Table[[#This Row],[Reorder_Level]],"REORDER","OK")</f>
        <v>OK</v>
      </c>
      <c r="U341" t="s">
        <v>3836</v>
      </c>
      <c r="V341" s="14">
        <f ca="1">TODAY()-Inventory_Table[[#This Row],[Last_Order_Date]]</f>
        <v>581</v>
      </c>
    </row>
    <row r="342" spans="1:22" x14ac:dyDescent="0.35">
      <c r="A342" t="s">
        <v>162</v>
      </c>
      <c r="B342" t="s">
        <v>163</v>
      </c>
      <c r="C342" t="s">
        <v>1632</v>
      </c>
      <c r="D342" t="s">
        <v>1633</v>
      </c>
      <c r="E342" t="s">
        <v>30</v>
      </c>
      <c r="F342" t="s">
        <v>1634</v>
      </c>
      <c r="G342" t="s">
        <v>1635</v>
      </c>
      <c r="H342" s="1">
        <v>46478</v>
      </c>
      <c r="I342" s="6">
        <v>45372</v>
      </c>
      <c r="J342" s="6">
        <v>46087</v>
      </c>
      <c r="K342">
        <v>46</v>
      </c>
      <c r="L342">
        <v>31</v>
      </c>
      <c r="M342">
        <v>89</v>
      </c>
      <c r="N342" s="8">
        <v>20</v>
      </c>
      <c r="O342">
        <v>59</v>
      </c>
      <c r="P342">
        <v>65</v>
      </c>
      <c r="Q342" s="3">
        <v>0.8</v>
      </c>
      <c r="R342">
        <f>Inventory_Table[[#This Row],[Stock_Quantity]]*Inventory_Table[[#This Row],[Unit_Price]]</f>
        <v>920</v>
      </c>
      <c r="S342">
        <f>Inventory_Table[[#This Row],[Sales_Volume]]*Inventory_Table[[#This Row],[Unit_Price]]</f>
        <v>1180</v>
      </c>
      <c r="T342" t="str">
        <f>IF(Inventory_Table[[#This Row],[Stock_Quantity]]&lt;=Inventory_Table[[#This Row],[Reorder_Level]],"REORDER","OK")</f>
        <v>OK</v>
      </c>
      <c r="U342" t="s">
        <v>3838</v>
      </c>
      <c r="V342" s="14">
        <f ca="1">TODAY()-Inventory_Table[[#This Row],[Last_Order_Date]]</f>
        <v>804</v>
      </c>
    </row>
    <row r="343" spans="1:22" x14ac:dyDescent="0.35">
      <c r="A343" t="s">
        <v>83</v>
      </c>
      <c r="B343" t="s">
        <v>36</v>
      </c>
      <c r="C343" t="s">
        <v>937</v>
      </c>
      <c r="D343" t="s">
        <v>1636</v>
      </c>
      <c r="E343" t="s">
        <v>21</v>
      </c>
      <c r="F343" t="s">
        <v>1637</v>
      </c>
      <c r="G343" t="s">
        <v>1638</v>
      </c>
      <c r="H343" s="1">
        <v>46478</v>
      </c>
      <c r="I343" s="6">
        <v>45650</v>
      </c>
      <c r="J343" s="6">
        <v>46424</v>
      </c>
      <c r="K343">
        <v>88</v>
      </c>
      <c r="L343">
        <v>53</v>
      </c>
      <c r="M343">
        <v>44</v>
      </c>
      <c r="N343" s="8">
        <v>9</v>
      </c>
      <c r="O343">
        <v>56</v>
      </c>
      <c r="P343">
        <v>14</v>
      </c>
      <c r="Q343" s="3">
        <v>-0.1</v>
      </c>
      <c r="R343">
        <f>Inventory_Table[[#This Row],[Stock_Quantity]]*Inventory_Table[[#This Row],[Unit_Price]]</f>
        <v>792</v>
      </c>
      <c r="S343">
        <f>Inventory_Table[[#This Row],[Sales_Volume]]*Inventory_Table[[#This Row],[Unit_Price]]</f>
        <v>504</v>
      </c>
      <c r="T343" t="str">
        <f>IF(Inventory_Table[[#This Row],[Stock_Quantity]]&lt;=Inventory_Table[[#This Row],[Reorder_Level]],"REORDER","OK")</f>
        <v>OK</v>
      </c>
      <c r="U343" t="s">
        <v>3836</v>
      </c>
      <c r="V343" s="14">
        <f ca="1">TODAY()-Inventory_Table[[#This Row],[Last_Order_Date]]</f>
        <v>526</v>
      </c>
    </row>
    <row r="344" spans="1:22" x14ac:dyDescent="0.35">
      <c r="A344" t="s">
        <v>690</v>
      </c>
      <c r="B344" t="s">
        <v>36</v>
      </c>
      <c r="C344" t="s">
        <v>1372</v>
      </c>
      <c r="D344" t="s">
        <v>1639</v>
      </c>
      <c r="E344" t="s">
        <v>21</v>
      </c>
      <c r="F344" t="s">
        <v>1640</v>
      </c>
      <c r="G344" t="s">
        <v>1641</v>
      </c>
      <c r="H344" s="1">
        <v>46478</v>
      </c>
      <c r="I344" s="6">
        <v>45564</v>
      </c>
      <c r="J344" s="6">
        <v>46426</v>
      </c>
      <c r="K344">
        <v>88</v>
      </c>
      <c r="L344">
        <v>22</v>
      </c>
      <c r="M344">
        <v>61</v>
      </c>
      <c r="N344" s="8">
        <v>2.5</v>
      </c>
      <c r="O344">
        <v>54</v>
      </c>
      <c r="P344">
        <v>100</v>
      </c>
      <c r="Q344" s="3">
        <v>0.75</v>
      </c>
      <c r="R344">
        <f>Inventory_Table[[#This Row],[Stock_Quantity]]*Inventory_Table[[#This Row],[Unit_Price]]</f>
        <v>220</v>
      </c>
      <c r="S344">
        <f>Inventory_Table[[#This Row],[Sales_Volume]]*Inventory_Table[[#This Row],[Unit_Price]]</f>
        <v>135</v>
      </c>
      <c r="T344" t="str">
        <f>IF(Inventory_Table[[#This Row],[Stock_Quantity]]&lt;=Inventory_Table[[#This Row],[Reorder_Level]],"REORDER","OK")</f>
        <v>OK</v>
      </c>
      <c r="U344" t="s">
        <v>3836</v>
      </c>
      <c r="V344" s="14">
        <f ca="1">TODAY()-Inventory_Table[[#This Row],[Last_Order_Date]]</f>
        <v>612</v>
      </c>
    </row>
    <row r="345" spans="1:22" x14ac:dyDescent="0.35">
      <c r="A345" t="s">
        <v>194</v>
      </c>
      <c r="B345" t="s">
        <v>114</v>
      </c>
      <c r="C345" t="s">
        <v>804</v>
      </c>
      <c r="D345" t="s">
        <v>1642</v>
      </c>
      <c r="E345" t="s">
        <v>30</v>
      </c>
      <c r="F345" t="s">
        <v>1643</v>
      </c>
      <c r="G345" t="s">
        <v>1644</v>
      </c>
      <c r="H345" s="1">
        <v>46478</v>
      </c>
      <c r="I345" s="6">
        <v>45628</v>
      </c>
      <c r="J345" s="6">
        <v>46292</v>
      </c>
      <c r="K345">
        <v>94</v>
      </c>
      <c r="L345">
        <v>56</v>
      </c>
      <c r="M345">
        <v>80</v>
      </c>
      <c r="N345" s="8">
        <v>4</v>
      </c>
      <c r="O345">
        <v>47</v>
      </c>
      <c r="P345">
        <v>96</v>
      </c>
      <c r="Q345" s="3">
        <v>-0.85</v>
      </c>
      <c r="R345">
        <f>Inventory_Table[[#This Row],[Stock_Quantity]]*Inventory_Table[[#This Row],[Unit_Price]]</f>
        <v>376</v>
      </c>
      <c r="S345">
        <f>Inventory_Table[[#This Row],[Sales_Volume]]*Inventory_Table[[#This Row],[Unit_Price]]</f>
        <v>188</v>
      </c>
      <c r="T345" t="str">
        <f>IF(Inventory_Table[[#This Row],[Stock_Quantity]]&lt;=Inventory_Table[[#This Row],[Reorder_Level]],"REORDER","OK")</f>
        <v>OK</v>
      </c>
      <c r="U345" t="s">
        <v>3836</v>
      </c>
      <c r="V345" s="14">
        <f ca="1">TODAY()-Inventory_Table[[#This Row],[Last_Order_Date]]</f>
        <v>548</v>
      </c>
    </row>
    <row r="346" spans="1:22" x14ac:dyDescent="0.35">
      <c r="A346" t="s">
        <v>418</v>
      </c>
      <c r="B346" t="s">
        <v>65</v>
      </c>
      <c r="C346" t="s">
        <v>1547</v>
      </c>
      <c r="D346" t="s">
        <v>1645</v>
      </c>
      <c r="E346" t="s">
        <v>68</v>
      </c>
      <c r="F346" t="s">
        <v>1646</v>
      </c>
      <c r="G346" t="s">
        <v>1647</v>
      </c>
      <c r="H346" s="1">
        <v>46478</v>
      </c>
      <c r="I346" s="6">
        <v>45478</v>
      </c>
      <c r="J346" s="6">
        <v>46094</v>
      </c>
      <c r="K346">
        <v>18</v>
      </c>
      <c r="L346">
        <v>78</v>
      </c>
      <c r="M346">
        <v>43</v>
      </c>
      <c r="N346" s="8">
        <v>6</v>
      </c>
      <c r="O346">
        <v>85</v>
      </c>
      <c r="P346">
        <v>97</v>
      </c>
      <c r="Q346" s="3">
        <v>-1.04</v>
      </c>
      <c r="R346">
        <f>Inventory_Table[[#This Row],[Stock_Quantity]]*Inventory_Table[[#This Row],[Unit_Price]]</f>
        <v>108</v>
      </c>
      <c r="S346">
        <f>Inventory_Table[[#This Row],[Sales_Volume]]*Inventory_Table[[#This Row],[Unit_Price]]</f>
        <v>510</v>
      </c>
      <c r="T346" t="str">
        <f>IF(Inventory_Table[[#This Row],[Stock_Quantity]]&lt;=Inventory_Table[[#This Row],[Reorder_Level]],"REORDER","OK")</f>
        <v>REORDER</v>
      </c>
      <c r="U346" t="s">
        <v>3838</v>
      </c>
      <c r="V346" s="14">
        <f ca="1">TODAY()-Inventory_Table[[#This Row],[Last_Order_Date]]</f>
        <v>698</v>
      </c>
    </row>
    <row r="347" spans="1:22" x14ac:dyDescent="0.35">
      <c r="A347" t="s">
        <v>17</v>
      </c>
      <c r="B347" t="s">
        <v>18</v>
      </c>
      <c r="C347" t="s">
        <v>1649</v>
      </c>
      <c r="D347" t="s">
        <v>1650</v>
      </c>
      <c r="E347" t="s">
        <v>21</v>
      </c>
      <c r="F347" t="s">
        <v>1651</v>
      </c>
      <c r="G347" t="s">
        <v>1652</v>
      </c>
      <c r="H347" s="1">
        <v>46478</v>
      </c>
      <c r="I347" s="6">
        <v>45580</v>
      </c>
      <c r="J347" s="6">
        <v>46282</v>
      </c>
      <c r="K347">
        <v>94</v>
      </c>
      <c r="L347">
        <v>18</v>
      </c>
      <c r="M347">
        <v>84</v>
      </c>
      <c r="N347" s="8">
        <v>4.5</v>
      </c>
      <c r="O347">
        <v>44</v>
      </c>
      <c r="P347">
        <v>49</v>
      </c>
      <c r="Q347" s="3">
        <v>-0.14000000000000001</v>
      </c>
      <c r="R347">
        <f>Inventory_Table[[#This Row],[Stock_Quantity]]*Inventory_Table[[#This Row],[Unit_Price]]</f>
        <v>423</v>
      </c>
      <c r="S347">
        <f>Inventory_Table[[#This Row],[Sales_Volume]]*Inventory_Table[[#This Row],[Unit_Price]]</f>
        <v>198</v>
      </c>
      <c r="T347" t="str">
        <f>IF(Inventory_Table[[#This Row],[Stock_Quantity]]&lt;=Inventory_Table[[#This Row],[Reorder_Level]],"REORDER","OK")</f>
        <v>OK</v>
      </c>
      <c r="U347" t="s">
        <v>3836</v>
      </c>
      <c r="V347" s="14">
        <f ca="1">TODAY()-Inventory_Table[[#This Row],[Last_Order_Date]]</f>
        <v>596</v>
      </c>
    </row>
    <row r="348" spans="1:22" x14ac:dyDescent="0.35">
      <c r="A348" t="s">
        <v>106</v>
      </c>
      <c r="B348" t="s">
        <v>18</v>
      </c>
      <c r="C348" t="s">
        <v>1653</v>
      </c>
      <c r="D348" t="s">
        <v>1654</v>
      </c>
      <c r="E348" t="s">
        <v>21</v>
      </c>
      <c r="F348" t="s">
        <v>1655</v>
      </c>
      <c r="G348" t="s">
        <v>1656</v>
      </c>
      <c r="H348" s="1">
        <v>46479</v>
      </c>
      <c r="I348" s="6">
        <v>45499</v>
      </c>
      <c r="J348" s="6">
        <v>46135</v>
      </c>
      <c r="K348">
        <v>41</v>
      </c>
      <c r="L348">
        <v>94</v>
      </c>
      <c r="M348">
        <v>4</v>
      </c>
      <c r="N348" s="8">
        <v>3</v>
      </c>
      <c r="O348">
        <v>88</v>
      </c>
      <c r="P348">
        <v>92</v>
      </c>
      <c r="Q348" s="3">
        <v>-0.11</v>
      </c>
      <c r="R348">
        <f>Inventory_Table[[#This Row],[Stock_Quantity]]*Inventory_Table[[#This Row],[Unit_Price]]</f>
        <v>123</v>
      </c>
      <c r="S348">
        <f>Inventory_Table[[#This Row],[Sales_Volume]]*Inventory_Table[[#This Row],[Unit_Price]]</f>
        <v>264</v>
      </c>
      <c r="T348" t="str">
        <f>IF(Inventory_Table[[#This Row],[Stock_Quantity]]&lt;=Inventory_Table[[#This Row],[Reorder_Level]],"REORDER","OK")</f>
        <v>REORDER</v>
      </c>
      <c r="U348" t="s">
        <v>3838</v>
      </c>
      <c r="V348" s="14">
        <f ca="1">TODAY()-Inventory_Table[[#This Row],[Last_Order_Date]]</f>
        <v>677</v>
      </c>
    </row>
    <row r="349" spans="1:22" x14ac:dyDescent="0.35">
      <c r="A349" t="s">
        <v>382</v>
      </c>
      <c r="B349" t="s">
        <v>36</v>
      </c>
      <c r="C349" t="s">
        <v>1657</v>
      </c>
      <c r="D349" t="s">
        <v>1658</v>
      </c>
      <c r="E349" t="s">
        <v>30</v>
      </c>
      <c r="F349" t="s">
        <v>1659</v>
      </c>
      <c r="G349" t="s">
        <v>1660</v>
      </c>
      <c r="H349" s="1">
        <v>46508</v>
      </c>
      <c r="I349" s="6">
        <v>45424</v>
      </c>
      <c r="J349" s="6">
        <v>46167</v>
      </c>
      <c r="K349">
        <v>18</v>
      </c>
      <c r="L349">
        <v>14</v>
      </c>
      <c r="M349">
        <v>77</v>
      </c>
      <c r="N349" s="8">
        <v>2.5</v>
      </c>
      <c r="O349">
        <v>78</v>
      </c>
      <c r="P349">
        <v>4</v>
      </c>
      <c r="Q349" s="3">
        <v>-0.05</v>
      </c>
      <c r="R349">
        <f>Inventory_Table[[#This Row],[Stock_Quantity]]*Inventory_Table[[#This Row],[Unit_Price]]</f>
        <v>45</v>
      </c>
      <c r="S349">
        <f>Inventory_Table[[#This Row],[Sales_Volume]]*Inventory_Table[[#This Row],[Unit_Price]]</f>
        <v>195</v>
      </c>
      <c r="T349" t="str">
        <f>IF(Inventory_Table[[#This Row],[Stock_Quantity]]&lt;=Inventory_Table[[#This Row],[Reorder_Level]],"REORDER","OK")</f>
        <v>OK</v>
      </c>
      <c r="U349" t="s">
        <v>3838</v>
      </c>
      <c r="V349" s="14">
        <f ca="1">TODAY()-Inventory_Table[[#This Row],[Last_Order_Date]]</f>
        <v>752</v>
      </c>
    </row>
    <row r="350" spans="1:22" x14ac:dyDescent="0.35">
      <c r="A350" t="s">
        <v>975</v>
      </c>
      <c r="B350" t="s">
        <v>18</v>
      </c>
      <c r="C350" t="s">
        <v>37</v>
      </c>
      <c r="D350" t="s">
        <v>1662</v>
      </c>
      <c r="E350" t="s">
        <v>68</v>
      </c>
      <c r="F350" t="s">
        <v>1663</v>
      </c>
      <c r="G350" t="s">
        <v>1664</v>
      </c>
      <c r="H350" s="1">
        <v>46508</v>
      </c>
      <c r="I350" s="6">
        <v>45668</v>
      </c>
      <c r="J350" s="6">
        <v>46308</v>
      </c>
      <c r="K350">
        <v>19</v>
      </c>
      <c r="L350">
        <v>92</v>
      </c>
      <c r="M350">
        <v>41</v>
      </c>
      <c r="N350" s="8">
        <v>2</v>
      </c>
      <c r="O350">
        <v>51</v>
      </c>
      <c r="P350">
        <v>79</v>
      </c>
      <c r="Q350" s="3">
        <v>0.95</v>
      </c>
      <c r="R350">
        <f>Inventory_Table[[#This Row],[Stock_Quantity]]*Inventory_Table[[#This Row],[Unit_Price]]</f>
        <v>38</v>
      </c>
      <c r="S350">
        <f>Inventory_Table[[#This Row],[Sales_Volume]]*Inventory_Table[[#This Row],[Unit_Price]]</f>
        <v>102</v>
      </c>
      <c r="T350" t="str">
        <f>IF(Inventory_Table[[#This Row],[Stock_Quantity]]&lt;=Inventory_Table[[#This Row],[Reorder_Level]],"REORDER","OK")</f>
        <v>REORDER</v>
      </c>
      <c r="U350" t="s">
        <v>3836</v>
      </c>
      <c r="V350" s="14">
        <f ca="1">TODAY()-Inventory_Table[[#This Row],[Last_Order_Date]]</f>
        <v>508</v>
      </c>
    </row>
    <row r="351" spans="1:22" x14ac:dyDescent="0.35">
      <c r="A351" t="s">
        <v>418</v>
      </c>
      <c r="B351" t="s">
        <v>65</v>
      </c>
      <c r="C351" t="s">
        <v>1279</v>
      </c>
      <c r="D351" t="s">
        <v>1665</v>
      </c>
      <c r="E351" t="s">
        <v>30</v>
      </c>
      <c r="F351" t="s">
        <v>1666</v>
      </c>
      <c r="G351" t="s">
        <v>1667</v>
      </c>
      <c r="H351" s="1">
        <v>46508</v>
      </c>
      <c r="I351" s="6">
        <v>45535</v>
      </c>
      <c r="J351" s="6">
        <v>46405</v>
      </c>
      <c r="K351">
        <v>98</v>
      </c>
      <c r="L351">
        <v>41</v>
      </c>
      <c r="M351">
        <v>98</v>
      </c>
      <c r="N351" s="8">
        <v>6.35</v>
      </c>
      <c r="O351">
        <v>70</v>
      </c>
      <c r="P351">
        <v>75</v>
      </c>
      <c r="Q351" s="3">
        <v>-0.55000000000000004</v>
      </c>
      <c r="R351">
        <f>Inventory_Table[[#This Row],[Stock_Quantity]]*Inventory_Table[[#This Row],[Unit_Price]]</f>
        <v>622.29999999999995</v>
      </c>
      <c r="S351">
        <f>Inventory_Table[[#This Row],[Sales_Volume]]*Inventory_Table[[#This Row],[Unit_Price]]</f>
        <v>444.5</v>
      </c>
      <c r="T351" t="str">
        <f>IF(Inventory_Table[[#This Row],[Stock_Quantity]]&lt;=Inventory_Table[[#This Row],[Reorder_Level]],"REORDER","OK")</f>
        <v>OK</v>
      </c>
      <c r="U351" t="s">
        <v>3836</v>
      </c>
      <c r="V351" s="14">
        <f ca="1">TODAY()-Inventory_Table[[#This Row],[Last_Order_Date]]</f>
        <v>641</v>
      </c>
    </row>
    <row r="352" spans="1:22" x14ac:dyDescent="0.35">
      <c r="A352" t="s">
        <v>786</v>
      </c>
      <c r="B352" t="s">
        <v>65</v>
      </c>
      <c r="C352" t="s">
        <v>1133</v>
      </c>
      <c r="D352" t="s">
        <v>1669</v>
      </c>
      <c r="E352" t="s">
        <v>68</v>
      </c>
      <c r="F352" t="s">
        <v>1670</v>
      </c>
      <c r="G352" t="s">
        <v>1671</v>
      </c>
      <c r="H352" s="1">
        <v>46509</v>
      </c>
      <c r="I352" s="6">
        <v>45576</v>
      </c>
      <c r="J352" s="6">
        <v>46242</v>
      </c>
      <c r="K352">
        <v>21</v>
      </c>
      <c r="L352">
        <v>15</v>
      </c>
      <c r="M352">
        <v>27</v>
      </c>
      <c r="N352" s="8">
        <v>2.5</v>
      </c>
      <c r="O352">
        <v>37</v>
      </c>
      <c r="P352">
        <v>41</v>
      </c>
      <c r="Q352" s="3">
        <v>-7.0000000000000007E-2</v>
      </c>
      <c r="R352">
        <f>Inventory_Table[[#This Row],[Stock_Quantity]]*Inventory_Table[[#This Row],[Unit_Price]]</f>
        <v>52.5</v>
      </c>
      <c r="S352">
        <f>Inventory_Table[[#This Row],[Sales_Volume]]*Inventory_Table[[#This Row],[Unit_Price]]</f>
        <v>92.5</v>
      </c>
      <c r="T352" t="str">
        <f>IF(Inventory_Table[[#This Row],[Stock_Quantity]]&lt;=Inventory_Table[[#This Row],[Reorder_Level]],"REORDER","OK")</f>
        <v>OK</v>
      </c>
      <c r="U352" t="s">
        <v>3836</v>
      </c>
      <c r="V352" s="14">
        <f ca="1">TODAY()-Inventory_Table[[#This Row],[Last_Order_Date]]</f>
        <v>600</v>
      </c>
    </row>
    <row r="353" spans="1:22" x14ac:dyDescent="0.35">
      <c r="A353" t="s">
        <v>1350</v>
      </c>
      <c r="B353" t="s">
        <v>114</v>
      </c>
      <c r="C353" t="s">
        <v>1066</v>
      </c>
      <c r="D353" t="s">
        <v>1672</v>
      </c>
      <c r="E353" t="s">
        <v>68</v>
      </c>
      <c r="F353" t="s">
        <v>1673</v>
      </c>
      <c r="G353" t="s">
        <v>1674</v>
      </c>
      <c r="H353" s="1">
        <v>46509</v>
      </c>
      <c r="I353" s="6">
        <v>45414</v>
      </c>
      <c r="J353" s="6">
        <v>46169</v>
      </c>
      <c r="K353">
        <v>74</v>
      </c>
      <c r="L353">
        <v>81</v>
      </c>
      <c r="M353">
        <v>41</v>
      </c>
      <c r="N353" s="8">
        <v>6</v>
      </c>
      <c r="O353">
        <v>51</v>
      </c>
      <c r="P353">
        <v>67</v>
      </c>
      <c r="Q353" s="3">
        <v>-0.11</v>
      </c>
      <c r="R353">
        <f>Inventory_Table[[#This Row],[Stock_Quantity]]*Inventory_Table[[#This Row],[Unit_Price]]</f>
        <v>444</v>
      </c>
      <c r="S353">
        <f>Inventory_Table[[#This Row],[Sales_Volume]]*Inventory_Table[[#This Row],[Unit_Price]]</f>
        <v>306</v>
      </c>
      <c r="T353" t="str">
        <f>IF(Inventory_Table[[#This Row],[Stock_Quantity]]&lt;=Inventory_Table[[#This Row],[Reorder_Level]],"REORDER","OK")</f>
        <v>REORDER</v>
      </c>
      <c r="U353" t="s">
        <v>3838</v>
      </c>
      <c r="V353" s="14">
        <f ca="1">TODAY()-Inventory_Table[[#This Row],[Last_Order_Date]]</f>
        <v>762</v>
      </c>
    </row>
    <row r="354" spans="1:22" x14ac:dyDescent="0.35">
      <c r="A354" t="s">
        <v>665</v>
      </c>
      <c r="B354" t="s">
        <v>65</v>
      </c>
      <c r="C354" t="s">
        <v>1675</v>
      </c>
      <c r="D354" t="s">
        <v>1676</v>
      </c>
      <c r="E354" t="s">
        <v>30</v>
      </c>
      <c r="F354" t="s">
        <v>1677</v>
      </c>
      <c r="G354" t="s">
        <v>1678</v>
      </c>
      <c r="H354" s="1">
        <v>46539</v>
      </c>
      <c r="I354" s="6">
        <v>45444</v>
      </c>
      <c r="J354" s="6">
        <v>46148</v>
      </c>
      <c r="K354">
        <v>20</v>
      </c>
      <c r="L354">
        <v>20</v>
      </c>
      <c r="M354">
        <v>56</v>
      </c>
      <c r="N354" s="8">
        <v>1.8</v>
      </c>
      <c r="O354">
        <v>62</v>
      </c>
      <c r="P354">
        <v>69</v>
      </c>
      <c r="Q354" s="3">
        <v>-0.31</v>
      </c>
      <c r="R354">
        <f>Inventory_Table[[#This Row],[Stock_Quantity]]*Inventory_Table[[#This Row],[Unit_Price]]</f>
        <v>36</v>
      </c>
      <c r="S354">
        <f>Inventory_Table[[#This Row],[Sales_Volume]]*Inventory_Table[[#This Row],[Unit_Price]]</f>
        <v>111.60000000000001</v>
      </c>
      <c r="T354" t="str">
        <f>IF(Inventory_Table[[#This Row],[Stock_Quantity]]&lt;=Inventory_Table[[#This Row],[Reorder_Level]],"REORDER","OK")</f>
        <v>REORDER</v>
      </c>
      <c r="U354" t="s">
        <v>3838</v>
      </c>
      <c r="V354" s="14">
        <f ca="1">TODAY()-Inventory_Table[[#This Row],[Last_Order_Date]]</f>
        <v>732</v>
      </c>
    </row>
    <row r="355" spans="1:22" x14ac:dyDescent="0.35">
      <c r="A355" t="s">
        <v>624</v>
      </c>
      <c r="B355" t="s">
        <v>18</v>
      </c>
      <c r="C355" t="s">
        <v>1445</v>
      </c>
      <c r="D355" t="s">
        <v>1679</v>
      </c>
      <c r="E355" t="s">
        <v>30</v>
      </c>
      <c r="F355" t="s">
        <v>1680</v>
      </c>
      <c r="G355" t="s">
        <v>1681</v>
      </c>
      <c r="H355" s="1">
        <v>46539</v>
      </c>
      <c r="I355" s="6">
        <v>45626</v>
      </c>
      <c r="J355" s="6">
        <v>46335</v>
      </c>
      <c r="K355">
        <v>35</v>
      </c>
      <c r="L355">
        <v>19</v>
      </c>
      <c r="M355">
        <v>30</v>
      </c>
      <c r="N355" s="8">
        <v>6.5</v>
      </c>
      <c r="O355">
        <v>88</v>
      </c>
      <c r="P355">
        <v>6</v>
      </c>
      <c r="Q355" s="3">
        <v>-0.11</v>
      </c>
      <c r="R355">
        <f>Inventory_Table[[#This Row],[Stock_Quantity]]*Inventory_Table[[#This Row],[Unit_Price]]</f>
        <v>227.5</v>
      </c>
      <c r="S355">
        <f>Inventory_Table[[#This Row],[Sales_Volume]]*Inventory_Table[[#This Row],[Unit_Price]]</f>
        <v>572</v>
      </c>
      <c r="T355" t="str">
        <f>IF(Inventory_Table[[#This Row],[Stock_Quantity]]&lt;=Inventory_Table[[#This Row],[Reorder_Level]],"REORDER","OK")</f>
        <v>OK</v>
      </c>
      <c r="U355" t="s">
        <v>3836</v>
      </c>
      <c r="V355" s="14">
        <f ca="1">TODAY()-Inventory_Table[[#This Row],[Last_Order_Date]]</f>
        <v>550</v>
      </c>
    </row>
    <row r="356" spans="1:22" x14ac:dyDescent="0.35">
      <c r="A356" t="s">
        <v>1527</v>
      </c>
      <c r="B356" t="s">
        <v>18</v>
      </c>
      <c r="C356" t="s">
        <v>654</v>
      </c>
      <c r="D356" t="s">
        <v>1683</v>
      </c>
      <c r="E356" t="s">
        <v>30</v>
      </c>
      <c r="F356" t="s">
        <v>1684</v>
      </c>
      <c r="G356" t="s">
        <v>1685</v>
      </c>
      <c r="H356" s="1">
        <v>46539</v>
      </c>
      <c r="I356" s="6">
        <v>45508</v>
      </c>
      <c r="J356" s="6">
        <v>46228</v>
      </c>
      <c r="K356">
        <v>81</v>
      </c>
      <c r="L356">
        <v>16</v>
      </c>
      <c r="M356">
        <v>69</v>
      </c>
      <c r="N356" s="8">
        <v>4.3</v>
      </c>
      <c r="O356">
        <v>23</v>
      </c>
      <c r="P356">
        <v>96</v>
      </c>
      <c r="Q356" s="3">
        <v>0.93</v>
      </c>
      <c r="R356">
        <f>Inventory_Table[[#This Row],[Stock_Quantity]]*Inventory_Table[[#This Row],[Unit_Price]]</f>
        <v>348.3</v>
      </c>
      <c r="S356">
        <f>Inventory_Table[[#This Row],[Sales_Volume]]*Inventory_Table[[#This Row],[Unit_Price]]</f>
        <v>98.899999999999991</v>
      </c>
      <c r="T356" t="str">
        <f>IF(Inventory_Table[[#This Row],[Stock_Quantity]]&lt;=Inventory_Table[[#This Row],[Reorder_Level]],"REORDER","OK")</f>
        <v>OK</v>
      </c>
      <c r="U356" t="s">
        <v>3836</v>
      </c>
      <c r="V356" s="14">
        <f ca="1">TODAY()-Inventory_Table[[#This Row],[Last_Order_Date]]</f>
        <v>668</v>
      </c>
    </row>
    <row r="357" spans="1:22" x14ac:dyDescent="0.35">
      <c r="A357" t="s">
        <v>1623</v>
      </c>
      <c r="B357" t="s">
        <v>36</v>
      </c>
      <c r="C357" t="s">
        <v>290</v>
      </c>
      <c r="D357" t="s">
        <v>1687</v>
      </c>
      <c r="E357" t="s">
        <v>21</v>
      </c>
      <c r="F357" t="s">
        <v>1688</v>
      </c>
      <c r="G357" t="s">
        <v>1689</v>
      </c>
      <c r="H357" s="1">
        <v>46539</v>
      </c>
      <c r="I357" s="6">
        <v>45596</v>
      </c>
      <c r="J357" s="6">
        <v>46274</v>
      </c>
      <c r="K357">
        <v>85</v>
      </c>
      <c r="L357">
        <v>66</v>
      </c>
      <c r="M357">
        <v>85</v>
      </c>
      <c r="N357" s="8">
        <v>4.2</v>
      </c>
      <c r="O357">
        <v>65</v>
      </c>
      <c r="P357">
        <v>58</v>
      </c>
      <c r="Q357" s="3">
        <v>-3.17</v>
      </c>
      <c r="R357">
        <f>Inventory_Table[[#This Row],[Stock_Quantity]]*Inventory_Table[[#This Row],[Unit_Price]]</f>
        <v>357</v>
      </c>
      <c r="S357">
        <f>Inventory_Table[[#This Row],[Sales_Volume]]*Inventory_Table[[#This Row],[Unit_Price]]</f>
        <v>273</v>
      </c>
      <c r="T357" t="str">
        <f>IF(Inventory_Table[[#This Row],[Stock_Quantity]]&lt;=Inventory_Table[[#This Row],[Reorder_Level]],"REORDER","OK")</f>
        <v>OK</v>
      </c>
      <c r="U357" t="s">
        <v>3836</v>
      </c>
      <c r="V357" s="14">
        <f ca="1">TODAY()-Inventory_Table[[#This Row],[Last_Order_Date]]</f>
        <v>580</v>
      </c>
    </row>
    <row r="358" spans="1:22" x14ac:dyDescent="0.35">
      <c r="A358" t="s">
        <v>640</v>
      </c>
      <c r="B358" t="s">
        <v>163</v>
      </c>
      <c r="C358" t="s">
        <v>1690</v>
      </c>
      <c r="D358" t="s">
        <v>1691</v>
      </c>
      <c r="E358" t="s">
        <v>68</v>
      </c>
      <c r="F358" t="s">
        <v>1692</v>
      </c>
      <c r="G358" t="s">
        <v>1693</v>
      </c>
      <c r="H358" s="1">
        <v>46539</v>
      </c>
      <c r="I358" s="6">
        <v>45372</v>
      </c>
      <c r="J358" s="6">
        <v>46111</v>
      </c>
      <c r="K358">
        <v>45</v>
      </c>
      <c r="L358">
        <v>58</v>
      </c>
      <c r="M358">
        <v>84</v>
      </c>
      <c r="N358" s="8">
        <v>5</v>
      </c>
      <c r="O358">
        <v>90</v>
      </c>
      <c r="P358">
        <v>67</v>
      </c>
      <c r="Q358" s="3">
        <v>0.11</v>
      </c>
      <c r="R358">
        <f>Inventory_Table[[#This Row],[Stock_Quantity]]*Inventory_Table[[#This Row],[Unit_Price]]</f>
        <v>225</v>
      </c>
      <c r="S358">
        <f>Inventory_Table[[#This Row],[Sales_Volume]]*Inventory_Table[[#This Row],[Unit_Price]]</f>
        <v>450</v>
      </c>
      <c r="T358" t="str">
        <f>IF(Inventory_Table[[#This Row],[Stock_Quantity]]&lt;=Inventory_Table[[#This Row],[Reorder_Level]],"REORDER","OK")</f>
        <v>REORDER</v>
      </c>
      <c r="U358" t="s">
        <v>3838</v>
      </c>
      <c r="V358" s="14">
        <f ca="1">TODAY()-Inventory_Table[[#This Row],[Last_Order_Date]]</f>
        <v>804</v>
      </c>
    </row>
    <row r="359" spans="1:22" x14ac:dyDescent="0.35">
      <c r="A359" t="s">
        <v>832</v>
      </c>
      <c r="B359" t="s">
        <v>18</v>
      </c>
      <c r="C359" t="s">
        <v>959</v>
      </c>
      <c r="D359" t="s">
        <v>1694</v>
      </c>
      <c r="E359" t="s">
        <v>21</v>
      </c>
      <c r="F359" t="s">
        <v>1695</v>
      </c>
      <c r="G359" t="s">
        <v>1696</v>
      </c>
      <c r="H359" s="1">
        <v>46540</v>
      </c>
      <c r="I359" s="6">
        <v>45568</v>
      </c>
      <c r="J359" s="6">
        <v>46206</v>
      </c>
      <c r="K359">
        <v>47</v>
      </c>
      <c r="L359">
        <v>75</v>
      </c>
      <c r="M359">
        <v>53</v>
      </c>
      <c r="N359" s="8">
        <v>6</v>
      </c>
      <c r="O359">
        <v>70</v>
      </c>
      <c r="P359">
        <v>20</v>
      </c>
      <c r="Q359" s="3">
        <v>0.26</v>
      </c>
      <c r="R359">
        <f>Inventory_Table[[#This Row],[Stock_Quantity]]*Inventory_Table[[#This Row],[Unit_Price]]</f>
        <v>282</v>
      </c>
      <c r="S359">
        <f>Inventory_Table[[#This Row],[Sales_Volume]]*Inventory_Table[[#This Row],[Unit_Price]]</f>
        <v>420</v>
      </c>
      <c r="T359" t="str">
        <f>IF(Inventory_Table[[#This Row],[Stock_Quantity]]&lt;=Inventory_Table[[#This Row],[Reorder_Level]],"REORDER","OK")</f>
        <v>REORDER</v>
      </c>
      <c r="U359" t="s">
        <v>3836</v>
      </c>
      <c r="V359" s="14">
        <f ca="1">TODAY()-Inventory_Table[[#This Row],[Last_Order_Date]]</f>
        <v>608</v>
      </c>
    </row>
    <row r="360" spans="1:22" x14ac:dyDescent="0.35">
      <c r="A360" t="s">
        <v>1350</v>
      </c>
      <c r="B360" t="s">
        <v>114</v>
      </c>
      <c r="C360" t="s">
        <v>1697</v>
      </c>
      <c r="D360" t="s">
        <v>1698</v>
      </c>
      <c r="E360" t="s">
        <v>21</v>
      </c>
      <c r="F360" t="s">
        <v>1699</v>
      </c>
      <c r="G360" t="s">
        <v>1700</v>
      </c>
      <c r="H360" s="1">
        <v>46540</v>
      </c>
      <c r="I360" s="6">
        <v>45705</v>
      </c>
      <c r="J360" s="6">
        <v>46196</v>
      </c>
      <c r="K360">
        <v>12</v>
      </c>
      <c r="L360">
        <v>7</v>
      </c>
      <c r="M360">
        <v>23</v>
      </c>
      <c r="N360" s="8">
        <v>6</v>
      </c>
      <c r="O360">
        <v>72</v>
      </c>
      <c r="P360">
        <v>16</v>
      </c>
      <c r="Q360" s="3">
        <v>0.71</v>
      </c>
      <c r="R360">
        <f>Inventory_Table[[#This Row],[Stock_Quantity]]*Inventory_Table[[#This Row],[Unit_Price]]</f>
        <v>72</v>
      </c>
      <c r="S360">
        <f>Inventory_Table[[#This Row],[Sales_Volume]]*Inventory_Table[[#This Row],[Unit_Price]]</f>
        <v>432</v>
      </c>
      <c r="T360" t="str">
        <f>IF(Inventory_Table[[#This Row],[Stock_Quantity]]&lt;=Inventory_Table[[#This Row],[Reorder_Level]],"REORDER","OK")</f>
        <v>OK</v>
      </c>
      <c r="U360" t="s">
        <v>3837</v>
      </c>
      <c r="V360" s="14">
        <f ca="1">TODAY()-Inventory_Table[[#This Row],[Last_Order_Date]]</f>
        <v>471</v>
      </c>
    </row>
    <row r="361" spans="1:22" x14ac:dyDescent="0.35">
      <c r="A361" t="s">
        <v>653</v>
      </c>
      <c r="B361" t="s">
        <v>163</v>
      </c>
      <c r="C361" t="s">
        <v>611</v>
      </c>
      <c r="D361" t="s">
        <v>1701</v>
      </c>
      <c r="E361" t="s">
        <v>68</v>
      </c>
      <c r="F361" t="s">
        <v>1702</v>
      </c>
      <c r="G361" t="s">
        <v>1703</v>
      </c>
      <c r="H361" s="1">
        <v>46569</v>
      </c>
      <c r="I361" s="6">
        <v>45349</v>
      </c>
      <c r="J361" s="6">
        <v>46110</v>
      </c>
      <c r="K361">
        <v>20</v>
      </c>
      <c r="L361">
        <v>43</v>
      </c>
      <c r="M361">
        <v>43</v>
      </c>
      <c r="N361" s="8">
        <v>25</v>
      </c>
      <c r="O361">
        <v>73</v>
      </c>
      <c r="P361">
        <v>6</v>
      </c>
      <c r="Q361" s="3">
        <v>0.78</v>
      </c>
      <c r="R361">
        <f>Inventory_Table[[#This Row],[Stock_Quantity]]*Inventory_Table[[#This Row],[Unit_Price]]</f>
        <v>500</v>
      </c>
      <c r="S361">
        <f>Inventory_Table[[#This Row],[Sales_Volume]]*Inventory_Table[[#This Row],[Unit_Price]]</f>
        <v>1825</v>
      </c>
      <c r="T361" t="str">
        <f>IF(Inventory_Table[[#This Row],[Stock_Quantity]]&lt;=Inventory_Table[[#This Row],[Reorder_Level]],"REORDER","OK")</f>
        <v>REORDER</v>
      </c>
      <c r="U361" t="s">
        <v>3838</v>
      </c>
      <c r="V361" s="14">
        <f ca="1">TODAY()-Inventory_Table[[#This Row],[Last_Order_Date]]</f>
        <v>827</v>
      </c>
    </row>
    <row r="362" spans="1:22" x14ac:dyDescent="0.35">
      <c r="A362" t="s">
        <v>1704</v>
      </c>
      <c r="B362" t="s">
        <v>18</v>
      </c>
      <c r="C362" t="s">
        <v>1619</v>
      </c>
      <c r="D362" t="s">
        <v>1705</v>
      </c>
      <c r="E362" t="s">
        <v>30</v>
      </c>
      <c r="F362" t="s">
        <v>1706</v>
      </c>
      <c r="G362" t="s">
        <v>1707</v>
      </c>
      <c r="H362" s="1">
        <v>46569</v>
      </c>
      <c r="I362" s="6">
        <v>45448</v>
      </c>
      <c r="J362" s="6">
        <v>46148</v>
      </c>
      <c r="K362">
        <v>87</v>
      </c>
      <c r="L362">
        <v>51</v>
      </c>
      <c r="M362">
        <v>67</v>
      </c>
      <c r="N362" s="8">
        <v>10</v>
      </c>
      <c r="O362">
        <v>55</v>
      </c>
      <c r="P362">
        <v>100</v>
      </c>
      <c r="Q362" s="3">
        <v>0.92</v>
      </c>
      <c r="R362">
        <f>Inventory_Table[[#This Row],[Stock_Quantity]]*Inventory_Table[[#This Row],[Unit_Price]]</f>
        <v>870</v>
      </c>
      <c r="S362">
        <f>Inventory_Table[[#This Row],[Sales_Volume]]*Inventory_Table[[#This Row],[Unit_Price]]</f>
        <v>550</v>
      </c>
      <c r="T362" t="str">
        <f>IF(Inventory_Table[[#This Row],[Stock_Quantity]]&lt;=Inventory_Table[[#This Row],[Reorder_Level]],"REORDER","OK")</f>
        <v>OK</v>
      </c>
      <c r="U362" t="s">
        <v>3838</v>
      </c>
      <c r="V362" s="14">
        <f ca="1">TODAY()-Inventory_Table[[#This Row],[Last_Order_Date]]</f>
        <v>728</v>
      </c>
    </row>
    <row r="363" spans="1:22" x14ac:dyDescent="0.35">
      <c r="A363" t="s">
        <v>289</v>
      </c>
      <c r="B363" t="s">
        <v>114</v>
      </c>
      <c r="C363" t="s">
        <v>481</v>
      </c>
      <c r="D363" t="s">
        <v>1708</v>
      </c>
      <c r="E363" t="s">
        <v>30</v>
      </c>
      <c r="F363" t="s">
        <v>1709</v>
      </c>
      <c r="G363" t="s">
        <v>1710</v>
      </c>
      <c r="H363" s="1">
        <v>46569</v>
      </c>
      <c r="I363" s="6">
        <v>45554</v>
      </c>
      <c r="J363" s="6">
        <v>46266</v>
      </c>
      <c r="K363">
        <v>23</v>
      </c>
      <c r="L363">
        <v>76</v>
      </c>
      <c r="M363">
        <v>70</v>
      </c>
      <c r="N363" s="8">
        <v>5</v>
      </c>
      <c r="O363">
        <v>97</v>
      </c>
      <c r="P363">
        <v>38</v>
      </c>
      <c r="Q363" s="3">
        <v>-0.82</v>
      </c>
      <c r="R363">
        <f>Inventory_Table[[#This Row],[Stock_Quantity]]*Inventory_Table[[#This Row],[Unit_Price]]</f>
        <v>115</v>
      </c>
      <c r="S363">
        <f>Inventory_Table[[#This Row],[Sales_Volume]]*Inventory_Table[[#This Row],[Unit_Price]]</f>
        <v>485</v>
      </c>
      <c r="T363" t="str">
        <f>IF(Inventory_Table[[#This Row],[Stock_Quantity]]&lt;=Inventory_Table[[#This Row],[Reorder_Level]],"REORDER","OK")</f>
        <v>REORDER</v>
      </c>
      <c r="U363" t="s">
        <v>3836</v>
      </c>
      <c r="V363" s="14">
        <f ca="1">TODAY()-Inventory_Table[[#This Row],[Last_Order_Date]]</f>
        <v>622</v>
      </c>
    </row>
    <row r="364" spans="1:22" x14ac:dyDescent="0.35">
      <c r="A364" t="s">
        <v>106</v>
      </c>
      <c r="B364" t="s">
        <v>18</v>
      </c>
      <c r="C364" t="s">
        <v>857</v>
      </c>
      <c r="D364" t="s">
        <v>1711</v>
      </c>
      <c r="E364" t="s">
        <v>30</v>
      </c>
      <c r="F364" t="s">
        <v>1712</v>
      </c>
      <c r="G364" t="s">
        <v>1713</v>
      </c>
      <c r="H364" s="1">
        <v>46570</v>
      </c>
      <c r="I364" s="6">
        <v>45674</v>
      </c>
      <c r="J364" s="6">
        <v>46369</v>
      </c>
      <c r="K364">
        <v>92</v>
      </c>
      <c r="L364">
        <v>54</v>
      </c>
      <c r="M364">
        <v>73</v>
      </c>
      <c r="N364" s="8">
        <v>3.1</v>
      </c>
      <c r="O364">
        <v>79</v>
      </c>
      <c r="P364">
        <v>1</v>
      </c>
      <c r="Q364" s="3">
        <v>0.61</v>
      </c>
      <c r="R364">
        <f>Inventory_Table[[#This Row],[Stock_Quantity]]*Inventory_Table[[#This Row],[Unit_Price]]</f>
        <v>285.2</v>
      </c>
      <c r="S364">
        <f>Inventory_Table[[#This Row],[Sales_Volume]]*Inventory_Table[[#This Row],[Unit_Price]]</f>
        <v>244.9</v>
      </c>
      <c r="T364" t="str">
        <f>IF(Inventory_Table[[#This Row],[Stock_Quantity]]&lt;=Inventory_Table[[#This Row],[Reorder_Level]],"REORDER","OK")</f>
        <v>OK</v>
      </c>
      <c r="U364" t="s">
        <v>3836</v>
      </c>
      <c r="V364" s="14">
        <f ca="1">TODAY()-Inventory_Table[[#This Row],[Last_Order_Date]]</f>
        <v>502</v>
      </c>
    </row>
    <row r="365" spans="1:22" x14ac:dyDescent="0.35">
      <c r="A365" t="s">
        <v>1371</v>
      </c>
      <c r="B365" t="s">
        <v>36</v>
      </c>
      <c r="C365" t="s">
        <v>1714</v>
      </c>
      <c r="D365" t="s">
        <v>1715</v>
      </c>
      <c r="E365" t="s">
        <v>68</v>
      </c>
      <c r="F365" t="s">
        <v>1716</v>
      </c>
      <c r="G365" t="s">
        <v>1717</v>
      </c>
      <c r="H365" s="1">
        <v>46570</v>
      </c>
      <c r="I365" s="6">
        <v>45471</v>
      </c>
      <c r="J365" s="6">
        <v>46340</v>
      </c>
      <c r="K365">
        <v>22</v>
      </c>
      <c r="L365">
        <v>58</v>
      </c>
      <c r="M365">
        <v>2</v>
      </c>
      <c r="N365" s="8">
        <v>0.2</v>
      </c>
      <c r="O365">
        <v>33</v>
      </c>
      <c r="P365">
        <v>68</v>
      </c>
      <c r="Q365" s="3">
        <v>0.99</v>
      </c>
      <c r="R365">
        <f>Inventory_Table[[#This Row],[Stock_Quantity]]*Inventory_Table[[#This Row],[Unit_Price]]</f>
        <v>4.4000000000000004</v>
      </c>
      <c r="S365">
        <f>Inventory_Table[[#This Row],[Sales_Volume]]*Inventory_Table[[#This Row],[Unit_Price]]</f>
        <v>6.6000000000000005</v>
      </c>
      <c r="T365" t="str">
        <f>IF(Inventory_Table[[#This Row],[Stock_Quantity]]&lt;=Inventory_Table[[#This Row],[Reorder_Level]],"REORDER","OK")</f>
        <v>REORDER</v>
      </c>
      <c r="U365" t="s">
        <v>3836</v>
      </c>
      <c r="V365" s="14">
        <f ca="1">TODAY()-Inventory_Table[[#This Row],[Last_Order_Date]]</f>
        <v>705</v>
      </c>
    </row>
    <row r="366" spans="1:22" x14ac:dyDescent="0.35">
      <c r="A366" t="s">
        <v>188</v>
      </c>
      <c r="B366" t="s">
        <v>65</v>
      </c>
      <c r="C366" t="s">
        <v>19</v>
      </c>
      <c r="D366" t="s">
        <v>1720</v>
      </c>
      <c r="E366" t="s">
        <v>30</v>
      </c>
      <c r="F366" t="s">
        <v>1721</v>
      </c>
      <c r="G366" t="s">
        <v>1722</v>
      </c>
      <c r="H366" s="1">
        <v>46570</v>
      </c>
      <c r="I366" s="6">
        <v>45594</v>
      </c>
      <c r="J366" s="6">
        <v>46159</v>
      </c>
      <c r="K366">
        <v>26</v>
      </c>
      <c r="L366">
        <v>83</v>
      </c>
      <c r="M366">
        <v>24</v>
      </c>
      <c r="N366" s="8">
        <v>4.75</v>
      </c>
      <c r="O366">
        <v>75</v>
      </c>
      <c r="P366">
        <v>12</v>
      </c>
      <c r="Q366" s="3">
        <v>-1.06</v>
      </c>
      <c r="R366">
        <f>Inventory_Table[[#This Row],[Stock_Quantity]]*Inventory_Table[[#This Row],[Unit_Price]]</f>
        <v>123.5</v>
      </c>
      <c r="S366">
        <f>Inventory_Table[[#This Row],[Sales_Volume]]*Inventory_Table[[#This Row],[Unit_Price]]</f>
        <v>356.25</v>
      </c>
      <c r="T366" t="str">
        <f>IF(Inventory_Table[[#This Row],[Stock_Quantity]]&lt;=Inventory_Table[[#This Row],[Reorder_Level]],"REORDER","OK")</f>
        <v>REORDER</v>
      </c>
      <c r="U366" t="s">
        <v>3838</v>
      </c>
      <c r="V366" s="14">
        <f ca="1">TODAY()-Inventory_Table[[#This Row],[Last_Order_Date]]</f>
        <v>582</v>
      </c>
    </row>
    <row r="367" spans="1:22" x14ac:dyDescent="0.35">
      <c r="A367" t="s">
        <v>591</v>
      </c>
      <c r="B367" t="s">
        <v>18</v>
      </c>
      <c r="C367" t="s">
        <v>436</v>
      </c>
      <c r="D367" t="s">
        <v>1723</v>
      </c>
      <c r="E367" t="s">
        <v>21</v>
      </c>
      <c r="F367" t="s">
        <v>1724</v>
      </c>
      <c r="G367" t="s">
        <v>1725</v>
      </c>
      <c r="H367" s="1">
        <v>46600</v>
      </c>
      <c r="I367" s="6">
        <v>45398</v>
      </c>
      <c r="J367" s="6">
        <v>46216</v>
      </c>
      <c r="K367">
        <v>62</v>
      </c>
      <c r="L367">
        <v>44</v>
      </c>
      <c r="M367">
        <v>11</v>
      </c>
      <c r="N367" s="8">
        <v>51.17</v>
      </c>
      <c r="O367">
        <v>92</v>
      </c>
      <c r="P367">
        <v>37</v>
      </c>
      <c r="Q367" s="3">
        <v>0.84</v>
      </c>
      <c r="R367">
        <f>Inventory_Table[[#This Row],[Stock_Quantity]]*Inventory_Table[[#This Row],[Unit_Price]]</f>
        <v>3172.54</v>
      </c>
      <c r="S367">
        <f>Inventory_Table[[#This Row],[Sales_Volume]]*Inventory_Table[[#This Row],[Unit_Price]]</f>
        <v>4707.6400000000003</v>
      </c>
      <c r="T367" t="str">
        <f>IF(Inventory_Table[[#This Row],[Stock_Quantity]]&lt;=Inventory_Table[[#This Row],[Reorder_Level]],"REORDER","OK")</f>
        <v>OK</v>
      </c>
      <c r="U367" t="s">
        <v>3836</v>
      </c>
      <c r="V367" s="14">
        <f ca="1">TODAY()-Inventory_Table[[#This Row],[Last_Order_Date]]</f>
        <v>778</v>
      </c>
    </row>
    <row r="368" spans="1:22" x14ac:dyDescent="0.35">
      <c r="A368" t="s">
        <v>222</v>
      </c>
      <c r="B368" t="s">
        <v>65</v>
      </c>
      <c r="C368" t="s">
        <v>1728</v>
      </c>
      <c r="D368" t="s">
        <v>1729</v>
      </c>
      <c r="E368" t="s">
        <v>30</v>
      </c>
      <c r="F368" t="s">
        <v>1730</v>
      </c>
      <c r="G368" t="s">
        <v>1731</v>
      </c>
      <c r="H368" s="1">
        <v>46600</v>
      </c>
      <c r="I368" s="6">
        <v>45633</v>
      </c>
      <c r="J368" s="6">
        <v>46348</v>
      </c>
      <c r="K368">
        <v>84</v>
      </c>
      <c r="L368">
        <v>91</v>
      </c>
      <c r="M368">
        <v>86</v>
      </c>
      <c r="N368" s="8">
        <v>1.5</v>
      </c>
      <c r="O368">
        <v>83</v>
      </c>
      <c r="P368">
        <v>95</v>
      </c>
      <c r="Q368" s="3">
        <v>0.6</v>
      </c>
      <c r="R368">
        <f>Inventory_Table[[#This Row],[Stock_Quantity]]*Inventory_Table[[#This Row],[Unit_Price]]</f>
        <v>126</v>
      </c>
      <c r="S368">
        <f>Inventory_Table[[#This Row],[Sales_Volume]]*Inventory_Table[[#This Row],[Unit_Price]]</f>
        <v>124.5</v>
      </c>
      <c r="T368" t="str">
        <f>IF(Inventory_Table[[#This Row],[Stock_Quantity]]&lt;=Inventory_Table[[#This Row],[Reorder_Level]],"REORDER","OK")</f>
        <v>REORDER</v>
      </c>
      <c r="U368" t="s">
        <v>3836</v>
      </c>
      <c r="V368" s="14">
        <f ca="1">TODAY()-Inventory_Table[[#This Row],[Last_Order_Date]]</f>
        <v>543</v>
      </c>
    </row>
    <row r="369" spans="1:22" x14ac:dyDescent="0.35">
      <c r="A369" t="s">
        <v>435</v>
      </c>
      <c r="B369" t="s">
        <v>18</v>
      </c>
      <c r="C369" t="s">
        <v>703</v>
      </c>
      <c r="D369" t="s">
        <v>1732</v>
      </c>
      <c r="E369" t="s">
        <v>30</v>
      </c>
      <c r="F369" t="s">
        <v>1733</v>
      </c>
      <c r="G369" t="s">
        <v>1734</v>
      </c>
      <c r="H369" s="1">
        <v>46600</v>
      </c>
      <c r="I369" s="6">
        <v>45682</v>
      </c>
      <c r="J369" s="6">
        <v>46274</v>
      </c>
      <c r="K369">
        <v>81</v>
      </c>
      <c r="L369">
        <v>87</v>
      </c>
      <c r="M369">
        <v>15</v>
      </c>
      <c r="N369" s="8">
        <v>6</v>
      </c>
      <c r="O369">
        <v>94</v>
      </c>
      <c r="P369">
        <v>10</v>
      </c>
      <c r="Q369" s="3">
        <v>-0.14000000000000001</v>
      </c>
      <c r="R369">
        <f>Inventory_Table[[#This Row],[Stock_Quantity]]*Inventory_Table[[#This Row],[Unit_Price]]</f>
        <v>486</v>
      </c>
      <c r="S369">
        <f>Inventory_Table[[#This Row],[Sales_Volume]]*Inventory_Table[[#This Row],[Unit_Price]]</f>
        <v>564</v>
      </c>
      <c r="T369" t="str">
        <f>IF(Inventory_Table[[#This Row],[Stock_Quantity]]&lt;=Inventory_Table[[#This Row],[Reorder_Level]],"REORDER","OK")</f>
        <v>REORDER</v>
      </c>
      <c r="U369" t="s">
        <v>3836</v>
      </c>
      <c r="V369" s="14">
        <f ca="1">TODAY()-Inventory_Table[[#This Row],[Last_Order_Date]]</f>
        <v>494</v>
      </c>
    </row>
    <row r="370" spans="1:22" x14ac:dyDescent="0.35">
      <c r="A370" t="s">
        <v>842</v>
      </c>
      <c r="B370" t="s">
        <v>75</v>
      </c>
      <c r="C370" t="s">
        <v>115</v>
      </c>
      <c r="D370" t="s">
        <v>1735</v>
      </c>
      <c r="E370" t="s">
        <v>68</v>
      </c>
      <c r="F370" t="s">
        <v>1736</v>
      </c>
      <c r="G370" t="s">
        <v>1737</v>
      </c>
      <c r="H370" s="1">
        <v>46600</v>
      </c>
      <c r="I370" s="6">
        <v>45531</v>
      </c>
      <c r="J370" s="6">
        <v>46182</v>
      </c>
      <c r="K370">
        <v>61</v>
      </c>
      <c r="L370">
        <v>91</v>
      </c>
      <c r="M370">
        <v>40</v>
      </c>
      <c r="N370" s="8">
        <v>9</v>
      </c>
      <c r="O370">
        <v>34</v>
      </c>
      <c r="P370">
        <v>76</v>
      </c>
      <c r="Q370" s="3">
        <v>0.89</v>
      </c>
      <c r="R370">
        <f>Inventory_Table[[#This Row],[Stock_Quantity]]*Inventory_Table[[#This Row],[Unit_Price]]</f>
        <v>549</v>
      </c>
      <c r="S370">
        <f>Inventory_Table[[#This Row],[Sales_Volume]]*Inventory_Table[[#This Row],[Unit_Price]]</f>
        <v>306</v>
      </c>
      <c r="T370" t="str">
        <f>IF(Inventory_Table[[#This Row],[Stock_Quantity]]&lt;=Inventory_Table[[#This Row],[Reorder_Level]],"REORDER","OK")</f>
        <v>REORDER</v>
      </c>
      <c r="U370" t="s">
        <v>3837</v>
      </c>
      <c r="V370" s="14">
        <f ca="1">TODAY()-Inventory_Table[[#This Row],[Last_Order_Date]]</f>
        <v>645</v>
      </c>
    </row>
    <row r="371" spans="1:22" x14ac:dyDescent="0.35">
      <c r="A371" t="s">
        <v>96</v>
      </c>
      <c r="B371" t="s">
        <v>36</v>
      </c>
      <c r="C371" t="s">
        <v>1739</v>
      </c>
      <c r="D371" t="s">
        <v>1740</v>
      </c>
      <c r="E371" t="s">
        <v>30</v>
      </c>
      <c r="F371" t="s">
        <v>1741</v>
      </c>
      <c r="G371" t="s">
        <v>1742</v>
      </c>
      <c r="H371" s="1">
        <v>46601</v>
      </c>
      <c r="I371" s="6">
        <v>45467</v>
      </c>
      <c r="J371" s="6">
        <v>46404</v>
      </c>
      <c r="K371">
        <v>70</v>
      </c>
      <c r="L371">
        <v>96</v>
      </c>
      <c r="M371">
        <v>35</v>
      </c>
      <c r="N371" s="8">
        <v>9</v>
      </c>
      <c r="O371">
        <v>63</v>
      </c>
      <c r="P371">
        <v>84</v>
      </c>
      <c r="Q371" s="3">
        <v>-1.24</v>
      </c>
      <c r="R371">
        <f>Inventory_Table[[#This Row],[Stock_Quantity]]*Inventory_Table[[#This Row],[Unit_Price]]</f>
        <v>630</v>
      </c>
      <c r="S371">
        <f>Inventory_Table[[#This Row],[Sales_Volume]]*Inventory_Table[[#This Row],[Unit_Price]]</f>
        <v>567</v>
      </c>
      <c r="T371" t="str">
        <f>IF(Inventory_Table[[#This Row],[Stock_Quantity]]&lt;=Inventory_Table[[#This Row],[Reorder_Level]],"REORDER","OK")</f>
        <v>REORDER</v>
      </c>
      <c r="U371" t="s">
        <v>3836</v>
      </c>
      <c r="V371" s="14">
        <f ca="1">TODAY()-Inventory_Table[[#This Row],[Last_Order_Date]]</f>
        <v>709</v>
      </c>
    </row>
    <row r="372" spans="1:22" x14ac:dyDescent="0.35">
      <c r="A372" t="s">
        <v>142</v>
      </c>
      <c r="B372" t="s">
        <v>36</v>
      </c>
      <c r="C372" t="s">
        <v>1743</v>
      </c>
      <c r="D372" t="s">
        <v>1744</v>
      </c>
      <c r="E372" t="s">
        <v>21</v>
      </c>
      <c r="F372" t="s">
        <v>1745</v>
      </c>
      <c r="G372" t="s">
        <v>1746</v>
      </c>
      <c r="H372" s="1">
        <v>46631</v>
      </c>
      <c r="I372" s="6">
        <v>45671</v>
      </c>
      <c r="J372" s="6">
        <v>46137</v>
      </c>
      <c r="K372">
        <v>49</v>
      </c>
      <c r="L372">
        <v>28</v>
      </c>
      <c r="M372">
        <v>74</v>
      </c>
      <c r="N372" s="8">
        <v>6</v>
      </c>
      <c r="O372">
        <v>70</v>
      </c>
      <c r="P372">
        <v>38</v>
      </c>
      <c r="Q372" s="3">
        <v>-0.33</v>
      </c>
      <c r="R372">
        <f>Inventory_Table[[#This Row],[Stock_Quantity]]*Inventory_Table[[#This Row],[Unit_Price]]</f>
        <v>294</v>
      </c>
      <c r="S372">
        <f>Inventory_Table[[#This Row],[Sales_Volume]]*Inventory_Table[[#This Row],[Unit_Price]]</f>
        <v>420</v>
      </c>
      <c r="T372" t="str">
        <f>IF(Inventory_Table[[#This Row],[Stock_Quantity]]&lt;=Inventory_Table[[#This Row],[Reorder_Level]],"REORDER","OK")</f>
        <v>OK</v>
      </c>
      <c r="U372" t="s">
        <v>3838</v>
      </c>
      <c r="V372" s="14">
        <f ca="1">TODAY()-Inventory_Table[[#This Row],[Last_Order_Date]]</f>
        <v>505</v>
      </c>
    </row>
    <row r="373" spans="1:22" x14ac:dyDescent="0.35">
      <c r="A373" t="s">
        <v>200</v>
      </c>
      <c r="B373" t="s">
        <v>163</v>
      </c>
      <c r="C373" t="s">
        <v>1411</v>
      </c>
      <c r="D373" t="s">
        <v>1748</v>
      </c>
      <c r="E373" t="s">
        <v>68</v>
      </c>
      <c r="F373" t="s">
        <v>1749</v>
      </c>
      <c r="G373" t="s">
        <v>1750</v>
      </c>
      <c r="H373" s="1">
        <v>46631</v>
      </c>
      <c r="I373" s="6">
        <v>45477</v>
      </c>
      <c r="J373" s="6">
        <v>46328</v>
      </c>
      <c r="K373">
        <v>20</v>
      </c>
      <c r="L373">
        <v>68</v>
      </c>
      <c r="M373">
        <v>20</v>
      </c>
      <c r="N373" s="8">
        <v>12</v>
      </c>
      <c r="O373">
        <v>38</v>
      </c>
      <c r="P373">
        <v>51</v>
      </c>
      <c r="Q373" s="3">
        <v>0.46</v>
      </c>
      <c r="R373">
        <f>Inventory_Table[[#This Row],[Stock_Quantity]]*Inventory_Table[[#This Row],[Unit_Price]]</f>
        <v>240</v>
      </c>
      <c r="S373">
        <f>Inventory_Table[[#This Row],[Sales_Volume]]*Inventory_Table[[#This Row],[Unit_Price]]</f>
        <v>456</v>
      </c>
      <c r="T373" t="str">
        <f>IF(Inventory_Table[[#This Row],[Stock_Quantity]]&lt;=Inventory_Table[[#This Row],[Reorder_Level]],"REORDER","OK")</f>
        <v>REORDER</v>
      </c>
      <c r="U373" t="s">
        <v>3836</v>
      </c>
      <c r="V373" s="14">
        <f ca="1">TODAY()-Inventory_Table[[#This Row],[Last_Order_Date]]</f>
        <v>699</v>
      </c>
    </row>
    <row r="374" spans="1:22" x14ac:dyDescent="0.35">
      <c r="A374" t="s">
        <v>188</v>
      </c>
      <c r="B374" t="s">
        <v>65</v>
      </c>
      <c r="C374" t="s">
        <v>1261</v>
      </c>
      <c r="D374" t="s">
        <v>1751</v>
      </c>
      <c r="E374" t="s">
        <v>68</v>
      </c>
      <c r="F374" t="s">
        <v>1752</v>
      </c>
      <c r="G374" t="s">
        <v>1753</v>
      </c>
      <c r="H374" s="1">
        <v>46631</v>
      </c>
      <c r="I374" s="6">
        <v>45379</v>
      </c>
      <c r="J374" s="6">
        <v>46127</v>
      </c>
      <c r="K374">
        <v>50</v>
      </c>
      <c r="L374">
        <v>14</v>
      </c>
      <c r="M374">
        <v>99</v>
      </c>
      <c r="N374" s="8">
        <v>4.75</v>
      </c>
      <c r="O374">
        <v>52</v>
      </c>
      <c r="P374">
        <v>75</v>
      </c>
      <c r="Q374" s="3">
        <v>-0.34</v>
      </c>
      <c r="R374">
        <f>Inventory_Table[[#This Row],[Stock_Quantity]]*Inventory_Table[[#This Row],[Unit_Price]]</f>
        <v>237.5</v>
      </c>
      <c r="S374">
        <f>Inventory_Table[[#This Row],[Sales_Volume]]*Inventory_Table[[#This Row],[Unit_Price]]</f>
        <v>247</v>
      </c>
      <c r="T374" t="str">
        <f>IF(Inventory_Table[[#This Row],[Stock_Quantity]]&lt;=Inventory_Table[[#This Row],[Reorder_Level]],"REORDER","OK")</f>
        <v>OK</v>
      </c>
      <c r="U374" t="s">
        <v>3838</v>
      </c>
      <c r="V374" s="14">
        <f ca="1">TODAY()-Inventory_Table[[#This Row],[Last_Order_Date]]</f>
        <v>797</v>
      </c>
    </row>
    <row r="375" spans="1:22" x14ac:dyDescent="0.35">
      <c r="A375" t="s">
        <v>1341</v>
      </c>
      <c r="B375" t="s">
        <v>18</v>
      </c>
      <c r="C375" t="s">
        <v>1117</v>
      </c>
      <c r="D375" t="s">
        <v>1755</v>
      </c>
      <c r="E375" t="s">
        <v>30</v>
      </c>
      <c r="F375" t="s">
        <v>1756</v>
      </c>
      <c r="G375" t="s">
        <v>1757</v>
      </c>
      <c r="H375" s="1">
        <v>46631</v>
      </c>
      <c r="I375" s="6">
        <v>45450</v>
      </c>
      <c r="J375" s="6">
        <v>46311</v>
      </c>
      <c r="K375">
        <v>63</v>
      </c>
      <c r="L375">
        <v>56</v>
      </c>
      <c r="M375">
        <v>33</v>
      </c>
      <c r="N375" s="8">
        <v>2.5</v>
      </c>
      <c r="O375">
        <v>35</v>
      </c>
      <c r="P375">
        <v>16</v>
      </c>
      <c r="Q375" s="3">
        <v>-0.44</v>
      </c>
      <c r="R375">
        <f>Inventory_Table[[#This Row],[Stock_Quantity]]*Inventory_Table[[#This Row],[Unit_Price]]</f>
        <v>157.5</v>
      </c>
      <c r="S375">
        <f>Inventory_Table[[#This Row],[Sales_Volume]]*Inventory_Table[[#This Row],[Unit_Price]]</f>
        <v>87.5</v>
      </c>
      <c r="T375" t="str">
        <f>IF(Inventory_Table[[#This Row],[Stock_Quantity]]&lt;=Inventory_Table[[#This Row],[Reorder_Level]],"REORDER","OK")</f>
        <v>OK</v>
      </c>
      <c r="U375" t="s">
        <v>3836</v>
      </c>
      <c r="V375" s="14">
        <f ca="1">TODAY()-Inventory_Table[[#This Row],[Last_Order_Date]]</f>
        <v>726</v>
      </c>
    </row>
    <row r="376" spans="1:22" x14ac:dyDescent="0.35">
      <c r="A376" t="s">
        <v>975</v>
      </c>
      <c r="B376" t="s">
        <v>18</v>
      </c>
      <c r="C376" t="s">
        <v>229</v>
      </c>
      <c r="D376" t="s">
        <v>1758</v>
      </c>
      <c r="E376" t="s">
        <v>68</v>
      </c>
      <c r="F376" t="s">
        <v>1759</v>
      </c>
      <c r="G376" t="s">
        <v>1760</v>
      </c>
      <c r="H376" s="1">
        <v>46631</v>
      </c>
      <c r="I376" s="6">
        <v>45401</v>
      </c>
      <c r="J376" s="6">
        <v>46135</v>
      </c>
      <c r="K376">
        <v>42</v>
      </c>
      <c r="L376">
        <v>48</v>
      </c>
      <c r="M376">
        <v>18</v>
      </c>
      <c r="N376" s="8">
        <v>2</v>
      </c>
      <c r="O376">
        <v>39</v>
      </c>
      <c r="P376">
        <v>57</v>
      </c>
      <c r="Q376" s="3">
        <v>0.54</v>
      </c>
      <c r="R376">
        <f>Inventory_Table[[#This Row],[Stock_Quantity]]*Inventory_Table[[#This Row],[Unit_Price]]</f>
        <v>84</v>
      </c>
      <c r="S376">
        <f>Inventory_Table[[#This Row],[Sales_Volume]]*Inventory_Table[[#This Row],[Unit_Price]]</f>
        <v>78</v>
      </c>
      <c r="T376" t="str">
        <f>IF(Inventory_Table[[#This Row],[Stock_Quantity]]&lt;=Inventory_Table[[#This Row],[Reorder_Level]],"REORDER","OK")</f>
        <v>REORDER</v>
      </c>
      <c r="U376" t="s">
        <v>3838</v>
      </c>
      <c r="V376" s="14">
        <f ca="1">TODAY()-Inventory_Table[[#This Row],[Last_Order_Date]]</f>
        <v>775</v>
      </c>
    </row>
    <row r="377" spans="1:22" x14ac:dyDescent="0.35">
      <c r="A377" t="s">
        <v>496</v>
      </c>
      <c r="B377" t="s">
        <v>18</v>
      </c>
      <c r="C377" t="s">
        <v>1004</v>
      </c>
      <c r="D377" t="s">
        <v>1761</v>
      </c>
      <c r="E377" t="s">
        <v>30</v>
      </c>
      <c r="F377" t="s">
        <v>1762</v>
      </c>
      <c r="G377" t="s">
        <v>1763</v>
      </c>
      <c r="H377" s="1">
        <v>46632</v>
      </c>
      <c r="I377" s="6">
        <v>45458</v>
      </c>
      <c r="J377" s="6">
        <v>46438</v>
      </c>
      <c r="K377">
        <v>22</v>
      </c>
      <c r="L377">
        <v>69</v>
      </c>
      <c r="M377">
        <v>87</v>
      </c>
      <c r="N377" s="8">
        <v>5.5</v>
      </c>
      <c r="O377">
        <v>34</v>
      </c>
      <c r="P377">
        <v>26</v>
      </c>
      <c r="Q377" s="3">
        <v>-0.46</v>
      </c>
      <c r="R377">
        <f>Inventory_Table[[#This Row],[Stock_Quantity]]*Inventory_Table[[#This Row],[Unit_Price]]</f>
        <v>121</v>
      </c>
      <c r="S377">
        <f>Inventory_Table[[#This Row],[Sales_Volume]]*Inventory_Table[[#This Row],[Unit_Price]]</f>
        <v>187</v>
      </c>
      <c r="T377" t="str">
        <f>IF(Inventory_Table[[#This Row],[Stock_Quantity]]&lt;=Inventory_Table[[#This Row],[Reorder_Level]],"REORDER","OK")</f>
        <v>REORDER</v>
      </c>
      <c r="U377" t="s">
        <v>3836</v>
      </c>
      <c r="V377" s="14">
        <f ca="1">TODAY()-Inventory_Table[[#This Row],[Last_Order_Date]]</f>
        <v>718</v>
      </c>
    </row>
    <row r="378" spans="1:22" x14ac:dyDescent="0.35">
      <c r="A378" t="s">
        <v>1527</v>
      </c>
      <c r="B378" t="s">
        <v>18</v>
      </c>
      <c r="C378" t="s">
        <v>1764</v>
      </c>
      <c r="D378" t="s">
        <v>1765</v>
      </c>
      <c r="E378" t="s">
        <v>21</v>
      </c>
      <c r="F378" t="s">
        <v>1766</v>
      </c>
      <c r="G378" t="s">
        <v>1767</v>
      </c>
      <c r="H378" s="1">
        <v>46632</v>
      </c>
      <c r="I378" s="6">
        <v>45703</v>
      </c>
      <c r="J378" s="6">
        <v>46370</v>
      </c>
      <c r="K378">
        <v>84</v>
      </c>
      <c r="L378">
        <v>28</v>
      </c>
      <c r="M378">
        <v>29</v>
      </c>
      <c r="N378" s="8">
        <v>4.4000000000000004</v>
      </c>
      <c r="O378">
        <v>54</v>
      </c>
      <c r="P378">
        <v>32</v>
      </c>
      <c r="Q378" s="3">
        <v>0.24</v>
      </c>
      <c r="R378">
        <f>Inventory_Table[[#This Row],[Stock_Quantity]]*Inventory_Table[[#This Row],[Unit_Price]]</f>
        <v>369.6</v>
      </c>
      <c r="S378">
        <f>Inventory_Table[[#This Row],[Sales_Volume]]*Inventory_Table[[#This Row],[Unit_Price]]</f>
        <v>237.60000000000002</v>
      </c>
      <c r="T378" t="str">
        <f>IF(Inventory_Table[[#This Row],[Stock_Quantity]]&lt;=Inventory_Table[[#This Row],[Reorder_Level]],"REORDER","OK")</f>
        <v>OK</v>
      </c>
      <c r="U378" t="s">
        <v>3836</v>
      </c>
      <c r="V378" s="14">
        <f ca="1">TODAY()-Inventory_Table[[#This Row],[Last_Order_Date]]</f>
        <v>473</v>
      </c>
    </row>
    <row r="379" spans="1:22" x14ac:dyDescent="0.35">
      <c r="A379" t="s">
        <v>727</v>
      </c>
      <c r="B379" t="s">
        <v>36</v>
      </c>
      <c r="C379" t="s">
        <v>933</v>
      </c>
      <c r="D379" t="s">
        <v>1768</v>
      </c>
      <c r="E379" t="s">
        <v>21</v>
      </c>
      <c r="F379" t="s">
        <v>1769</v>
      </c>
      <c r="G379" t="s">
        <v>1770</v>
      </c>
      <c r="H379" s="1">
        <v>46632</v>
      </c>
      <c r="I379" s="6">
        <v>45362</v>
      </c>
      <c r="J379" s="6">
        <v>46282</v>
      </c>
      <c r="K379">
        <v>93</v>
      </c>
      <c r="L379">
        <v>68</v>
      </c>
      <c r="M379">
        <v>71</v>
      </c>
      <c r="N379" s="8">
        <v>0.8</v>
      </c>
      <c r="O379">
        <v>30</v>
      </c>
      <c r="P379">
        <v>37</v>
      </c>
      <c r="Q379" s="3">
        <v>0.41</v>
      </c>
      <c r="R379">
        <f>Inventory_Table[[#This Row],[Stock_Quantity]]*Inventory_Table[[#This Row],[Unit_Price]]</f>
        <v>74.400000000000006</v>
      </c>
      <c r="S379">
        <f>Inventory_Table[[#This Row],[Sales_Volume]]*Inventory_Table[[#This Row],[Unit_Price]]</f>
        <v>24</v>
      </c>
      <c r="T379" t="str">
        <f>IF(Inventory_Table[[#This Row],[Stock_Quantity]]&lt;=Inventory_Table[[#This Row],[Reorder_Level]],"REORDER","OK")</f>
        <v>OK</v>
      </c>
      <c r="U379" t="s">
        <v>3836</v>
      </c>
      <c r="V379" s="14">
        <f ca="1">TODAY()-Inventory_Table[[#This Row],[Last_Order_Date]]</f>
        <v>814</v>
      </c>
    </row>
    <row r="380" spans="1:22" x14ac:dyDescent="0.35">
      <c r="A380" t="s">
        <v>1030</v>
      </c>
      <c r="B380" t="s">
        <v>114</v>
      </c>
      <c r="C380" t="s">
        <v>1771</v>
      </c>
      <c r="D380" t="s">
        <v>1772</v>
      </c>
      <c r="E380" t="s">
        <v>30</v>
      </c>
      <c r="F380" t="s">
        <v>1773</v>
      </c>
      <c r="G380" t="s">
        <v>1774</v>
      </c>
      <c r="H380" s="1">
        <v>46661</v>
      </c>
      <c r="I380" s="6">
        <v>45570</v>
      </c>
      <c r="J380" s="6">
        <v>46282</v>
      </c>
      <c r="K380">
        <v>46</v>
      </c>
      <c r="L380">
        <v>43</v>
      </c>
      <c r="M380">
        <v>46</v>
      </c>
      <c r="N380" s="8">
        <v>3.5</v>
      </c>
      <c r="O380">
        <v>68</v>
      </c>
      <c r="P380">
        <v>59</v>
      </c>
      <c r="Q380" s="3">
        <v>-0.23</v>
      </c>
      <c r="R380">
        <f>Inventory_Table[[#This Row],[Stock_Quantity]]*Inventory_Table[[#This Row],[Unit_Price]]</f>
        <v>161</v>
      </c>
      <c r="S380">
        <f>Inventory_Table[[#This Row],[Sales_Volume]]*Inventory_Table[[#This Row],[Unit_Price]]</f>
        <v>238</v>
      </c>
      <c r="T380" t="str">
        <f>IF(Inventory_Table[[#This Row],[Stock_Quantity]]&lt;=Inventory_Table[[#This Row],[Reorder_Level]],"REORDER","OK")</f>
        <v>OK</v>
      </c>
      <c r="U380" t="s">
        <v>3836</v>
      </c>
      <c r="V380" s="14">
        <f ca="1">TODAY()-Inventory_Table[[#This Row],[Last_Order_Date]]</f>
        <v>606</v>
      </c>
    </row>
    <row r="381" spans="1:22" x14ac:dyDescent="0.35">
      <c r="A381" t="s">
        <v>1704</v>
      </c>
      <c r="B381" t="s">
        <v>18</v>
      </c>
      <c r="C381" t="s">
        <v>1775</v>
      </c>
      <c r="D381" t="s">
        <v>1776</v>
      </c>
      <c r="E381" t="s">
        <v>68</v>
      </c>
      <c r="F381" t="s">
        <v>1777</v>
      </c>
      <c r="G381" t="s">
        <v>1778</v>
      </c>
      <c r="H381" s="1">
        <v>46661</v>
      </c>
      <c r="I381" s="6">
        <v>45478</v>
      </c>
      <c r="J381" s="6">
        <v>46124</v>
      </c>
      <c r="K381">
        <v>42</v>
      </c>
      <c r="L381">
        <v>4</v>
      </c>
      <c r="M381">
        <v>53</v>
      </c>
      <c r="N381" s="8">
        <v>10</v>
      </c>
      <c r="O381">
        <v>37</v>
      </c>
      <c r="P381">
        <v>53</v>
      </c>
      <c r="Q381" s="3">
        <v>0.13</v>
      </c>
      <c r="R381">
        <f>Inventory_Table[[#This Row],[Stock_Quantity]]*Inventory_Table[[#This Row],[Unit_Price]]</f>
        <v>420</v>
      </c>
      <c r="S381">
        <f>Inventory_Table[[#This Row],[Sales_Volume]]*Inventory_Table[[#This Row],[Unit_Price]]</f>
        <v>370</v>
      </c>
      <c r="T381" t="str">
        <f>IF(Inventory_Table[[#This Row],[Stock_Quantity]]&lt;=Inventory_Table[[#This Row],[Reorder_Level]],"REORDER","OK")</f>
        <v>OK</v>
      </c>
      <c r="U381" t="s">
        <v>3838</v>
      </c>
      <c r="V381" s="14">
        <f ca="1">TODAY()-Inventory_Table[[#This Row],[Last_Order_Date]]</f>
        <v>698</v>
      </c>
    </row>
    <row r="382" spans="1:22" x14ac:dyDescent="0.35">
      <c r="A382" t="s">
        <v>277</v>
      </c>
      <c r="B382" t="s">
        <v>114</v>
      </c>
      <c r="C382" t="s">
        <v>866</v>
      </c>
      <c r="D382" t="s">
        <v>1779</v>
      </c>
      <c r="E382" t="s">
        <v>68</v>
      </c>
      <c r="F382" t="s">
        <v>1780</v>
      </c>
      <c r="G382" t="s">
        <v>1781</v>
      </c>
      <c r="H382" s="1">
        <v>46661</v>
      </c>
      <c r="I382" s="6">
        <v>45505</v>
      </c>
      <c r="J382" s="6">
        <v>46176</v>
      </c>
      <c r="K382">
        <v>91</v>
      </c>
      <c r="L382">
        <v>71</v>
      </c>
      <c r="M382">
        <v>17</v>
      </c>
      <c r="N382" s="8">
        <v>3.5</v>
      </c>
      <c r="O382">
        <v>74</v>
      </c>
      <c r="P382">
        <v>57</v>
      </c>
      <c r="Q382" s="3">
        <v>-0.43</v>
      </c>
      <c r="R382">
        <f>Inventory_Table[[#This Row],[Stock_Quantity]]*Inventory_Table[[#This Row],[Unit_Price]]</f>
        <v>318.5</v>
      </c>
      <c r="S382">
        <f>Inventory_Table[[#This Row],[Sales_Volume]]*Inventory_Table[[#This Row],[Unit_Price]]</f>
        <v>259</v>
      </c>
      <c r="T382" t="str">
        <f>IF(Inventory_Table[[#This Row],[Stock_Quantity]]&lt;=Inventory_Table[[#This Row],[Reorder_Level]],"REORDER","OK")</f>
        <v>OK</v>
      </c>
      <c r="U382" t="s">
        <v>3837</v>
      </c>
      <c r="V382" s="14">
        <f ca="1">TODAY()-Inventory_Table[[#This Row],[Last_Order_Date]]</f>
        <v>671</v>
      </c>
    </row>
    <row r="383" spans="1:22" x14ac:dyDescent="0.35">
      <c r="A383" t="s">
        <v>1782</v>
      </c>
      <c r="B383" t="s">
        <v>36</v>
      </c>
      <c r="C383" t="s">
        <v>1536</v>
      </c>
      <c r="D383" t="s">
        <v>1783</v>
      </c>
      <c r="E383" t="s">
        <v>21</v>
      </c>
      <c r="F383" t="s">
        <v>1784</v>
      </c>
      <c r="G383" t="s">
        <v>1785</v>
      </c>
      <c r="H383" s="1">
        <v>46662</v>
      </c>
      <c r="I383" s="6">
        <v>45361</v>
      </c>
      <c r="J383" s="6">
        <v>46297</v>
      </c>
      <c r="K383">
        <v>16</v>
      </c>
      <c r="L383">
        <v>56</v>
      </c>
      <c r="M383">
        <v>13</v>
      </c>
      <c r="N383" s="8">
        <v>7.2</v>
      </c>
      <c r="O383">
        <v>56</v>
      </c>
      <c r="P383">
        <v>28</v>
      </c>
      <c r="Q383" s="3">
        <v>0.23</v>
      </c>
      <c r="R383">
        <f>Inventory_Table[[#This Row],[Stock_Quantity]]*Inventory_Table[[#This Row],[Unit_Price]]</f>
        <v>115.2</v>
      </c>
      <c r="S383">
        <f>Inventory_Table[[#This Row],[Sales_Volume]]*Inventory_Table[[#This Row],[Unit_Price]]</f>
        <v>403.2</v>
      </c>
      <c r="T383" t="str">
        <f>IF(Inventory_Table[[#This Row],[Stock_Quantity]]&lt;=Inventory_Table[[#This Row],[Reorder_Level]],"REORDER","OK")</f>
        <v>REORDER</v>
      </c>
      <c r="U383" t="s">
        <v>3836</v>
      </c>
      <c r="V383" s="14">
        <f ca="1">TODAY()-Inventory_Table[[#This Row],[Last_Order_Date]]</f>
        <v>815</v>
      </c>
    </row>
    <row r="384" spans="1:22" x14ac:dyDescent="0.35">
      <c r="A384" t="s">
        <v>142</v>
      </c>
      <c r="B384" t="s">
        <v>36</v>
      </c>
      <c r="C384" t="s">
        <v>1657</v>
      </c>
      <c r="D384" t="s">
        <v>1787</v>
      </c>
      <c r="E384" t="s">
        <v>30</v>
      </c>
      <c r="F384" t="s">
        <v>1788</v>
      </c>
      <c r="G384" t="s">
        <v>1789</v>
      </c>
      <c r="H384" s="1">
        <v>46662</v>
      </c>
      <c r="I384" s="6">
        <v>45682</v>
      </c>
      <c r="J384" s="6">
        <v>46409</v>
      </c>
      <c r="K384">
        <v>91</v>
      </c>
      <c r="L384">
        <v>14</v>
      </c>
      <c r="M384">
        <v>99</v>
      </c>
      <c r="N384" s="8">
        <v>6</v>
      </c>
      <c r="O384">
        <v>50</v>
      </c>
      <c r="P384">
        <v>5</v>
      </c>
      <c r="Q384" s="3">
        <v>0.5</v>
      </c>
      <c r="R384">
        <f>Inventory_Table[[#This Row],[Stock_Quantity]]*Inventory_Table[[#This Row],[Unit_Price]]</f>
        <v>546</v>
      </c>
      <c r="S384">
        <f>Inventory_Table[[#This Row],[Sales_Volume]]*Inventory_Table[[#This Row],[Unit_Price]]</f>
        <v>300</v>
      </c>
      <c r="T384" t="str">
        <f>IF(Inventory_Table[[#This Row],[Stock_Quantity]]&lt;=Inventory_Table[[#This Row],[Reorder_Level]],"REORDER","OK")</f>
        <v>OK</v>
      </c>
      <c r="U384" t="s">
        <v>3836</v>
      </c>
      <c r="V384" s="14">
        <f ca="1">TODAY()-Inventory_Table[[#This Row],[Last_Order_Date]]</f>
        <v>494</v>
      </c>
    </row>
    <row r="385" spans="1:22" x14ac:dyDescent="0.35">
      <c r="A385" t="s">
        <v>435</v>
      </c>
      <c r="B385" t="s">
        <v>18</v>
      </c>
      <c r="C385" t="s">
        <v>178</v>
      </c>
      <c r="D385" t="s">
        <v>1791</v>
      </c>
      <c r="E385" t="s">
        <v>30</v>
      </c>
      <c r="F385" t="s">
        <v>1792</v>
      </c>
      <c r="G385" t="s">
        <v>1793</v>
      </c>
      <c r="H385" s="1">
        <v>46662</v>
      </c>
      <c r="I385" s="6">
        <v>45387</v>
      </c>
      <c r="J385" s="6">
        <v>46358</v>
      </c>
      <c r="K385">
        <v>26</v>
      </c>
      <c r="L385">
        <v>1</v>
      </c>
      <c r="M385">
        <v>9</v>
      </c>
      <c r="N385" s="8">
        <v>6</v>
      </c>
      <c r="O385">
        <v>82</v>
      </c>
      <c r="P385">
        <v>8</v>
      </c>
      <c r="Q385" s="3">
        <v>0.9</v>
      </c>
      <c r="R385">
        <f>Inventory_Table[[#This Row],[Stock_Quantity]]*Inventory_Table[[#This Row],[Unit_Price]]</f>
        <v>156</v>
      </c>
      <c r="S385">
        <f>Inventory_Table[[#This Row],[Sales_Volume]]*Inventory_Table[[#This Row],[Unit_Price]]</f>
        <v>492</v>
      </c>
      <c r="T385" t="str">
        <f>IF(Inventory_Table[[#This Row],[Stock_Quantity]]&lt;=Inventory_Table[[#This Row],[Reorder_Level]],"REORDER","OK")</f>
        <v>OK</v>
      </c>
      <c r="U385" t="s">
        <v>3836</v>
      </c>
      <c r="V385" s="14">
        <f ca="1">TODAY()-Inventory_Table[[#This Row],[Last_Order_Date]]</f>
        <v>789</v>
      </c>
    </row>
    <row r="386" spans="1:22" x14ac:dyDescent="0.35">
      <c r="A386" t="s">
        <v>832</v>
      </c>
      <c r="B386" t="s">
        <v>18</v>
      </c>
      <c r="C386" t="s">
        <v>1794</v>
      </c>
      <c r="D386" t="s">
        <v>1795</v>
      </c>
      <c r="E386" t="s">
        <v>21</v>
      </c>
      <c r="F386" t="s">
        <v>1796</v>
      </c>
      <c r="G386" t="s">
        <v>1797</v>
      </c>
      <c r="H386" s="1">
        <v>46692</v>
      </c>
      <c r="I386" s="6">
        <v>45649</v>
      </c>
      <c r="J386" s="6">
        <v>46152</v>
      </c>
      <c r="K386">
        <v>63</v>
      </c>
      <c r="L386">
        <v>57</v>
      </c>
      <c r="M386">
        <v>11</v>
      </c>
      <c r="N386" s="8">
        <v>5.8</v>
      </c>
      <c r="O386">
        <v>20</v>
      </c>
      <c r="P386">
        <v>100</v>
      </c>
      <c r="Q386" s="3">
        <v>0.9</v>
      </c>
      <c r="R386">
        <f>Inventory_Table[[#This Row],[Stock_Quantity]]*Inventory_Table[[#This Row],[Unit_Price]]</f>
        <v>365.4</v>
      </c>
      <c r="S386">
        <f>Inventory_Table[[#This Row],[Sales_Volume]]*Inventory_Table[[#This Row],[Unit_Price]]</f>
        <v>116</v>
      </c>
      <c r="T386" t="str">
        <f>IF(Inventory_Table[[#This Row],[Stock_Quantity]]&lt;=Inventory_Table[[#This Row],[Reorder_Level]],"REORDER","OK")</f>
        <v>OK</v>
      </c>
      <c r="U386" t="s">
        <v>3838</v>
      </c>
      <c r="V386" s="14">
        <f ca="1">TODAY()-Inventory_Table[[#This Row],[Last_Order_Date]]</f>
        <v>527</v>
      </c>
    </row>
    <row r="387" spans="1:22" x14ac:dyDescent="0.35">
      <c r="A387" t="s">
        <v>690</v>
      </c>
      <c r="B387" t="s">
        <v>36</v>
      </c>
      <c r="C387" t="s">
        <v>804</v>
      </c>
      <c r="D387" t="s">
        <v>1799</v>
      </c>
      <c r="E387" t="s">
        <v>30</v>
      </c>
      <c r="F387" t="s">
        <v>1800</v>
      </c>
      <c r="G387" t="s">
        <v>1801</v>
      </c>
      <c r="H387" s="1">
        <v>46692</v>
      </c>
      <c r="I387" s="6">
        <v>45353</v>
      </c>
      <c r="J387" s="6">
        <v>46154</v>
      </c>
      <c r="K387">
        <v>50</v>
      </c>
      <c r="L387">
        <v>93</v>
      </c>
      <c r="M387">
        <v>37</v>
      </c>
      <c r="N387" s="8">
        <v>2.4500000000000002</v>
      </c>
      <c r="O387">
        <v>78</v>
      </c>
      <c r="P387">
        <v>79</v>
      </c>
      <c r="Q387" s="3">
        <v>-4</v>
      </c>
      <c r="R387">
        <f>Inventory_Table[[#This Row],[Stock_Quantity]]*Inventory_Table[[#This Row],[Unit_Price]]</f>
        <v>122.50000000000001</v>
      </c>
      <c r="S387">
        <f>Inventory_Table[[#This Row],[Sales_Volume]]*Inventory_Table[[#This Row],[Unit_Price]]</f>
        <v>191.10000000000002</v>
      </c>
      <c r="T387" t="str">
        <f>IF(Inventory_Table[[#This Row],[Stock_Quantity]]&lt;=Inventory_Table[[#This Row],[Reorder_Level]],"REORDER","OK")</f>
        <v>REORDER</v>
      </c>
      <c r="U387" t="s">
        <v>3838</v>
      </c>
      <c r="V387" s="14">
        <f ca="1">TODAY()-Inventory_Table[[#This Row],[Last_Order_Date]]</f>
        <v>823</v>
      </c>
    </row>
    <row r="388" spans="1:22" x14ac:dyDescent="0.35">
      <c r="A388" t="s">
        <v>1030</v>
      </c>
      <c r="B388" t="s">
        <v>114</v>
      </c>
      <c r="C388" t="s">
        <v>51</v>
      </c>
      <c r="D388" t="s">
        <v>1802</v>
      </c>
      <c r="E388" t="s">
        <v>30</v>
      </c>
      <c r="F388" t="s">
        <v>1803</v>
      </c>
      <c r="G388" t="s">
        <v>1804</v>
      </c>
      <c r="H388" s="1">
        <v>46693</v>
      </c>
      <c r="I388" s="6">
        <v>45356</v>
      </c>
      <c r="J388" s="6">
        <v>46375</v>
      </c>
      <c r="K388">
        <v>93</v>
      </c>
      <c r="L388">
        <v>55</v>
      </c>
      <c r="M388">
        <v>95</v>
      </c>
      <c r="N388" s="8">
        <v>3.25</v>
      </c>
      <c r="O388">
        <v>56</v>
      </c>
      <c r="P388">
        <v>72</v>
      </c>
      <c r="Q388" s="3">
        <v>-0.01</v>
      </c>
      <c r="R388">
        <f>Inventory_Table[[#This Row],[Stock_Quantity]]*Inventory_Table[[#This Row],[Unit_Price]]</f>
        <v>302.25</v>
      </c>
      <c r="S388">
        <f>Inventory_Table[[#This Row],[Sales_Volume]]*Inventory_Table[[#This Row],[Unit_Price]]</f>
        <v>182</v>
      </c>
      <c r="T388" t="str">
        <f>IF(Inventory_Table[[#This Row],[Stock_Quantity]]&lt;=Inventory_Table[[#This Row],[Reorder_Level]],"REORDER","OK")</f>
        <v>OK</v>
      </c>
      <c r="U388" t="s">
        <v>3836</v>
      </c>
      <c r="V388" s="14">
        <f ca="1">TODAY()-Inventory_Table[[#This Row],[Last_Order_Date]]</f>
        <v>820</v>
      </c>
    </row>
    <row r="389" spans="1:22" x14ac:dyDescent="0.35">
      <c r="A389" t="s">
        <v>314</v>
      </c>
      <c r="B389" t="s">
        <v>18</v>
      </c>
      <c r="C389" t="s">
        <v>1806</v>
      </c>
      <c r="D389" t="s">
        <v>1807</v>
      </c>
      <c r="E389" t="s">
        <v>68</v>
      </c>
      <c r="F389" t="s">
        <v>1808</v>
      </c>
      <c r="G389" t="s">
        <v>1809</v>
      </c>
      <c r="H389" s="1">
        <v>46722</v>
      </c>
      <c r="I389" s="6">
        <v>45394</v>
      </c>
      <c r="J389" s="6">
        <v>46201</v>
      </c>
      <c r="K389">
        <v>88</v>
      </c>
      <c r="L389">
        <v>56</v>
      </c>
      <c r="M389">
        <v>72</v>
      </c>
      <c r="N389" s="8">
        <v>2</v>
      </c>
      <c r="O389">
        <v>25</v>
      </c>
      <c r="P389">
        <v>36</v>
      </c>
      <c r="Q389" s="3">
        <v>-0.28999999999999998</v>
      </c>
      <c r="R389">
        <f>Inventory_Table[[#This Row],[Stock_Quantity]]*Inventory_Table[[#This Row],[Unit_Price]]</f>
        <v>176</v>
      </c>
      <c r="S389">
        <f>Inventory_Table[[#This Row],[Sales_Volume]]*Inventory_Table[[#This Row],[Unit_Price]]</f>
        <v>50</v>
      </c>
      <c r="T389" t="str">
        <f>IF(Inventory_Table[[#This Row],[Stock_Quantity]]&lt;=Inventory_Table[[#This Row],[Reorder_Level]],"REORDER","OK")</f>
        <v>OK</v>
      </c>
      <c r="U389" t="s">
        <v>3837</v>
      </c>
      <c r="V389" s="14">
        <f ca="1">TODAY()-Inventory_Table[[#This Row],[Last_Order_Date]]</f>
        <v>782</v>
      </c>
    </row>
    <row r="390" spans="1:22" x14ac:dyDescent="0.35">
      <c r="A390" t="s">
        <v>496</v>
      </c>
      <c r="B390" t="s">
        <v>18</v>
      </c>
      <c r="C390" t="s">
        <v>1810</v>
      </c>
      <c r="D390" t="s">
        <v>1811</v>
      </c>
      <c r="E390" t="s">
        <v>30</v>
      </c>
      <c r="F390" t="s">
        <v>1812</v>
      </c>
      <c r="G390" t="s">
        <v>1813</v>
      </c>
      <c r="H390" s="1">
        <v>46723</v>
      </c>
      <c r="I390" s="6">
        <v>45436</v>
      </c>
      <c r="J390" s="6">
        <v>46131</v>
      </c>
      <c r="K390">
        <v>54</v>
      </c>
      <c r="L390">
        <v>88</v>
      </c>
      <c r="M390">
        <v>43</v>
      </c>
      <c r="N390" s="8">
        <v>5.5</v>
      </c>
      <c r="O390">
        <v>81</v>
      </c>
      <c r="P390">
        <v>77</v>
      </c>
      <c r="Q390" s="3">
        <v>-0.44</v>
      </c>
      <c r="R390">
        <f>Inventory_Table[[#This Row],[Stock_Quantity]]*Inventory_Table[[#This Row],[Unit_Price]]</f>
        <v>297</v>
      </c>
      <c r="S390">
        <f>Inventory_Table[[#This Row],[Sales_Volume]]*Inventory_Table[[#This Row],[Unit_Price]]</f>
        <v>445.5</v>
      </c>
      <c r="T390" t="str">
        <f>IF(Inventory_Table[[#This Row],[Stock_Quantity]]&lt;=Inventory_Table[[#This Row],[Reorder_Level]],"REORDER","OK")</f>
        <v>REORDER</v>
      </c>
      <c r="U390" t="s">
        <v>3838</v>
      </c>
      <c r="V390" s="14">
        <f ca="1">TODAY()-Inventory_Table[[#This Row],[Last_Order_Date]]</f>
        <v>740</v>
      </c>
    </row>
    <row r="391" spans="1:22" x14ac:dyDescent="0.35">
      <c r="A391" t="s">
        <v>89</v>
      </c>
      <c r="B391" t="s">
        <v>36</v>
      </c>
      <c r="C391" t="s">
        <v>1025</v>
      </c>
      <c r="D391" t="s">
        <v>1814</v>
      </c>
      <c r="E391" t="s">
        <v>21</v>
      </c>
      <c r="F391" t="s">
        <v>1815</v>
      </c>
      <c r="G391" t="s">
        <v>1816</v>
      </c>
      <c r="H391" s="1">
        <v>46723</v>
      </c>
      <c r="I391" s="6">
        <v>45480</v>
      </c>
      <c r="J391" s="6">
        <v>46237</v>
      </c>
      <c r="K391">
        <v>86</v>
      </c>
      <c r="L391">
        <v>20</v>
      </c>
      <c r="M391">
        <v>67</v>
      </c>
      <c r="N391" s="8">
        <v>1.75</v>
      </c>
      <c r="O391">
        <v>83</v>
      </c>
      <c r="P391">
        <v>82</v>
      </c>
      <c r="Q391" s="3">
        <v>0.05</v>
      </c>
      <c r="R391">
        <f>Inventory_Table[[#This Row],[Stock_Quantity]]*Inventory_Table[[#This Row],[Unit_Price]]</f>
        <v>150.5</v>
      </c>
      <c r="S391">
        <f>Inventory_Table[[#This Row],[Sales_Volume]]*Inventory_Table[[#This Row],[Unit_Price]]</f>
        <v>145.25</v>
      </c>
      <c r="T391" t="str">
        <f>IF(Inventory_Table[[#This Row],[Stock_Quantity]]&lt;=Inventory_Table[[#This Row],[Reorder_Level]],"REORDER","OK")</f>
        <v>OK</v>
      </c>
      <c r="U391" t="s">
        <v>3836</v>
      </c>
      <c r="V391" s="14">
        <f ca="1">TODAY()-Inventory_Table[[#This Row],[Last_Order_Date]]</f>
        <v>696</v>
      </c>
    </row>
    <row r="392" spans="1:22" x14ac:dyDescent="0.35">
      <c r="A392" t="s">
        <v>122</v>
      </c>
      <c r="B392" t="s">
        <v>18</v>
      </c>
      <c r="C392" t="s">
        <v>728</v>
      </c>
      <c r="D392" t="s">
        <v>1817</v>
      </c>
      <c r="E392" t="s">
        <v>21</v>
      </c>
      <c r="F392" t="s">
        <v>1818</v>
      </c>
      <c r="G392" t="s">
        <v>1819</v>
      </c>
      <c r="H392" s="1">
        <v>46400</v>
      </c>
      <c r="I392" s="6">
        <v>45394</v>
      </c>
      <c r="J392" s="6">
        <v>46172</v>
      </c>
      <c r="K392">
        <v>48</v>
      </c>
      <c r="L392">
        <v>27</v>
      </c>
      <c r="M392">
        <v>73</v>
      </c>
      <c r="N392" s="8">
        <v>2.5499999999999998</v>
      </c>
      <c r="O392">
        <v>52</v>
      </c>
      <c r="P392">
        <v>97</v>
      </c>
      <c r="Q392" s="3">
        <v>0.01</v>
      </c>
      <c r="R392">
        <f>Inventory_Table[[#This Row],[Stock_Quantity]]*Inventory_Table[[#This Row],[Unit_Price]]</f>
        <v>122.39999999999999</v>
      </c>
      <c r="S392">
        <f>Inventory_Table[[#This Row],[Sales_Volume]]*Inventory_Table[[#This Row],[Unit_Price]]</f>
        <v>132.6</v>
      </c>
      <c r="T392" t="str">
        <f>IF(Inventory_Table[[#This Row],[Stock_Quantity]]&lt;=Inventory_Table[[#This Row],[Reorder_Level]],"REORDER","OK")</f>
        <v>OK</v>
      </c>
      <c r="U392" t="s">
        <v>3838</v>
      </c>
      <c r="V392" s="14">
        <f ca="1">TODAY()-Inventory_Table[[#This Row],[Last_Order_Date]]</f>
        <v>782</v>
      </c>
    </row>
    <row r="393" spans="1:22" x14ac:dyDescent="0.35">
      <c r="A393" t="s">
        <v>308</v>
      </c>
      <c r="B393" t="s">
        <v>27</v>
      </c>
      <c r="C393" t="s">
        <v>1822</v>
      </c>
      <c r="D393" t="s">
        <v>1823</v>
      </c>
      <c r="E393" t="s">
        <v>68</v>
      </c>
      <c r="F393" t="s">
        <v>1824</v>
      </c>
      <c r="G393" t="s">
        <v>1825</v>
      </c>
      <c r="H393" s="1">
        <v>46400</v>
      </c>
      <c r="I393" s="6">
        <v>45615</v>
      </c>
      <c r="J393" s="6">
        <v>46351</v>
      </c>
      <c r="K393">
        <v>89</v>
      </c>
      <c r="L393">
        <v>66</v>
      </c>
      <c r="M393">
        <v>28</v>
      </c>
      <c r="N393" s="8">
        <v>6.5</v>
      </c>
      <c r="O393">
        <v>39</v>
      </c>
      <c r="P393">
        <v>25</v>
      </c>
      <c r="Q393" s="3">
        <v>-0.87</v>
      </c>
      <c r="R393">
        <f>Inventory_Table[[#This Row],[Stock_Quantity]]*Inventory_Table[[#This Row],[Unit_Price]]</f>
        <v>578.5</v>
      </c>
      <c r="S393">
        <f>Inventory_Table[[#This Row],[Sales_Volume]]*Inventory_Table[[#This Row],[Unit_Price]]</f>
        <v>253.5</v>
      </c>
      <c r="T393" t="str">
        <f>IF(Inventory_Table[[#This Row],[Stock_Quantity]]&lt;=Inventory_Table[[#This Row],[Reorder_Level]],"REORDER","OK")</f>
        <v>OK</v>
      </c>
      <c r="U393" t="s">
        <v>3836</v>
      </c>
      <c r="V393" s="14">
        <f ca="1">TODAY()-Inventory_Table[[#This Row],[Last_Order_Date]]</f>
        <v>561</v>
      </c>
    </row>
    <row r="394" spans="1:22" x14ac:dyDescent="0.35">
      <c r="A394" t="s">
        <v>222</v>
      </c>
      <c r="B394" t="s">
        <v>65</v>
      </c>
      <c r="C394" t="s">
        <v>630</v>
      </c>
      <c r="D394" t="s">
        <v>1826</v>
      </c>
      <c r="E394" t="s">
        <v>21</v>
      </c>
      <c r="F394" t="s">
        <v>1827</v>
      </c>
      <c r="G394" t="s">
        <v>1828</v>
      </c>
      <c r="H394" s="1">
        <v>46401</v>
      </c>
      <c r="I394" s="6">
        <v>45569</v>
      </c>
      <c r="J394" s="6">
        <v>46394</v>
      </c>
      <c r="K394">
        <v>97</v>
      </c>
      <c r="L394">
        <v>41</v>
      </c>
      <c r="M394">
        <v>68</v>
      </c>
      <c r="N394" s="8">
        <v>1.5</v>
      </c>
      <c r="O394">
        <v>35</v>
      </c>
      <c r="P394">
        <v>16</v>
      </c>
      <c r="Q394" s="3">
        <v>0.36</v>
      </c>
      <c r="R394">
        <f>Inventory_Table[[#This Row],[Stock_Quantity]]*Inventory_Table[[#This Row],[Unit_Price]]</f>
        <v>145.5</v>
      </c>
      <c r="S394">
        <f>Inventory_Table[[#This Row],[Sales_Volume]]*Inventory_Table[[#This Row],[Unit_Price]]</f>
        <v>52.5</v>
      </c>
      <c r="T394" t="str">
        <f>IF(Inventory_Table[[#This Row],[Stock_Quantity]]&lt;=Inventory_Table[[#This Row],[Reorder_Level]],"REORDER","OK")</f>
        <v>OK</v>
      </c>
      <c r="U394" t="s">
        <v>3836</v>
      </c>
      <c r="V394" s="14">
        <f ca="1">TODAY()-Inventory_Table[[#This Row],[Last_Order_Date]]</f>
        <v>607</v>
      </c>
    </row>
    <row r="395" spans="1:22" x14ac:dyDescent="0.35">
      <c r="A395" t="s">
        <v>842</v>
      </c>
      <c r="B395" t="s">
        <v>75</v>
      </c>
      <c r="C395" t="s">
        <v>1829</v>
      </c>
      <c r="D395" t="s">
        <v>1830</v>
      </c>
      <c r="E395" t="s">
        <v>68</v>
      </c>
      <c r="F395" t="s">
        <v>1831</v>
      </c>
      <c r="G395" t="s">
        <v>1832</v>
      </c>
      <c r="H395" s="1">
        <v>46401</v>
      </c>
      <c r="I395" s="6">
        <v>45405</v>
      </c>
      <c r="J395" s="6">
        <v>46090</v>
      </c>
      <c r="K395">
        <v>84</v>
      </c>
      <c r="L395">
        <v>8</v>
      </c>
      <c r="M395">
        <v>54</v>
      </c>
      <c r="N395" s="8">
        <v>9</v>
      </c>
      <c r="O395">
        <v>60</v>
      </c>
      <c r="P395">
        <v>38</v>
      </c>
      <c r="Q395" s="3">
        <v>0.54</v>
      </c>
      <c r="R395">
        <f>Inventory_Table[[#This Row],[Stock_Quantity]]*Inventory_Table[[#This Row],[Unit_Price]]</f>
        <v>756</v>
      </c>
      <c r="S395">
        <f>Inventory_Table[[#This Row],[Sales_Volume]]*Inventory_Table[[#This Row],[Unit_Price]]</f>
        <v>540</v>
      </c>
      <c r="T395" t="str">
        <f>IF(Inventory_Table[[#This Row],[Stock_Quantity]]&lt;=Inventory_Table[[#This Row],[Reorder_Level]],"REORDER","OK")</f>
        <v>OK</v>
      </c>
      <c r="U395" t="s">
        <v>3838</v>
      </c>
      <c r="V395" s="14">
        <f ca="1">TODAY()-Inventory_Table[[#This Row],[Last_Order_Date]]</f>
        <v>771</v>
      </c>
    </row>
    <row r="396" spans="1:22" x14ac:dyDescent="0.35">
      <c r="A396" t="s">
        <v>880</v>
      </c>
      <c r="B396" t="s">
        <v>27</v>
      </c>
      <c r="C396" t="s">
        <v>1206</v>
      </c>
      <c r="D396" t="s">
        <v>1833</v>
      </c>
      <c r="E396" t="s">
        <v>30</v>
      </c>
      <c r="F396" t="s">
        <v>1834</v>
      </c>
      <c r="G396" t="s">
        <v>1835</v>
      </c>
      <c r="H396" s="1">
        <v>46401</v>
      </c>
      <c r="I396" s="6">
        <v>45461</v>
      </c>
      <c r="J396" s="6">
        <v>46171</v>
      </c>
      <c r="K396">
        <v>69</v>
      </c>
      <c r="L396">
        <v>17</v>
      </c>
      <c r="M396">
        <v>27</v>
      </c>
      <c r="N396" s="8">
        <v>2.2999999999999998</v>
      </c>
      <c r="O396">
        <v>79</v>
      </c>
      <c r="P396">
        <v>75</v>
      </c>
      <c r="Q396" s="3">
        <v>0.37</v>
      </c>
      <c r="R396">
        <f>Inventory_Table[[#This Row],[Stock_Quantity]]*Inventory_Table[[#This Row],[Unit_Price]]</f>
        <v>158.69999999999999</v>
      </c>
      <c r="S396">
        <f>Inventory_Table[[#This Row],[Sales_Volume]]*Inventory_Table[[#This Row],[Unit_Price]]</f>
        <v>181.7</v>
      </c>
      <c r="T396" t="str">
        <f>IF(Inventory_Table[[#This Row],[Stock_Quantity]]&lt;=Inventory_Table[[#This Row],[Reorder_Level]],"REORDER","OK")</f>
        <v>OK</v>
      </c>
      <c r="U396" t="s">
        <v>3838</v>
      </c>
      <c r="V396" s="14">
        <f ca="1">TODAY()-Inventory_Table[[#This Row],[Last_Order_Date]]</f>
        <v>715</v>
      </c>
    </row>
    <row r="397" spans="1:22" x14ac:dyDescent="0.35">
      <c r="A397" t="s">
        <v>619</v>
      </c>
      <c r="B397" t="s">
        <v>18</v>
      </c>
      <c r="C397" t="s">
        <v>1837</v>
      </c>
      <c r="D397" t="s">
        <v>1838</v>
      </c>
      <c r="E397" t="s">
        <v>21</v>
      </c>
      <c r="F397" t="s">
        <v>1839</v>
      </c>
      <c r="G397" t="s">
        <v>1840</v>
      </c>
      <c r="H397" s="1">
        <v>46401</v>
      </c>
      <c r="I397" s="6">
        <v>45677</v>
      </c>
      <c r="J397" s="6">
        <v>46281</v>
      </c>
      <c r="K397">
        <v>80</v>
      </c>
      <c r="L397">
        <v>6</v>
      </c>
      <c r="M397">
        <v>92</v>
      </c>
      <c r="N397" s="8">
        <v>5</v>
      </c>
      <c r="O397">
        <v>26</v>
      </c>
      <c r="P397">
        <v>71</v>
      </c>
      <c r="Q397" s="3">
        <v>0.05</v>
      </c>
      <c r="R397">
        <f>Inventory_Table[[#This Row],[Stock_Quantity]]*Inventory_Table[[#This Row],[Unit_Price]]</f>
        <v>400</v>
      </c>
      <c r="S397">
        <f>Inventory_Table[[#This Row],[Sales_Volume]]*Inventory_Table[[#This Row],[Unit_Price]]</f>
        <v>130</v>
      </c>
      <c r="T397" t="str">
        <f>IF(Inventory_Table[[#This Row],[Stock_Quantity]]&lt;=Inventory_Table[[#This Row],[Reorder_Level]],"REORDER","OK")</f>
        <v>OK</v>
      </c>
      <c r="U397" t="s">
        <v>3836</v>
      </c>
      <c r="V397" s="14">
        <f ca="1">TODAY()-Inventory_Table[[#This Row],[Last_Order_Date]]</f>
        <v>499</v>
      </c>
    </row>
    <row r="398" spans="1:22" x14ac:dyDescent="0.35">
      <c r="A398" t="s">
        <v>314</v>
      </c>
      <c r="B398" t="s">
        <v>18</v>
      </c>
      <c r="C398" t="s">
        <v>1841</v>
      </c>
      <c r="D398" t="s">
        <v>1842</v>
      </c>
      <c r="E398" t="s">
        <v>30</v>
      </c>
      <c r="F398" t="s">
        <v>1843</v>
      </c>
      <c r="G398" t="s">
        <v>1844</v>
      </c>
      <c r="H398" s="1">
        <v>46402</v>
      </c>
      <c r="I398" s="6">
        <v>45412</v>
      </c>
      <c r="J398" s="6">
        <v>46185</v>
      </c>
      <c r="K398">
        <v>22</v>
      </c>
      <c r="L398">
        <v>22</v>
      </c>
      <c r="M398">
        <v>65</v>
      </c>
      <c r="N398" s="8">
        <v>2</v>
      </c>
      <c r="O398">
        <v>62</v>
      </c>
      <c r="P398">
        <v>78</v>
      </c>
      <c r="Q398" s="3">
        <v>-1.73</v>
      </c>
      <c r="R398">
        <f>Inventory_Table[[#This Row],[Stock_Quantity]]*Inventory_Table[[#This Row],[Unit_Price]]</f>
        <v>44</v>
      </c>
      <c r="S398">
        <f>Inventory_Table[[#This Row],[Sales_Volume]]*Inventory_Table[[#This Row],[Unit_Price]]</f>
        <v>124</v>
      </c>
      <c r="T398" t="str">
        <f>IF(Inventory_Table[[#This Row],[Stock_Quantity]]&lt;=Inventory_Table[[#This Row],[Reorder_Level]],"REORDER","OK")</f>
        <v>REORDER</v>
      </c>
      <c r="U398" t="s">
        <v>3837</v>
      </c>
      <c r="V398" s="14">
        <f ca="1">TODAY()-Inventory_Table[[#This Row],[Last_Order_Date]]</f>
        <v>764</v>
      </c>
    </row>
    <row r="399" spans="1:22" x14ac:dyDescent="0.35">
      <c r="A399" t="s">
        <v>228</v>
      </c>
      <c r="B399" t="s">
        <v>18</v>
      </c>
      <c r="C399" t="s">
        <v>620</v>
      </c>
      <c r="D399" t="s">
        <v>1845</v>
      </c>
      <c r="E399" t="s">
        <v>21</v>
      </c>
      <c r="F399" t="s">
        <v>1846</v>
      </c>
      <c r="G399" t="s">
        <v>1847</v>
      </c>
      <c r="H399" s="1">
        <v>46403</v>
      </c>
      <c r="I399" s="6">
        <v>45673</v>
      </c>
      <c r="J399" s="6">
        <v>46085</v>
      </c>
      <c r="K399">
        <v>28</v>
      </c>
      <c r="L399">
        <v>5</v>
      </c>
      <c r="M399">
        <v>9</v>
      </c>
      <c r="N399" s="8">
        <v>1.8</v>
      </c>
      <c r="O399">
        <v>33</v>
      </c>
      <c r="P399">
        <v>9</v>
      </c>
      <c r="Q399" s="3">
        <v>-0.26</v>
      </c>
      <c r="R399">
        <f>Inventory_Table[[#This Row],[Stock_Quantity]]*Inventory_Table[[#This Row],[Unit_Price]]</f>
        <v>50.4</v>
      </c>
      <c r="S399">
        <f>Inventory_Table[[#This Row],[Sales_Volume]]*Inventory_Table[[#This Row],[Unit_Price]]</f>
        <v>59.4</v>
      </c>
      <c r="T399" t="str">
        <f>IF(Inventory_Table[[#This Row],[Stock_Quantity]]&lt;=Inventory_Table[[#This Row],[Reorder_Level]],"REORDER","OK")</f>
        <v>OK</v>
      </c>
      <c r="U399" t="s">
        <v>3838</v>
      </c>
      <c r="V399" s="14">
        <f ca="1">TODAY()-Inventory_Table[[#This Row],[Last_Order_Date]]</f>
        <v>503</v>
      </c>
    </row>
    <row r="400" spans="1:22" x14ac:dyDescent="0.35">
      <c r="A400" t="s">
        <v>1704</v>
      </c>
      <c r="B400" t="s">
        <v>18</v>
      </c>
      <c r="C400" t="s">
        <v>1411</v>
      </c>
      <c r="D400" t="s">
        <v>1848</v>
      </c>
      <c r="E400" t="s">
        <v>68</v>
      </c>
      <c r="F400" t="s">
        <v>1849</v>
      </c>
      <c r="G400" t="s">
        <v>1850</v>
      </c>
      <c r="H400" s="1">
        <v>46404</v>
      </c>
      <c r="I400" s="6">
        <v>45487</v>
      </c>
      <c r="J400" s="6">
        <v>46127</v>
      </c>
      <c r="K400">
        <v>23</v>
      </c>
      <c r="L400">
        <v>38</v>
      </c>
      <c r="M400">
        <v>54</v>
      </c>
      <c r="N400" s="8">
        <v>10</v>
      </c>
      <c r="O400">
        <v>40</v>
      </c>
      <c r="P400">
        <v>15</v>
      </c>
      <c r="Q400" s="3">
        <v>0.73</v>
      </c>
      <c r="R400">
        <f>Inventory_Table[[#This Row],[Stock_Quantity]]*Inventory_Table[[#This Row],[Unit_Price]]</f>
        <v>230</v>
      </c>
      <c r="S400">
        <f>Inventory_Table[[#This Row],[Sales_Volume]]*Inventory_Table[[#This Row],[Unit_Price]]</f>
        <v>400</v>
      </c>
      <c r="T400" t="str">
        <f>IF(Inventory_Table[[#This Row],[Stock_Quantity]]&lt;=Inventory_Table[[#This Row],[Reorder_Level]],"REORDER","OK")</f>
        <v>REORDER</v>
      </c>
      <c r="U400" t="s">
        <v>3838</v>
      </c>
      <c r="V400" s="14">
        <f ca="1">TODAY()-Inventory_Table[[#This Row],[Last_Order_Date]]</f>
        <v>689</v>
      </c>
    </row>
    <row r="401" spans="1:22" x14ac:dyDescent="0.35">
      <c r="A401" t="s">
        <v>17</v>
      </c>
      <c r="B401" t="s">
        <v>18</v>
      </c>
      <c r="C401" t="s">
        <v>1851</v>
      </c>
      <c r="D401" t="s">
        <v>1852</v>
      </c>
      <c r="E401" t="s">
        <v>30</v>
      </c>
      <c r="F401" t="s">
        <v>1853</v>
      </c>
      <c r="G401" t="s">
        <v>1854</v>
      </c>
      <c r="H401" s="1">
        <v>46404</v>
      </c>
      <c r="I401" s="6">
        <v>45551</v>
      </c>
      <c r="J401" s="6">
        <v>46442</v>
      </c>
      <c r="K401">
        <v>26</v>
      </c>
      <c r="L401">
        <v>12</v>
      </c>
      <c r="M401">
        <v>43</v>
      </c>
      <c r="N401" s="8">
        <v>4.4000000000000004</v>
      </c>
      <c r="O401">
        <v>73</v>
      </c>
      <c r="P401">
        <v>20</v>
      </c>
      <c r="Q401" s="3">
        <v>0.63</v>
      </c>
      <c r="R401">
        <f>Inventory_Table[[#This Row],[Stock_Quantity]]*Inventory_Table[[#This Row],[Unit_Price]]</f>
        <v>114.4</v>
      </c>
      <c r="S401">
        <f>Inventory_Table[[#This Row],[Sales_Volume]]*Inventory_Table[[#This Row],[Unit_Price]]</f>
        <v>321.20000000000005</v>
      </c>
      <c r="T401" t="str">
        <f>IF(Inventory_Table[[#This Row],[Stock_Quantity]]&lt;=Inventory_Table[[#This Row],[Reorder_Level]],"REORDER","OK")</f>
        <v>OK</v>
      </c>
      <c r="U401" t="s">
        <v>3836</v>
      </c>
      <c r="V401" s="14">
        <f ca="1">TODAY()-Inventory_Table[[#This Row],[Last_Order_Date]]</f>
        <v>625</v>
      </c>
    </row>
    <row r="402" spans="1:22" x14ac:dyDescent="0.35">
      <c r="A402" t="s">
        <v>96</v>
      </c>
      <c r="B402" t="s">
        <v>36</v>
      </c>
      <c r="C402" t="s">
        <v>1855</v>
      </c>
      <c r="D402" t="s">
        <v>1856</v>
      </c>
      <c r="E402" t="s">
        <v>30</v>
      </c>
      <c r="F402" t="s">
        <v>1857</v>
      </c>
      <c r="G402" t="s">
        <v>1858</v>
      </c>
      <c r="H402" s="1">
        <v>46404</v>
      </c>
      <c r="I402" s="6">
        <v>45468</v>
      </c>
      <c r="J402" s="6">
        <v>46415</v>
      </c>
      <c r="K402">
        <v>85</v>
      </c>
      <c r="L402">
        <v>28</v>
      </c>
      <c r="M402">
        <v>32</v>
      </c>
      <c r="N402" s="8">
        <v>8.9</v>
      </c>
      <c r="O402">
        <v>57</v>
      </c>
      <c r="P402">
        <v>41</v>
      </c>
      <c r="Q402" s="3">
        <v>0.73</v>
      </c>
      <c r="R402">
        <f>Inventory_Table[[#This Row],[Stock_Quantity]]*Inventory_Table[[#This Row],[Unit_Price]]</f>
        <v>756.5</v>
      </c>
      <c r="S402">
        <f>Inventory_Table[[#This Row],[Sales_Volume]]*Inventory_Table[[#This Row],[Unit_Price]]</f>
        <v>507.3</v>
      </c>
      <c r="T402" t="str">
        <f>IF(Inventory_Table[[#This Row],[Stock_Quantity]]&lt;=Inventory_Table[[#This Row],[Reorder_Level]],"REORDER","OK")</f>
        <v>OK</v>
      </c>
      <c r="U402" t="s">
        <v>3836</v>
      </c>
      <c r="V402" s="14">
        <f ca="1">TODAY()-Inventory_Table[[#This Row],[Last_Order_Date]]</f>
        <v>708</v>
      </c>
    </row>
    <row r="403" spans="1:22" x14ac:dyDescent="0.35">
      <c r="A403" t="s">
        <v>1782</v>
      </c>
      <c r="B403" t="s">
        <v>36</v>
      </c>
      <c r="C403" t="s">
        <v>130</v>
      </c>
      <c r="D403" t="s">
        <v>1860</v>
      </c>
      <c r="E403" t="s">
        <v>21</v>
      </c>
      <c r="F403" t="s">
        <v>1861</v>
      </c>
      <c r="G403" t="s">
        <v>1862</v>
      </c>
      <c r="H403" s="1">
        <v>46404</v>
      </c>
      <c r="I403" s="6">
        <v>45485</v>
      </c>
      <c r="J403" s="6">
        <v>46288</v>
      </c>
      <c r="K403">
        <v>55</v>
      </c>
      <c r="L403">
        <v>58</v>
      </c>
      <c r="M403">
        <v>6</v>
      </c>
      <c r="N403" s="8">
        <v>7.2</v>
      </c>
      <c r="O403">
        <v>48</v>
      </c>
      <c r="P403">
        <v>17</v>
      </c>
      <c r="Q403" s="3">
        <v>0.28000000000000003</v>
      </c>
      <c r="R403">
        <f>Inventory_Table[[#This Row],[Stock_Quantity]]*Inventory_Table[[#This Row],[Unit_Price]]</f>
        <v>396</v>
      </c>
      <c r="S403">
        <f>Inventory_Table[[#This Row],[Sales_Volume]]*Inventory_Table[[#This Row],[Unit_Price]]</f>
        <v>345.6</v>
      </c>
      <c r="T403" t="str">
        <f>IF(Inventory_Table[[#This Row],[Stock_Quantity]]&lt;=Inventory_Table[[#This Row],[Reorder_Level]],"REORDER","OK")</f>
        <v>REORDER</v>
      </c>
      <c r="U403" t="s">
        <v>3836</v>
      </c>
      <c r="V403" s="14">
        <f ca="1">TODAY()-Inventory_Table[[#This Row],[Last_Order_Date]]</f>
        <v>691</v>
      </c>
    </row>
    <row r="404" spans="1:22" x14ac:dyDescent="0.35">
      <c r="A404" t="s">
        <v>769</v>
      </c>
      <c r="B404" t="s">
        <v>36</v>
      </c>
      <c r="C404" t="s">
        <v>963</v>
      </c>
      <c r="D404" t="s">
        <v>1863</v>
      </c>
      <c r="E404" t="s">
        <v>30</v>
      </c>
      <c r="F404" t="s">
        <v>1864</v>
      </c>
      <c r="G404" t="s">
        <v>1865</v>
      </c>
      <c r="H404" s="1">
        <v>46405</v>
      </c>
      <c r="I404" s="6">
        <v>45504</v>
      </c>
      <c r="J404" s="6">
        <v>46300</v>
      </c>
      <c r="K404">
        <v>72</v>
      </c>
      <c r="L404">
        <v>3</v>
      </c>
      <c r="M404">
        <v>10</v>
      </c>
      <c r="N404" s="8">
        <v>2</v>
      </c>
      <c r="O404">
        <v>52</v>
      </c>
      <c r="P404">
        <v>14</v>
      </c>
      <c r="Q404" s="3">
        <v>0.65</v>
      </c>
      <c r="R404">
        <f>Inventory_Table[[#This Row],[Stock_Quantity]]*Inventory_Table[[#This Row],[Unit_Price]]</f>
        <v>144</v>
      </c>
      <c r="S404">
        <f>Inventory_Table[[#This Row],[Sales_Volume]]*Inventory_Table[[#This Row],[Unit_Price]]</f>
        <v>104</v>
      </c>
      <c r="T404" t="str">
        <f>IF(Inventory_Table[[#This Row],[Stock_Quantity]]&lt;=Inventory_Table[[#This Row],[Reorder_Level]],"REORDER","OK")</f>
        <v>OK</v>
      </c>
      <c r="U404" t="s">
        <v>3836</v>
      </c>
      <c r="V404" s="14">
        <f ca="1">TODAY()-Inventory_Table[[#This Row],[Last_Order_Date]]</f>
        <v>672</v>
      </c>
    </row>
    <row r="405" spans="1:22" x14ac:dyDescent="0.35">
      <c r="A405" t="s">
        <v>1311</v>
      </c>
      <c r="B405" t="s">
        <v>36</v>
      </c>
      <c r="C405" t="s">
        <v>123</v>
      </c>
      <c r="D405" t="s">
        <v>1866</v>
      </c>
      <c r="E405" t="s">
        <v>68</v>
      </c>
      <c r="F405" t="s">
        <v>1867</v>
      </c>
      <c r="G405" t="s">
        <v>1868</v>
      </c>
      <c r="H405" s="1">
        <v>46406</v>
      </c>
      <c r="I405" s="6">
        <v>45609</v>
      </c>
      <c r="J405" s="6">
        <v>46190</v>
      </c>
      <c r="K405">
        <v>29</v>
      </c>
      <c r="L405">
        <v>4</v>
      </c>
      <c r="M405">
        <v>17</v>
      </c>
      <c r="N405" s="8">
        <v>8</v>
      </c>
      <c r="O405">
        <v>59</v>
      </c>
      <c r="P405">
        <v>52</v>
      </c>
      <c r="Q405" s="3">
        <v>0.73</v>
      </c>
      <c r="R405">
        <f>Inventory_Table[[#This Row],[Stock_Quantity]]*Inventory_Table[[#This Row],[Unit_Price]]</f>
        <v>232</v>
      </c>
      <c r="S405">
        <f>Inventory_Table[[#This Row],[Sales_Volume]]*Inventory_Table[[#This Row],[Unit_Price]]</f>
        <v>472</v>
      </c>
      <c r="T405" t="str">
        <f>IF(Inventory_Table[[#This Row],[Stock_Quantity]]&lt;=Inventory_Table[[#This Row],[Reorder_Level]],"REORDER","OK")</f>
        <v>OK</v>
      </c>
      <c r="U405" t="s">
        <v>3837</v>
      </c>
      <c r="V405" s="14">
        <f ca="1">TODAY()-Inventory_Table[[#This Row],[Last_Order_Date]]</f>
        <v>567</v>
      </c>
    </row>
    <row r="406" spans="1:22" x14ac:dyDescent="0.35">
      <c r="A406" t="s">
        <v>228</v>
      </c>
      <c r="B406" t="s">
        <v>18</v>
      </c>
      <c r="C406" t="s">
        <v>1870</v>
      </c>
      <c r="D406" t="s">
        <v>1871</v>
      </c>
      <c r="E406" t="s">
        <v>30</v>
      </c>
      <c r="F406" t="s">
        <v>1872</v>
      </c>
      <c r="G406" t="s">
        <v>1873</v>
      </c>
      <c r="H406" s="1">
        <v>46406</v>
      </c>
      <c r="I406" s="6">
        <v>45669</v>
      </c>
      <c r="J406" s="6">
        <v>46112</v>
      </c>
      <c r="K406">
        <v>47</v>
      </c>
      <c r="L406">
        <v>20</v>
      </c>
      <c r="M406">
        <v>65</v>
      </c>
      <c r="N406" s="8">
        <v>1.75</v>
      </c>
      <c r="O406">
        <v>49</v>
      </c>
      <c r="P406">
        <v>19</v>
      </c>
      <c r="Q406" s="3">
        <v>0.12</v>
      </c>
      <c r="R406">
        <f>Inventory_Table[[#This Row],[Stock_Quantity]]*Inventory_Table[[#This Row],[Unit_Price]]</f>
        <v>82.25</v>
      </c>
      <c r="S406">
        <f>Inventory_Table[[#This Row],[Sales_Volume]]*Inventory_Table[[#This Row],[Unit_Price]]</f>
        <v>85.75</v>
      </c>
      <c r="T406" t="str">
        <f>IF(Inventory_Table[[#This Row],[Stock_Quantity]]&lt;=Inventory_Table[[#This Row],[Reorder_Level]],"REORDER","OK")</f>
        <v>OK</v>
      </c>
      <c r="U406" t="s">
        <v>3838</v>
      </c>
      <c r="V406" s="14">
        <f ca="1">TODAY()-Inventory_Table[[#This Row],[Last_Order_Date]]</f>
        <v>507</v>
      </c>
    </row>
    <row r="407" spans="1:22" x14ac:dyDescent="0.35">
      <c r="A407" t="s">
        <v>1157</v>
      </c>
      <c r="B407" t="s">
        <v>18</v>
      </c>
      <c r="C407" t="s">
        <v>1874</v>
      </c>
      <c r="D407" t="s">
        <v>1875</v>
      </c>
      <c r="E407" t="s">
        <v>68</v>
      </c>
      <c r="F407" t="s">
        <v>1876</v>
      </c>
      <c r="G407" t="s">
        <v>1877</v>
      </c>
      <c r="H407" s="1">
        <v>46406</v>
      </c>
      <c r="I407" s="6">
        <v>45357</v>
      </c>
      <c r="J407" s="6">
        <v>46082</v>
      </c>
      <c r="K407">
        <v>42</v>
      </c>
      <c r="L407">
        <v>69</v>
      </c>
      <c r="M407">
        <v>54</v>
      </c>
      <c r="N407" s="8">
        <v>1.2</v>
      </c>
      <c r="O407">
        <v>43</v>
      </c>
      <c r="P407">
        <v>96</v>
      </c>
      <c r="Q407" s="3">
        <v>0.61</v>
      </c>
      <c r="R407">
        <f>Inventory_Table[[#This Row],[Stock_Quantity]]*Inventory_Table[[#This Row],[Unit_Price]]</f>
        <v>50.4</v>
      </c>
      <c r="S407">
        <f>Inventory_Table[[#This Row],[Sales_Volume]]*Inventory_Table[[#This Row],[Unit_Price]]</f>
        <v>51.6</v>
      </c>
      <c r="T407" t="str">
        <f>IF(Inventory_Table[[#This Row],[Stock_Quantity]]&lt;=Inventory_Table[[#This Row],[Reorder_Level]],"REORDER","OK")</f>
        <v>REORDER</v>
      </c>
      <c r="U407" t="s">
        <v>3838</v>
      </c>
      <c r="V407" s="14">
        <f ca="1">TODAY()-Inventory_Table[[#This Row],[Last_Order_Date]]</f>
        <v>819</v>
      </c>
    </row>
    <row r="408" spans="1:22" x14ac:dyDescent="0.35">
      <c r="A408" t="s">
        <v>148</v>
      </c>
      <c r="B408" t="s">
        <v>18</v>
      </c>
      <c r="C408" t="s">
        <v>372</v>
      </c>
      <c r="D408" t="s">
        <v>1878</v>
      </c>
      <c r="E408" t="s">
        <v>30</v>
      </c>
      <c r="F408" t="s">
        <v>1879</v>
      </c>
      <c r="G408" t="s">
        <v>1880</v>
      </c>
      <c r="H408" s="1">
        <v>46406</v>
      </c>
      <c r="I408" s="6">
        <v>45490</v>
      </c>
      <c r="J408" s="6">
        <v>46308</v>
      </c>
      <c r="K408">
        <v>97</v>
      </c>
      <c r="L408">
        <v>52</v>
      </c>
      <c r="M408">
        <v>80</v>
      </c>
      <c r="N408" s="8">
        <v>3</v>
      </c>
      <c r="O408">
        <v>22</v>
      </c>
      <c r="P408">
        <v>90</v>
      </c>
      <c r="Q408" s="3">
        <v>-1.23</v>
      </c>
      <c r="R408">
        <f>Inventory_Table[[#This Row],[Stock_Quantity]]*Inventory_Table[[#This Row],[Unit_Price]]</f>
        <v>291</v>
      </c>
      <c r="S408">
        <f>Inventory_Table[[#This Row],[Sales_Volume]]*Inventory_Table[[#This Row],[Unit_Price]]</f>
        <v>66</v>
      </c>
      <c r="T408" t="str">
        <f>IF(Inventory_Table[[#This Row],[Stock_Quantity]]&lt;=Inventory_Table[[#This Row],[Reorder_Level]],"REORDER","OK")</f>
        <v>OK</v>
      </c>
      <c r="U408" t="s">
        <v>3836</v>
      </c>
      <c r="V408" s="14">
        <f ca="1">TODAY()-Inventory_Table[[#This Row],[Last_Order_Date]]</f>
        <v>686</v>
      </c>
    </row>
    <row r="409" spans="1:22" x14ac:dyDescent="0.35">
      <c r="A409" t="s">
        <v>591</v>
      </c>
      <c r="B409" t="s">
        <v>36</v>
      </c>
      <c r="C409" t="s">
        <v>201</v>
      </c>
      <c r="D409" t="s">
        <v>1881</v>
      </c>
      <c r="E409" t="s">
        <v>21</v>
      </c>
      <c r="F409" t="s">
        <v>1882</v>
      </c>
      <c r="G409" t="s">
        <v>1883</v>
      </c>
      <c r="H409" s="1">
        <v>46407</v>
      </c>
      <c r="I409" s="6">
        <v>45542</v>
      </c>
      <c r="J409" s="6">
        <v>46371</v>
      </c>
      <c r="K409">
        <v>90</v>
      </c>
      <c r="L409">
        <v>62</v>
      </c>
      <c r="M409">
        <v>54</v>
      </c>
      <c r="N409" s="8">
        <v>3</v>
      </c>
      <c r="O409">
        <v>70</v>
      </c>
      <c r="P409">
        <v>83</v>
      </c>
      <c r="Q409" s="3">
        <v>-3.09</v>
      </c>
      <c r="R409">
        <f>Inventory_Table[[#This Row],[Stock_Quantity]]*Inventory_Table[[#This Row],[Unit_Price]]</f>
        <v>270</v>
      </c>
      <c r="S409">
        <f>Inventory_Table[[#This Row],[Sales_Volume]]*Inventory_Table[[#This Row],[Unit_Price]]</f>
        <v>210</v>
      </c>
      <c r="T409" t="str">
        <f>IF(Inventory_Table[[#This Row],[Stock_Quantity]]&lt;=Inventory_Table[[#This Row],[Reorder_Level]],"REORDER","OK")</f>
        <v>OK</v>
      </c>
      <c r="U409" t="s">
        <v>3836</v>
      </c>
      <c r="V409" s="14">
        <f ca="1">TODAY()-Inventory_Table[[#This Row],[Last_Order_Date]]</f>
        <v>634</v>
      </c>
    </row>
    <row r="410" spans="1:22" x14ac:dyDescent="0.35">
      <c r="A410" t="s">
        <v>1003</v>
      </c>
      <c r="B410" t="s">
        <v>18</v>
      </c>
      <c r="C410" t="s">
        <v>1884</v>
      </c>
      <c r="D410" t="s">
        <v>1885</v>
      </c>
      <c r="E410" t="s">
        <v>21</v>
      </c>
      <c r="F410" t="s">
        <v>1886</v>
      </c>
      <c r="G410" t="s">
        <v>1887</v>
      </c>
      <c r="H410" s="1">
        <v>46407</v>
      </c>
      <c r="I410" s="6">
        <v>45684</v>
      </c>
      <c r="J410" s="6">
        <v>46399</v>
      </c>
      <c r="K410">
        <v>81</v>
      </c>
      <c r="L410">
        <v>74</v>
      </c>
      <c r="M410">
        <v>45</v>
      </c>
      <c r="N410" s="8">
        <v>3.5</v>
      </c>
      <c r="O410">
        <v>42</v>
      </c>
      <c r="P410">
        <v>23</v>
      </c>
      <c r="Q410" s="3">
        <v>-0.19</v>
      </c>
      <c r="R410">
        <f>Inventory_Table[[#This Row],[Stock_Quantity]]*Inventory_Table[[#This Row],[Unit_Price]]</f>
        <v>283.5</v>
      </c>
      <c r="S410">
        <f>Inventory_Table[[#This Row],[Sales_Volume]]*Inventory_Table[[#This Row],[Unit_Price]]</f>
        <v>147</v>
      </c>
      <c r="T410" t="str">
        <f>IF(Inventory_Table[[#This Row],[Stock_Quantity]]&lt;=Inventory_Table[[#This Row],[Reorder_Level]],"REORDER","OK")</f>
        <v>OK</v>
      </c>
      <c r="U410" t="s">
        <v>3836</v>
      </c>
      <c r="V410" s="14">
        <f ca="1">TODAY()-Inventory_Table[[#This Row],[Last_Order_Date]]</f>
        <v>492</v>
      </c>
    </row>
    <row r="411" spans="1:22" x14ac:dyDescent="0.35">
      <c r="A411" t="s">
        <v>527</v>
      </c>
      <c r="B411" t="s">
        <v>65</v>
      </c>
      <c r="C411" t="s">
        <v>1889</v>
      </c>
      <c r="D411" t="s">
        <v>1890</v>
      </c>
      <c r="E411" t="s">
        <v>21</v>
      </c>
      <c r="F411" t="s">
        <v>1891</v>
      </c>
      <c r="G411" t="s">
        <v>1892</v>
      </c>
      <c r="H411" s="1">
        <v>46408</v>
      </c>
      <c r="I411" s="6">
        <v>45371</v>
      </c>
      <c r="J411" s="6">
        <v>46258</v>
      </c>
      <c r="K411">
        <v>60</v>
      </c>
      <c r="L411">
        <v>90</v>
      </c>
      <c r="M411">
        <v>85</v>
      </c>
      <c r="N411" s="8">
        <v>3</v>
      </c>
      <c r="O411">
        <v>47</v>
      </c>
      <c r="P411">
        <v>9</v>
      </c>
      <c r="Q411" s="3">
        <v>0.45</v>
      </c>
      <c r="R411">
        <f>Inventory_Table[[#This Row],[Stock_Quantity]]*Inventory_Table[[#This Row],[Unit_Price]]</f>
        <v>180</v>
      </c>
      <c r="S411">
        <f>Inventory_Table[[#This Row],[Sales_Volume]]*Inventory_Table[[#This Row],[Unit_Price]]</f>
        <v>141</v>
      </c>
      <c r="T411" t="str">
        <f>IF(Inventory_Table[[#This Row],[Stock_Quantity]]&lt;=Inventory_Table[[#This Row],[Reorder_Level]],"REORDER","OK")</f>
        <v>REORDER</v>
      </c>
      <c r="U411" t="s">
        <v>3836</v>
      </c>
      <c r="V411" s="14">
        <f ca="1">TODAY()-Inventory_Table[[#This Row],[Last_Order_Date]]</f>
        <v>805</v>
      </c>
    </row>
    <row r="412" spans="1:22" x14ac:dyDescent="0.35">
      <c r="A412" t="s">
        <v>832</v>
      </c>
      <c r="B412" t="s">
        <v>18</v>
      </c>
      <c r="C412" t="s">
        <v>1893</v>
      </c>
      <c r="D412" t="s">
        <v>1894</v>
      </c>
      <c r="E412" t="s">
        <v>30</v>
      </c>
      <c r="F412" t="s">
        <v>1895</v>
      </c>
      <c r="G412" t="s">
        <v>1896</v>
      </c>
      <c r="H412" s="1">
        <v>46408</v>
      </c>
      <c r="I412" s="6">
        <v>45695</v>
      </c>
      <c r="J412" s="6">
        <v>46433</v>
      </c>
      <c r="K412">
        <v>45</v>
      </c>
      <c r="L412">
        <v>24</v>
      </c>
      <c r="M412">
        <v>61</v>
      </c>
      <c r="N412" s="8">
        <v>6</v>
      </c>
      <c r="O412">
        <v>44</v>
      </c>
      <c r="P412">
        <v>34</v>
      </c>
      <c r="Q412" s="3">
        <v>0.81</v>
      </c>
      <c r="R412">
        <f>Inventory_Table[[#This Row],[Stock_Quantity]]*Inventory_Table[[#This Row],[Unit_Price]]</f>
        <v>270</v>
      </c>
      <c r="S412">
        <f>Inventory_Table[[#This Row],[Sales_Volume]]*Inventory_Table[[#This Row],[Unit_Price]]</f>
        <v>264</v>
      </c>
      <c r="T412" t="str">
        <f>IF(Inventory_Table[[#This Row],[Stock_Quantity]]&lt;=Inventory_Table[[#This Row],[Reorder_Level]],"REORDER","OK")</f>
        <v>OK</v>
      </c>
      <c r="U412" t="s">
        <v>3836</v>
      </c>
      <c r="V412" s="14">
        <f ca="1">TODAY()-Inventory_Table[[#This Row],[Last_Order_Date]]</f>
        <v>481</v>
      </c>
    </row>
    <row r="413" spans="1:22" x14ac:dyDescent="0.35">
      <c r="A413" t="s">
        <v>89</v>
      </c>
      <c r="B413" t="s">
        <v>36</v>
      </c>
      <c r="C413" t="s">
        <v>19</v>
      </c>
      <c r="D413" t="s">
        <v>1897</v>
      </c>
      <c r="E413" t="s">
        <v>21</v>
      </c>
      <c r="F413" t="s">
        <v>1898</v>
      </c>
      <c r="G413" t="s">
        <v>1899</v>
      </c>
      <c r="H413" s="1">
        <v>46408</v>
      </c>
      <c r="I413" s="6">
        <v>45545</v>
      </c>
      <c r="J413" s="6">
        <v>46378</v>
      </c>
      <c r="K413">
        <v>92</v>
      </c>
      <c r="L413">
        <v>92</v>
      </c>
      <c r="M413">
        <v>28</v>
      </c>
      <c r="N413" s="8">
        <v>1.75</v>
      </c>
      <c r="O413">
        <v>50</v>
      </c>
      <c r="P413">
        <v>67</v>
      </c>
      <c r="Q413" s="3">
        <v>0.23</v>
      </c>
      <c r="R413">
        <f>Inventory_Table[[#This Row],[Stock_Quantity]]*Inventory_Table[[#This Row],[Unit_Price]]</f>
        <v>161</v>
      </c>
      <c r="S413">
        <f>Inventory_Table[[#This Row],[Sales_Volume]]*Inventory_Table[[#This Row],[Unit_Price]]</f>
        <v>87.5</v>
      </c>
      <c r="T413" t="str">
        <f>IF(Inventory_Table[[#This Row],[Stock_Quantity]]&lt;=Inventory_Table[[#This Row],[Reorder_Level]],"REORDER","OK")</f>
        <v>REORDER</v>
      </c>
      <c r="U413" t="s">
        <v>3836</v>
      </c>
      <c r="V413" s="14">
        <f ca="1">TODAY()-Inventory_Table[[#This Row],[Last_Order_Date]]</f>
        <v>631</v>
      </c>
    </row>
    <row r="414" spans="1:22" x14ac:dyDescent="0.35">
      <c r="A414" t="s">
        <v>1900</v>
      </c>
      <c r="B414" t="s">
        <v>75</v>
      </c>
      <c r="C414" t="s">
        <v>1901</v>
      </c>
      <c r="D414" t="s">
        <v>1902</v>
      </c>
      <c r="E414" t="s">
        <v>21</v>
      </c>
      <c r="F414" t="s">
        <v>1903</v>
      </c>
      <c r="G414" t="s">
        <v>1904</v>
      </c>
      <c r="H414" s="1">
        <v>46408</v>
      </c>
      <c r="I414" s="6">
        <v>45514</v>
      </c>
      <c r="J414" s="6">
        <v>46095</v>
      </c>
      <c r="K414">
        <v>76</v>
      </c>
      <c r="L414">
        <v>21</v>
      </c>
      <c r="M414">
        <v>3</v>
      </c>
      <c r="N414" s="8">
        <v>7.5</v>
      </c>
      <c r="O414">
        <v>31</v>
      </c>
      <c r="P414">
        <v>47</v>
      </c>
      <c r="Q414" s="3">
        <v>-0.34</v>
      </c>
      <c r="R414">
        <f>Inventory_Table[[#This Row],[Stock_Quantity]]*Inventory_Table[[#This Row],[Unit_Price]]</f>
        <v>570</v>
      </c>
      <c r="S414">
        <f>Inventory_Table[[#This Row],[Sales_Volume]]*Inventory_Table[[#This Row],[Unit_Price]]</f>
        <v>232.5</v>
      </c>
      <c r="T414" t="str">
        <f>IF(Inventory_Table[[#This Row],[Stock_Quantity]]&lt;=Inventory_Table[[#This Row],[Reorder_Level]],"REORDER","OK")</f>
        <v>OK</v>
      </c>
      <c r="U414" t="s">
        <v>3838</v>
      </c>
      <c r="V414" s="14">
        <f ca="1">TODAY()-Inventory_Table[[#This Row],[Last_Order_Date]]</f>
        <v>662</v>
      </c>
    </row>
    <row r="415" spans="1:22" x14ac:dyDescent="0.35">
      <c r="A415" t="s">
        <v>503</v>
      </c>
      <c r="B415" t="s">
        <v>27</v>
      </c>
      <c r="C415" t="s">
        <v>1697</v>
      </c>
      <c r="D415" t="s">
        <v>1907</v>
      </c>
      <c r="E415" t="s">
        <v>68</v>
      </c>
      <c r="F415" t="s">
        <v>1908</v>
      </c>
      <c r="G415" t="s">
        <v>1909</v>
      </c>
      <c r="H415" s="1">
        <v>46408</v>
      </c>
      <c r="I415" s="6">
        <v>45609</v>
      </c>
      <c r="J415" s="6">
        <v>46140</v>
      </c>
      <c r="K415">
        <v>80</v>
      </c>
      <c r="L415">
        <v>24</v>
      </c>
      <c r="M415">
        <v>60</v>
      </c>
      <c r="N415" s="8">
        <v>2.5</v>
      </c>
      <c r="O415">
        <v>98</v>
      </c>
      <c r="P415">
        <v>38</v>
      </c>
      <c r="Q415" s="3">
        <v>-0.52</v>
      </c>
      <c r="R415">
        <f>Inventory_Table[[#This Row],[Stock_Quantity]]*Inventory_Table[[#This Row],[Unit_Price]]</f>
        <v>200</v>
      </c>
      <c r="S415">
        <f>Inventory_Table[[#This Row],[Sales_Volume]]*Inventory_Table[[#This Row],[Unit_Price]]</f>
        <v>245</v>
      </c>
      <c r="T415" t="str">
        <f>IF(Inventory_Table[[#This Row],[Stock_Quantity]]&lt;=Inventory_Table[[#This Row],[Reorder_Level]],"REORDER","OK")</f>
        <v>OK</v>
      </c>
      <c r="U415" t="s">
        <v>3838</v>
      </c>
      <c r="V415" s="14">
        <f ca="1">TODAY()-Inventory_Table[[#This Row],[Last_Order_Date]]</f>
        <v>567</v>
      </c>
    </row>
    <row r="416" spans="1:22" x14ac:dyDescent="0.35">
      <c r="A416" t="s">
        <v>247</v>
      </c>
      <c r="B416" t="s">
        <v>18</v>
      </c>
      <c r="C416" t="s">
        <v>213</v>
      </c>
      <c r="D416" t="s">
        <v>1910</v>
      </c>
      <c r="E416" t="s">
        <v>30</v>
      </c>
      <c r="F416" t="s">
        <v>1911</v>
      </c>
      <c r="G416" t="s">
        <v>1912</v>
      </c>
      <c r="H416" s="1">
        <v>46409</v>
      </c>
      <c r="I416" s="6">
        <v>45695</v>
      </c>
      <c r="J416" s="6">
        <v>46091</v>
      </c>
      <c r="K416">
        <v>21</v>
      </c>
      <c r="L416">
        <v>30</v>
      </c>
      <c r="M416">
        <v>32</v>
      </c>
      <c r="N416" s="8">
        <v>2</v>
      </c>
      <c r="O416">
        <v>43</v>
      </c>
      <c r="P416">
        <v>54</v>
      </c>
      <c r="Q416" s="3">
        <v>0.61</v>
      </c>
      <c r="R416">
        <f>Inventory_Table[[#This Row],[Stock_Quantity]]*Inventory_Table[[#This Row],[Unit_Price]]</f>
        <v>42</v>
      </c>
      <c r="S416">
        <f>Inventory_Table[[#This Row],[Sales_Volume]]*Inventory_Table[[#This Row],[Unit_Price]]</f>
        <v>86</v>
      </c>
      <c r="T416" t="str">
        <f>IF(Inventory_Table[[#This Row],[Stock_Quantity]]&lt;=Inventory_Table[[#This Row],[Reorder_Level]],"REORDER","OK")</f>
        <v>REORDER</v>
      </c>
      <c r="U416" t="s">
        <v>3838</v>
      </c>
      <c r="V416" s="14">
        <f ca="1">TODAY()-Inventory_Table[[#This Row],[Last_Order_Date]]</f>
        <v>481</v>
      </c>
    </row>
    <row r="417" spans="1:22" x14ac:dyDescent="0.35">
      <c r="A417" t="s">
        <v>413</v>
      </c>
      <c r="B417" t="s">
        <v>65</v>
      </c>
      <c r="C417" t="s">
        <v>1604</v>
      </c>
      <c r="D417" t="s">
        <v>1913</v>
      </c>
      <c r="E417" t="s">
        <v>30</v>
      </c>
      <c r="F417" t="s">
        <v>1914</v>
      </c>
      <c r="G417" t="s">
        <v>1915</v>
      </c>
      <c r="H417" s="1">
        <v>46409</v>
      </c>
      <c r="I417" s="6">
        <v>45654</v>
      </c>
      <c r="J417" s="6">
        <v>46174</v>
      </c>
      <c r="K417">
        <v>84</v>
      </c>
      <c r="L417">
        <v>69</v>
      </c>
      <c r="M417">
        <v>77</v>
      </c>
      <c r="N417" s="8">
        <v>4.5</v>
      </c>
      <c r="O417">
        <v>39</v>
      </c>
      <c r="P417">
        <v>69</v>
      </c>
      <c r="Q417" s="3">
        <v>-0.26</v>
      </c>
      <c r="R417">
        <f>Inventory_Table[[#This Row],[Stock_Quantity]]*Inventory_Table[[#This Row],[Unit_Price]]</f>
        <v>378</v>
      </c>
      <c r="S417">
        <f>Inventory_Table[[#This Row],[Sales_Volume]]*Inventory_Table[[#This Row],[Unit_Price]]</f>
        <v>175.5</v>
      </c>
      <c r="T417" t="str">
        <f>IF(Inventory_Table[[#This Row],[Stock_Quantity]]&lt;=Inventory_Table[[#This Row],[Reorder_Level]],"REORDER","OK")</f>
        <v>OK</v>
      </c>
      <c r="U417" t="s">
        <v>3837</v>
      </c>
      <c r="V417" s="14">
        <f ca="1">TODAY()-Inventory_Table[[#This Row],[Last_Order_Date]]</f>
        <v>522</v>
      </c>
    </row>
    <row r="418" spans="1:22" x14ac:dyDescent="0.35">
      <c r="A418" t="s">
        <v>1440</v>
      </c>
      <c r="B418" t="s">
        <v>18</v>
      </c>
      <c r="C418" t="s">
        <v>1275</v>
      </c>
      <c r="D418" t="s">
        <v>1916</v>
      </c>
      <c r="E418" t="s">
        <v>68</v>
      </c>
      <c r="F418" t="s">
        <v>1917</v>
      </c>
      <c r="G418" t="s">
        <v>1918</v>
      </c>
      <c r="H418" s="1">
        <v>46409</v>
      </c>
      <c r="I418" s="6">
        <v>45669</v>
      </c>
      <c r="J418" s="6">
        <v>46168</v>
      </c>
      <c r="K418">
        <v>58</v>
      </c>
      <c r="L418">
        <v>12</v>
      </c>
      <c r="M418">
        <v>99</v>
      </c>
      <c r="N418" s="8">
        <v>3</v>
      </c>
      <c r="O418">
        <v>71</v>
      </c>
      <c r="P418">
        <v>30</v>
      </c>
      <c r="Q418" s="3">
        <v>-0.77</v>
      </c>
      <c r="R418">
        <f>Inventory_Table[[#This Row],[Stock_Quantity]]*Inventory_Table[[#This Row],[Unit_Price]]</f>
        <v>174</v>
      </c>
      <c r="S418">
        <f>Inventory_Table[[#This Row],[Sales_Volume]]*Inventory_Table[[#This Row],[Unit_Price]]</f>
        <v>213</v>
      </c>
      <c r="T418" t="str">
        <f>IF(Inventory_Table[[#This Row],[Stock_Quantity]]&lt;=Inventory_Table[[#This Row],[Reorder_Level]],"REORDER","OK")</f>
        <v>OK</v>
      </c>
      <c r="U418" t="s">
        <v>3838</v>
      </c>
      <c r="V418" s="14">
        <f ca="1">TODAY()-Inventory_Table[[#This Row],[Last_Order_Date]]</f>
        <v>507</v>
      </c>
    </row>
    <row r="419" spans="1:22" x14ac:dyDescent="0.35">
      <c r="A419" t="s">
        <v>1307</v>
      </c>
      <c r="B419" t="s">
        <v>163</v>
      </c>
      <c r="C419" t="s">
        <v>760</v>
      </c>
      <c r="D419" t="s">
        <v>1919</v>
      </c>
      <c r="E419" t="s">
        <v>30</v>
      </c>
      <c r="F419" t="s">
        <v>1920</v>
      </c>
      <c r="G419" t="s">
        <v>1921</v>
      </c>
      <c r="H419" s="1">
        <v>46410</v>
      </c>
      <c r="I419" s="6">
        <v>45476</v>
      </c>
      <c r="J419" s="6">
        <v>46349</v>
      </c>
      <c r="K419">
        <v>34</v>
      </c>
      <c r="L419">
        <v>47</v>
      </c>
      <c r="M419">
        <v>99</v>
      </c>
      <c r="N419" s="8">
        <v>8</v>
      </c>
      <c r="O419">
        <v>97</v>
      </c>
      <c r="P419">
        <v>47</v>
      </c>
      <c r="Q419" s="3">
        <v>0.57999999999999996</v>
      </c>
      <c r="R419">
        <f>Inventory_Table[[#This Row],[Stock_Quantity]]*Inventory_Table[[#This Row],[Unit_Price]]</f>
        <v>272</v>
      </c>
      <c r="S419">
        <f>Inventory_Table[[#This Row],[Sales_Volume]]*Inventory_Table[[#This Row],[Unit_Price]]</f>
        <v>776</v>
      </c>
      <c r="T419" t="str">
        <f>IF(Inventory_Table[[#This Row],[Stock_Quantity]]&lt;=Inventory_Table[[#This Row],[Reorder_Level]],"REORDER","OK")</f>
        <v>REORDER</v>
      </c>
      <c r="U419" t="s">
        <v>3836</v>
      </c>
      <c r="V419" s="14">
        <f ca="1">TODAY()-Inventory_Table[[#This Row],[Last_Order_Date]]</f>
        <v>700</v>
      </c>
    </row>
    <row r="420" spans="1:22" x14ac:dyDescent="0.35">
      <c r="A420" t="s">
        <v>567</v>
      </c>
      <c r="B420" t="s">
        <v>65</v>
      </c>
      <c r="C420" t="s">
        <v>735</v>
      </c>
      <c r="D420" t="s">
        <v>1922</v>
      </c>
      <c r="E420" t="s">
        <v>68</v>
      </c>
      <c r="F420" t="s">
        <v>1923</v>
      </c>
      <c r="G420" t="s">
        <v>1924</v>
      </c>
      <c r="H420" s="1">
        <v>46410</v>
      </c>
      <c r="I420" s="6">
        <v>45511</v>
      </c>
      <c r="J420" s="6">
        <v>46426</v>
      </c>
      <c r="K420">
        <v>54</v>
      </c>
      <c r="L420">
        <v>17</v>
      </c>
      <c r="M420">
        <v>90</v>
      </c>
      <c r="N420" s="8">
        <v>9.5</v>
      </c>
      <c r="O420">
        <v>60</v>
      </c>
      <c r="P420">
        <v>20</v>
      </c>
      <c r="Q420" s="3">
        <v>0.52</v>
      </c>
      <c r="R420">
        <f>Inventory_Table[[#This Row],[Stock_Quantity]]*Inventory_Table[[#This Row],[Unit_Price]]</f>
        <v>513</v>
      </c>
      <c r="S420">
        <f>Inventory_Table[[#This Row],[Sales_Volume]]*Inventory_Table[[#This Row],[Unit_Price]]</f>
        <v>570</v>
      </c>
      <c r="T420" t="str">
        <f>IF(Inventory_Table[[#This Row],[Stock_Quantity]]&lt;=Inventory_Table[[#This Row],[Reorder_Level]],"REORDER","OK")</f>
        <v>OK</v>
      </c>
      <c r="U420" t="s">
        <v>3836</v>
      </c>
      <c r="V420" s="14">
        <f ca="1">TODAY()-Inventory_Table[[#This Row],[Last_Order_Date]]</f>
        <v>665</v>
      </c>
    </row>
    <row r="421" spans="1:22" x14ac:dyDescent="0.35">
      <c r="A421" t="s">
        <v>1234</v>
      </c>
      <c r="B421" t="s">
        <v>27</v>
      </c>
      <c r="C421" t="s">
        <v>1009</v>
      </c>
      <c r="D421" t="s">
        <v>1925</v>
      </c>
      <c r="E421" t="s">
        <v>30</v>
      </c>
      <c r="F421" t="s">
        <v>1926</v>
      </c>
      <c r="G421" t="s">
        <v>1927</v>
      </c>
      <c r="H421" s="1">
        <v>46412</v>
      </c>
      <c r="I421" s="6">
        <v>45681</v>
      </c>
      <c r="J421" s="6">
        <v>46347</v>
      </c>
      <c r="K421">
        <v>17</v>
      </c>
      <c r="L421">
        <v>63</v>
      </c>
      <c r="M421">
        <v>66</v>
      </c>
      <c r="N421" s="8">
        <v>2.5</v>
      </c>
      <c r="O421">
        <v>23</v>
      </c>
      <c r="P421">
        <v>46</v>
      </c>
      <c r="Q421" s="3">
        <v>0.67</v>
      </c>
      <c r="R421">
        <f>Inventory_Table[[#This Row],[Stock_Quantity]]*Inventory_Table[[#This Row],[Unit_Price]]</f>
        <v>42.5</v>
      </c>
      <c r="S421">
        <f>Inventory_Table[[#This Row],[Sales_Volume]]*Inventory_Table[[#This Row],[Unit_Price]]</f>
        <v>57.5</v>
      </c>
      <c r="T421" t="str">
        <f>IF(Inventory_Table[[#This Row],[Stock_Quantity]]&lt;=Inventory_Table[[#This Row],[Reorder_Level]],"REORDER","OK")</f>
        <v>REORDER</v>
      </c>
      <c r="U421" t="s">
        <v>3836</v>
      </c>
      <c r="V421" s="14">
        <f ca="1">TODAY()-Inventory_Table[[#This Row],[Last_Order_Date]]</f>
        <v>495</v>
      </c>
    </row>
    <row r="422" spans="1:22" x14ac:dyDescent="0.35">
      <c r="A422" t="s">
        <v>708</v>
      </c>
      <c r="B422" t="s">
        <v>163</v>
      </c>
      <c r="C422" t="s">
        <v>728</v>
      </c>
      <c r="D422" t="s">
        <v>1928</v>
      </c>
      <c r="E422" t="s">
        <v>30</v>
      </c>
      <c r="F422" t="s">
        <v>1929</v>
      </c>
      <c r="G422" t="s">
        <v>1930</v>
      </c>
      <c r="H422" s="1">
        <v>46413</v>
      </c>
      <c r="I422" s="6">
        <v>45630</v>
      </c>
      <c r="J422" s="6">
        <v>46225</v>
      </c>
      <c r="K422">
        <v>84</v>
      </c>
      <c r="L422">
        <v>13</v>
      </c>
      <c r="M422">
        <v>88</v>
      </c>
      <c r="N422" s="8">
        <v>15</v>
      </c>
      <c r="O422">
        <v>25</v>
      </c>
      <c r="P422">
        <v>34</v>
      </c>
      <c r="Q422" s="3">
        <v>-1</v>
      </c>
      <c r="R422">
        <f>Inventory_Table[[#This Row],[Stock_Quantity]]*Inventory_Table[[#This Row],[Unit_Price]]</f>
        <v>1260</v>
      </c>
      <c r="S422">
        <f>Inventory_Table[[#This Row],[Sales_Volume]]*Inventory_Table[[#This Row],[Unit_Price]]</f>
        <v>375</v>
      </c>
      <c r="T422" t="str">
        <f>IF(Inventory_Table[[#This Row],[Stock_Quantity]]&lt;=Inventory_Table[[#This Row],[Reorder_Level]],"REORDER","OK")</f>
        <v>OK</v>
      </c>
      <c r="U422" t="s">
        <v>3836</v>
      </c>
      <c r="V422" s="14">
        <f ca="1">TODAY()-Inventory_Table[[#This Row],[Last_Order_Date]]</f>
        <v>546</v>
      </c>
    </row>
    <row r="423" spans="1:22" x14ac:dyDescent="0.35">
      <c r="A423" t="s">
        <v>388</v>
      </c>
      <c r="B423" t="s">
        <v>75</v>
      </c>
      <c r="C423" t="s">
        <v>1554</v>
      </c>
      <c r="D423" t="s">
        <v>1931</v>
      </c>
      <c r="E423" t="s">
        <v>21</v>
      </c>
      <c r="F423" t="s">
        <v>1932</v>
      </c>
      <c r="G423" t="s">
        <v>1933</v>
      </c>
      <c r="H423" s="1">
        <v>46413</v>
      </c>
      <c r="I423" s="6">
        <v>45353</v>
      </c>
      <c r="J423" s="6">
        <v>46087</v>
      </c>
      <c r="K423">
        <v>73</v>
      </c>
      <c r="L423">
        <v>31</v>
      </c>
      <c r="M423">
        <v>49</v>
      </c>
      <c r="N423" s="8">
        <v>6</v>
      </c>
      <c r="O423">
        <v>22</v>
      </c>
      <c r="P423">
        <v>47</v>
      </c>
      <c r="Q423" s="3">
        <v>-0.36</v>
      </c>
      <c r="R423">
        <f>Inventory_Table[[#This Row],[Stock_Quantity]]*Inventory_Table[[#This Row],[Unit_Price]]</f>
        <v>438</v>
      </c>
      <c r="S423">
        <f>Inventory_Table[[#This Row],[Sales_Volume]]*Inventory_Table[[#This Row],[Unit_Price]]</f>
        <v>132</v>
      </c>
      <c r="T423" t="str">
        <f>IF(Inventory_Table[[#This Row],[Stock_Quantity]]&lt;=Inventory_Table[[#This Row],[Reorder_Level]],"REORDER","OK")</f>
        <v>OK</v>
      </c>
      <c r="U423" t="s">
        <v>3838</v>
      </c>
      <c r="V423" s="14">
        <f ca="1">TODAY()-Inventory_Table[[#This Row],[Last_Order_Date]]</f>
        <v>823</v>
      </c>
    </row>
    <row r="424" spans="1:22" x14ac:dyDescent="0.35">
      <c r="A424" t="s">
        <v>35</v>
      </c>
      <c r="B424" t="s">
        <v>36</v>
      </c>
      <c r="C424" t="s">
        <v>259</v>
      </c>
      <c r="D424" t="s">
        <v>1934</v>
      </c>
      <c r="E424" t="s">
        <v>68</v>
      </c>
      <c r="F424" t="s">
        <v>1935</v>
      </c>
      <c r="G424" t="s">
        <v>1936</v>
      </c>
      <c r="H424" s="1">
        <v>46413</v>
      </c>
      <c r="I424" s="6">
        <v>45459</v>
      </c>
      <c r="J424" s="6">
        <v>46240</v>
      </c>
      <c r="K424">
        <v>96</v>
      </c>
      <c r="L424">
        <v>9</v>
      </c>
      <c r="M424">
        <v>57</v>
      </c>
      <c r="N424" s="8">
        <v>11.8</v>
      </c>
      <c r="O424">
        <v>78</v>
      </c>
      <c r="P424">
        <v>67</v>
      </c>
      <c r="Q424" s="3">
        <v>-1.1399999999999999</v>
      </c>
      <c r="R424">
        <f>Inventory_Table[[#This Row],[Stock_Quantity]]*Inventory_Table[[#This Row],[Unit_Price]]</f>
        <v>1132.8000000000002</v>
      </c>
      <c r="S424">
        <f>Inventory_Table[[#This Row],[Sales_Volume]]*Inventory_Table[[#This Row],[Unit_Price]]</f>
        <v>920.40000000000009</v>
      </c>
      <c r="T424" t="str">
        <f>IF(Inventory_Table[[#This Row],[Stock_Quantity]]&lt;=Inventory_Table[[#This Row],[Reorder_Level]],"REORDER","OK")</f>
        <v>OK</v>
      </c>
      <c r="U424" t="s">
        <v>3836</v>
      </c>
      <c r="V424" s="14">
        <f ca="1">TODAY()-Inventory_Table[[#This Row],[Last_Order_Date]]</f>
        <v>717</v>
      </c>
    </row>
    <row r="425" spans="1:22" x14ac:dyDescent="0.35">
      <c r="A425" t="s">
        <v>212</v>
      </c>
      <c r="B425" t="s">
        <v>75</v>
      </c>
      <c r="C425" t="s">
        <v>218</v>
      </c>
      <c r="D425" t="s">
        <v>1938</v>
      </c>
      <c r="E425" t="s">
        <v>68</v>
      </c>
      <c r="F425" t="s">
        <v>1939</v>
      </c>
      <c r="G425" t="s">
        <v>1940</v>
      </c>
      <c r="H425" s="1">
        <v>46413</v>
      </c>
      <c r="I425" s="6">
        <v>45649</v>
      </c>
      <c r="J425" s="6">
        <v>46232</v>
      </c>
      <c r="K425">
        <v>56</v>
      </c>
      <c r="L425">
        <v>59</v>
      </c>
      <c r="M425">
        <v>87</v>
      </c>
      <c r="N425" s="8">
        <v>7</v>
      </c>
      <c r="O425">
        <v>65</v>
      </c>
      <c r="P425">
        <v>45</v>
      </c>
      <c r="Q425" s="3">
        <v>0.14000000000000001</v>
      </c>
      <c r="R425">
        <f>Inventory_Table[[#This Row],[Stock_Quantity]]*Inventory_Table[[#This Row],[Unit_Price]]</f>
        <v>392</v>
      </c>
      <c r="S425">
        <f>Inventory_Table[[#This Row],[Sales_Volume]]*Inventory_Table[[#This Row],[Unit_Price]]</f>
        <v>455</v>
      </c>
      <c r="T425" t="str">
        <f>IF(Inventory_Table[[#This Row],[Stock_Quantity]]&lt;=Inventory_Table[[#This Row],[Reorder_Level]],"REORDER","OK")</f>
        <v>REORDER</v>
      </c>
      <c r="U425" t="s">
        <v>3836</v>
      </c>
      <c r="V425" s="14">
        <f ca="1">TODAY()-Inventory_Table[[#This Row],[Last_Order_Date]]</f>
        <v>527</v>
      </c>
    </row>
    <row r="426" spans="1:22" x14ac:dyDescent="0.35">
      <c r="A426" t="s">
        <v>228</v>
      </c>
      <c r="B426" t="s">
        <v>18</v>
      </c>
      <c r="C426" t="s">
        <v>1025</v>
      </c>
      <c r="D426" t="s">
        <v>1941</v>
      </c>
      <c r="E426" t="s">
        <v>68</v>
      </c>
      <c r="F426" t="s">
        <v>1942</v>
      </c>
      <c r="G426" t="s">
        <v>1943</v>
      </c>
      <c r="H426" s="1">
        <v>46413</v>
      </c>
      <c r="I426" s="6">
        <v>45568</v>
      </c>
      <c r="J426" s="6">
        <v>46143</v>
      </c>
      <c r="K426">
        <v>60</v>
      </c>
      <c r="L426">
        <v>63</v>
      </c>
      <c r="M426">
        <v>81</v>
      </c>
      <c r="N426" s="8">
        <v>1.8</v>
      </c>
      <c r="O426">
        <v>74</v>
      </c>
      <c r="P426">
        <v>31</v>
      </c>
      <c r="Q426" s="3">
        <v>0.31</v>
      </c>
      <c r="R426">
        <f>Inventory_Table[[#This Row],[Stock_Quantity]]*Inventory_Table[[#This Row],[Unit_Price]]</f>
        <v>108</v>
      </c>
      <c r="S426">
        <f>Inventory_Table[[#This Row],[Sales_Volume]]*Inventory_Table[[#This Row],[Unit_Price]]</f>
        <v>133.20000000000002</v>
      </c>
      <c r="T426" t="str">
        <f>IF(Inventory_Table[[#This Row],[Stock_Quantity]]&lt;=Inventory_Table[[#This Row],[Reorder_Level]],"REORDER","OK")</f>
        <v>REORDER</v>
      </c>
      <c r="U426" t="s">
        <v>3838</v>
      </c>
      <c r="V426" s="14">
        <f ca="1">TODAY()-Inventory_Table[[#This Row],[Last_Order_Date]]</f>
        <v>608</v>
      </c>
    </row>
    <row r="427" spans="1:22" x14ac:dyDescent="0.35">
      <c r="A427" t="s">
        <v>194</v>
      </c>
      <c r="B427" t="s">
        <v>114</v>
      </c>
      <c r="C427" t="s">
        <v>672</v>
      </c>
      <c r="D427" t="s">
        <v>1944</v>
      </c>
      <c r="E427" t="s">
        <v>68</v>
      </c>
      <c r="F427" t="s">
        <v>1945</v>
      </c>
      <c r="G427" t="s">
        <v>1946</v>
      </c>
      <c r="H427" s="1">
        <v>46415</v>
      </c>
      <c r="I427" s="6">
        <v>45624</v>
      </c>
      <c r="J427" s="6">
        <v>46338</v>
      </c>
      <c r="K427">
        <v>41</v>
      </c>
      <c r="L427">
        <v>84</v>
      </c>
      <c r="M427">
        <v>90</v>
      </c>
      <c r="N427" s="8">
        <v>4</v>
      </c>
      <c r="O427">
        <v>42</v>
      </c>
      <c r="P427">
        <v>65</v>
      </c>
      <c r="Q427" s="3">
        <v>0.57999999999999996</v>
      </c>
      <c r="R427">
        <f>Inventory_Table[[#This Row],[Stock_Quantity]]*Inventory_Table[[#This Row],[Unit_Price]]</f>
        <v>164</v>
      </c>
      <c r="S427">
        <f>Inventory_Table[[#This Row],[Sales_Volume]]*Inventory_Table[[#This Row],[Unit_Price]]</f>
        <v>168</v>
      </c>
      <c r="T427" t="str">
        <f>IF(Inventory_Table[[#This Row],[Stock_Quantity]]&lt;=Inventory_Table[[#This Row],[Reorder_Level]],"REORDER","OK")</f>
        <v>REORDER</v>
      </c>
      <c r="U427" t="s">
        <v>3836</v>
      </c>
      <c r="V427" s="14">
        <f ca="1">TODAY()-Inventory_Table[[#This Row],[Last_Order_Date]]</f>
        <v>552</v>
      </c>
    </row>
    <row r="428" spans="1:22" x14ac:dyDescent="0.35">
      <c r="A428" t="s">
        <v>1782</v>
      </c>
      <c r="B428" t="s">
        <v>36</v>
      </c>
      <c r="C428" t="s">
        <v>223</v>
      </c>
      <c r="D428" t="s">
        <v>1947</v>
      </c>
      <c r="E428" t="s">
        <v>21</v>
      </c>
      <c r="F428" t="s">
        <v>1948</v>
      </c>
      <c r="G428" t="s">
        <v>1949</v>
      </c>
      <c r="H428" s="1">
        <v>46415</v>
      </c>
      <c r="I428" s="6">
        <v>45616</v>
      </c>
      <c r="J428" s="6">
        <v>46427</v>
      </c>
      <c r="K428">
        <v>45</v>
      </c>
      <c r="L428">
        <v>63</v>
      </c>
      <c r="M428">
        <v>75</v>
      </c>
      <c r="N428" s="8">
        <v>7</v>
      </c>
      <c r="O428">
        <v>83</v>
      </c>
      <c r="P428">
        <v>5</v>
      </c>
      <c r="Q428" s="3">
        <v>-0.55000000000000004</v>
      </c>
      <c r="R428">
        <f>Inventory_Table[[#This Row],[Stock_Quantity]]*Inventory_Table[[#This Row],[Unit_Price]]</f>
        <v>315</v>
      </c>
      <c r="S428">
        <f>Inventory_Table[[#This Row],[Sales_Volume]]*Inventory_Table[[#This Row],[Unit_Price]]</f>
        <v>581</v>
      </c>
      <c r="T428" t="str">
        <f>IF(Inventory_Table[[#This Row],[Stock_Quantity]]&lt;=Inventory_Table[[#This Row],[Reorder_Level]],"REORDER","OK")</f>
        <v>REORDER</v>
      </c>
      <c r="U428" t="s">
        <v>3836</v>
      </c>
      <c r="V428" s="14">
        <f ca="1">TODAY()-Inventory_Table[[#This Row],[Last_Order_Date]]</f>
        <v>560</v>
      </c>
    </row>
    <row r="429" spans="1:22" x14ac:dyDescent="0.35">
      <c r="A429" t="s">
        <v>734</v>
      </c>
      <c r="B429" t="s">
        <v>163</v>
      </c>
      <c r="C429" t="s">
        <v>1950</v>
      </c>
      <c r="D429" t="s">
        <v>1951</v>
      </c>
      <c r="E429" t="s">
        <v>30</v>
      </c>
      <c r="F429" t="s">
        <v>1952</v>
      </c>
      <c r="G429" t="s">
        <v>1953</v>
      </c>
      <c r="H429" s="1">
        <v>46415</v>
      </c>
      <c r="I429" s="6">
        <v>45570</v>
      </c>
      <c r="J429" s="6">
        <v>46363</v>
      </c>
      <c r="K429">
        <v>48</v>
      </c>
      <c r="L429">
        <v>77</v>
      </c>
      <c r="M429">
        <v>81</v>
      </c>
      <c r="N429" s="8">
        <v>31</v>
      </c>
      <c r="O429">
        <v>70</v>
      </c>
      <c r="P429">
        <v>74</v>
      </c>
      <c r="Q429" s="3">
        <v>0.94</v>
      </c>
      <c r="R429">
        <f>Inventory_Table[[#This Row],[Stock_Quantity]]*Inventory_Table[[#This Row],[Unit_Price]]</f>
        <v>1488</v>
      </c>
      <c r="S429">
        <f>Inventory_Table[[#This Row],[Sales_Volume]]*Inventory_Table[[#This Row],[Unit_Price]]</f>
        <v>2170</v>
      </c>
      <c r="T429" t="str">
        <f>IF(Inventory_Table[[#This Row],[Stock_Quantity]]&lt;=Inventory_Table[[#This Row],[Reorder_Level]],"REORDER","OK")</f>
        <v>REORDER</v>
      </c>
      <c r="U429" t="s">
        <v>3836</v>
      </c>
      <c r="V429" s="14">
        <f ca="1">TODAY()-Inventory_Table[[#This Row],[Last_Order_Date]]</f>
        <v>606</v>
      </c>
    </row>
    <row r="430" spans="1:22" x14ac:dyDescent="0.35">
      <c r="A430" t="s">
        <v>96</v>
      </c>
      <c r="B430" t="s">
        <v>36</v>
      </c>
      <c r="C430" t="s">
        <v>1955</v>
      </c>
      <c r="D430" t="s">
        <v>1956</v>
      </c>
      <c r="E430" t="s">
        <v>30</v>
      </c>
      <c r="F430" t="s">
        <v>1957</v>
      </c>
      <c r="G430" t="s">
        <v>1958</v>
      </c>
      <c r="H430" s="1">
        <v>46415</v>
      </c>
      <c r="I430" s="6">
        <v>45350</v>
      </c>
      <c r="J430" s="6">
        <v>46078</v>
      </c>
      <c r="K430">
        <v>21</v>
      </c>
      <c r="L430">
        <v>28</v>
      </c>
      <c r="M430">
        <v>72</v>
      </c>
      <c r="N430" s="8">
        <v>9</v>
      </c>
      <c r="O430">
        <v>69</v>
      </c>
      <c r="P430">
        <v>51</v>
      </c>
      <c r="Q430" s="3">
        <v>-0.06</v>
      </c>
      <c r="R430">
        <f>Inventory_Table[[#This Row],[Stock_Quantity]]*Inventory_Table[[#This Row],[Unit_Price]]</f>
        <v>189</v>
      </c>
      <c r="S430">
        <f>Inventory_Table[[#This Row],[Sales_Volume]]*Inventory_Table[[#This Row],[Unit_Price]]</f>
        <v>621</v>
      </c>
      <c r="T430" t="str">
        <f>IF(Inventory_Table[[#This Row],[Stock_Quantity]]&lt;=Inventory_Table[[#This Row],[Reorder_Level]],"REORDER","OK")</f>
        <v>REORDER</v>
      </c>
      <c r="U430" t="s">
        <v>3838</v>
      </c>
      <c r="V430" s="14">
        <f ca="1">TODAY()-Inventory_Table[[#This Row],[Last_Order_Date]]</f>
        <v>826</v>
      </c>
    </row>
    <row r="431" spans="1:22" x14ac:dyDescent="0.35">
      <c r="A431" t="s">
        <v>58</v>
      </c>
      <c r="B431" t="s">
        <v>18</v>
      </c>
      <c r="C431" t="s">
        <v>1649</v>
      </c>
      <c r="D431" t="s">
        <v>1960</v>
      </c>
      <c r="E431" t="s">
        <v>30</v>
      </c>
      <c r="F431" t="s">
        <v>1961</v>
      </c>
      <c r="G431" t="s">
        <v>1962</v>
      </c>
      <c r="H431" s="1">
        <v>46415</v>
      </c>
      <c r="I431" s="6">
        <v>45616</v>
      </c>
      <c r="J431" s="6">
        <v>46232</v>
      </c>
      <c r="K431">
        <v>65</v>
      </c>
      <c r="L431">
        <v>88</v>
      </c>
      <c r="M431">
        <v>20</v>
      </c>
      <c r="N431" s="8">
        <v>2.5</v>
      </c>
      <c r="O431">
        <v>89</v>
      </c>
      <c r="P431">
        <v>37</v>
      </c>
      <c r="Q431" s="3">
        <v>0.26</v>
      </c>
      <c r="R431">
        <f>Inventory_Table[[#This Row],[Stock_Quantity]]*Inventory_Table[[#This Row],[Unit_Price]]</f>
        <v>162.5</v>
      </c>
      <c r="S431">
        <f>Inventory_Table[[#This Row],[Sales_Volume]]*Inventory_Table[[#This Row],[Unit_Price]]</f>
        <v>222.5</v>
      </c>
      <c r="T431" t="str">
        <f>IF(Inventory_Table[[#This Row],[Stock_Quantity]]&lt;=Inventory_Table[[#This Row],[Reorder_Level]],"REORDER","OK")</f>
        <v>REORDER</v>
      </c>
      <c r="U431" t="s">
        <v>3836</v>
      </c>
      <c r="V431" s="14">
        <f ca="1">TODAY()-Inventory_Table[[#This Row],[Last_Order_Date]]</f>
        <v>560</v>
      </c>
    </row>
    <row r="432" spans="1:22" x14ac:dyDescent="0.35">
      <c r="A432" t="s">
        <v>308</v>
      </c>
      <c r="B432" t="s">
        <v>27</v>
      </c>
      <c r="C432" t="s">
        <v>207</v>
      </c>
      <c r="D432" t="s">
        <v>1963</v>
      </c>
      <c r="E432" t="s">
        <v>68</v>
      </c>
      <c r="F432" t="s">
        <v>1964</v>
      </c>
      <c r="G432" t="s">
        <v>1965</v>
      </c>
      <c r="H432" s="1">
        <v>46415</v>
      </c>
      <c r="I432" s="6">
        <v>45695</v>
      </c>
      <c r="J432" s="6">
        <v>46368</v>
      </c>
      <c r="K432">
        <v>14</v>
      </c>
      <c r="L432">
        <v>84</v>
      </c>
      <c r="M432">
        <v>15</v>
      </c>
      <c r="N432" s="8">
        <v>6.5</v>
      </c>
      <c r="O432">
        <v>51</v>
      </c>
      <c r="P432">
        <v>73</v>
      </c>
      <c r="Q432" s="3">
        <v>0.57999999999999996</v>
      </c>
      <c r="R432">
        <f>Inventory_Table[[#This Row],[Stock_Quantity]]*Inventory_Table[[#This Row],[Unit_Price]]</f>
        <v>91</v>
      </c>
      <c r="S432">
        <f>Inventory_Table[[#This Row],[Sales_Volume]]*Inventory_Table[[#This Row],[Unit_Price]]</f>
        <v>331.5</v>
      </c>
      <c r="T432" t="str">
        <f>IF(Inventory_Table[[#This Row],[Stock_Quantity]]&lt;=Inventory_Table[[#This Row],[Reorder_Level]],"REORDER","OK")</f>
        <v>REORDER</v>
      </c>
      <c r="U432" t="s">
        <v>3836</v>
      </c>
      <c r="V432" s="14">
        <f ca="1">TODAY()-Inventory_Table[[#This Row],[Last_Order_Date]]</f>
        <v>481</v>
      </c>
    </row>
    <row r="433" spans="1:22" x14ac:dyDescent="0.35">
      <c r="A433" t="s">
        <v>413</v>
      </c>
      <c r="B433" t="s">
        <v>65</v>
      </c>
      <c r="C433" t="s">
        <v>963</v>
      </c>
      <c r="D433" t="s">
        <v>1966</v>
      </c>
      <c r="E433" t="s">
        <v>21</v>
      </c>
      <c r="F433" t="s">
        <v>1967</v>
      </c>
      <c r="G433" t="s">
        <v>1968</v>
      </c>
      <c r="H433" s="1">
        <v>46416</v>
      </c>
      <c r="I433" s="6">
        <v>45431</v>
      </c>
      <c r="J433" s="6">
        <v>46130</v>
      </c>
      <c r="K433">
        <v>47</v>
      </c>
      <c r="L433">
        <v>1</v>
      </c>
      <c r="M433">
        <v>60</v>
      </c>
      <c r="N433" s="8">
        <v>4.2</v>
      </c>
      <c r="O433">
        <v>32</v>
      </c>
      <c r="P433">
        <v>87</v>
      </c>
      <c r="Q433" s="3">
        <v>-0.43</v>
      </c>
      <c r="R433">
        <f>Inventory_Table[[#This Row],[Stock_Quantity]]*Inventory_Table[[#This Row],[Unit_Price]]</f>
        <v>197.4</v>
      </c>
      <c r="S433">
        <f>Inventory_Table[[#This Row],[Sales_Volume]]*Inventory_Table[[#This Row],[Unit_Price]]</f>
        <v>134.4</v>
      </c>
      <c r="T433" t="str">
        <f>IF(Inventory_Table[[#This Row],[Stock_Quantity]]&lt;=Inventory_Table[[#This Row],[Reorder_Level]],"REORDER","OK")</f>
        <v>OK</v>
      </c>
      <c r="U433" t="s">
        <v>3838</v>
      </c>
      <c r="V433" s="14">
        <f ca="1">TODAY()-Inventory_Table[[#This Row],[Last_Order_Date]]</f>
        <v>745</v>
      </c>
    </row>
    <row r="434" spans="1:22" x14ac:dyDescent="0.35">
      <c r="A434" t="s">
        <v>1003</v>
      </c>
      <c r="B434" t="s">
        <v>18</v>
      </c>
      <c r="C434" t="s">
        <v>937</v>
      </c>
      <c r="D434" t="s">
        <v>1969</v>
      </c>
      <c r="E434" t="s">
        <v>30</v>
      </c>
      <c r="F434" t="s">
        <v>1970</v>
      </c>
      <c r="G434" t="s">
        <v>1971</v>
      </c>
      <c r="H434" s="1">
        <v>46416</v>
      </c>
      <c r="I434" s="6">
        <v>45613</v>
      </c>
      <c r="J434" s="6">
        <v>46389</v>
      </c>
      <c r="K434">
        <v>71</v>
      </c>
      <c r="L434">
        <v>36</v>
      </c>
      <c r="M434">
        <v>45</v>
      </c>
      <c r="N434" s="8">
        <v>3.5</v>
      </c>
      <c r="O434">
        <v>87</v>
      </c>
      <c r="P434">
        <v>2</v>
      </c>
      <c r="Q434" s="3">
        <v>-1.72</v>
      </c>
      <c r="R434">
        <f>Inventory_Table[[#This Row],[Stock_Quantity]]*Inventory_Table[[#This Row],[Unit_Price]]</f>
        <v>248.5</v>
      </c>
      <c r="S434">
        <f>Inventory_Table[[#This Row],[Sales_Volume]]*Inventory_Table[[#This Row],[Unit_Price]]</f>
        <v>304.5</v>
      </c>
      <c r="T434" t="str">
        <f>IF(Inventory_Table[[#This Row],[Stock_Quantity]]&lt;=Inventory_Table[[#This Row],[Reorder_Level]],"REORDER","OK")</f>
        <v>OK</v>
      </c>
      <c r="U434" t="s">
        <v>3836</v>
      </c>
      <c r="V434" s="14">
        <f ca="1">TODAY()-Inventory_Table[[#This Row],[Last_Order_Date]]</f>
        <v>563</v>
      </c>
    </row>
    <row r="435" spans="1:22" x14ac:dyDescent="0.35">
      <c r="A435" t="s">
        <v>331</v>
      </c>
      <c r="B435" t="s">
        <v>27</v>
      </c>
      <c r="C435" t="s">
        <v>136</v>
      </c>
      <c r="D435" t="s">
        <v>1972</v>
      </c>
      <c r="E435" t="s">
        <v>30</v>
      </c>
      <c r="F435" t="s">
        <v>1973</v>
      </c>
      <c r="G435" t="s">
        <v>1974</v>
      </c>
      <c r="H435" s="1">
        <v>46417</v>
      </c>
      <c r="I435" s="6">
        <v>45576</v>
      </c>
      <c r="J435" s="6">
        <v>46342</v>
      </c>
      <c r="K435">
        <v>64</v>
      </c>
      <c r="L435">
        <v>21</v>
      </c>
      <c r="M435">
        <v>13</v>
      </c>
      <c r="N435" s="8">
        <v>4</v>
      </c>
      <c r="O435">
        <v>51</v>
      </c>
      <c r="P435">
        <v>26</v>
      </c>
      <c r="Q435" s="3">
        <v>0.98</v>
      </c>
      <c r="R435">
        <f>Inventory_Table[[#This Row],[Stock_Quantity]]*Inventory_Table[[#This Row],[Unit_Price]]</f>
        <v>256</v>
      </c>
      <c r="S435">
        <f>Inventory_Table[[#This Row],[Sales_Volume]]*Inventory_Table[[#This Row],[Unit_Price]]</f>
        <v>204</v>
      </c>
      <c r="T435" t="str">
        <f>IF(Inventory_Table[[#This Row],[Stock_Quantity]]&lt;=Inventory_Table[[#This Row],[Reorder_Level]],"REORDER","OK")</f>
        <v>OK</v>
      </c>
      <c r="U435" t="s">
        <v>3836</v>
      </c>
      <c r="V435" s="14">
        <f ca="1">TODAY()-Inventory_Table[[#This Row],[Last_Order_Date]]</f>
        <v>600</v>
      </c>
    </row>
    <row r="436" spans="1:22" x14ac:dyDescent="0.35">
      <c r="A436" t="s">
        <v>320</v>
      </c>
      <c r="B436" t="s">
        <v>36</v>
      </c>
      <c r="C436" t="s">
        <v>592</v>
      </c>
      <c r="D436" t="s">
        <v>1976</v>
      </c>
      <c r="E436" t="s">
        <v>21</v>
      </c>
      <c r="F436" t="s">
        <v>1977</v>
      </c>
      <c r="G436" t="s">
        <v>1978</v>
      </c>
      <c r="H436" s="1">
        <v>46417</v>
      </c>
      <c r="I436" s="6">
        <v>45500</v>
      </c>
      <c r="J436" s="6">
        <v>46097</v>
      </c>
      <c r="K436">
        <v>74</v>
      </c>
      <c r="L436">
        <v>65</v>
      </c>
      <c r="M436">
        <v>5</v>
      </c>
      <c r="N436" s="8">
        <v>7</v>
      </c>
      <c r="O436">
        <v>21</v>
      </c>
      <c r="P436">
        <v>42</v>
      </c>
      <c r="Q436" s="3">
        <v>0.49</v>
      </c>
      <c r="R436">
        <f>Inventory_Table[[#This Row],[Stock_Quantity]]*Inventory_Table[[#This Row],[Unit_Price]]</f>
        <v>518</v>
      </c>
      <c r="S436">
        <f>Inventory_Table[[#This Row],[Sales_Volume]]*Inventory_Table[[#This Row],[Unit_Price]]</f>
        <v>147</v>
      </c>
      <c r="T436" t="str">
        <f>IF(Inventory_Table[[#This Row],[Stock_Quantity]]&lt;=Inventory_Table[[#This Row],[Reorder_Level]],"REORDER","OK")</f>
        <v>OK</v>
      </c>
      <c r="U436" t="s">
        <v>3838</v>
      </c>
      <c r="V436" s="14">
        <f ca="1">TODAY()-Inventory_Table[[#This Row],[Last_Order_Date]]</f>
        <v>676</v>
      </c>
    </row>
    <row r="437" spans="1:22" x14ac:dyDescent="0.35">
      <c r="A437" t="s">
        <v>142</v>
      </c>
      <c r="B437" t="s">
        <v>36</v>
      </c>
      <c r="C437" t="s">
        <v>1979</v>
      </c>
      <c r="D437" t="s">
        <v>1980</v>
      </c>
      <c r="E437" t="s">
        <v>21</v>
      </c>
      <c r="F437" t="s">
        <v>1981</v>
      </c>
      <c r="G437" t="s">
        <v>1982</v>
      </c>
      <c r="H437" s="1">
        <v>46418</v>
      </c>
      <c r="I437" s="6">
        <v>45473</v>
      </c>
      <c r="J437" s="6">
        <v>46289</v>
      </c>
      <c r="K437">
        <v>51</v>
      </c>
      <c r="L437">
        <v>53</v>
      </c>
      <c r="M437">
        <v>88</v>
      </c>
      <c r="N437" s="8">
        <v>6</v>
      </c>
      <c r="O437">
        <v>54</v>
      </c>
      <c r="P437">
        <v>59</v>
      </c>
      <c r="Q437" s="3">
        <v>-1</v>
      </c>
      <c r="R437">
        <f>Inventory_Table[[#This Row],[Stock_Quantity]]*Inventory_Table[[#This Row],[Unit_Price]]</f>
        <v>306</v>
      </c>
      <c r="S437">
        <f>Inventory_Table[[#This Row],[Sales_Volume]]*Inventory_Table[[#This Row],[Unit_Price]]</f>
        <v>324</v>
      </c>
      <c r="T437" t="str">
        <f>IF(Inventory_Table[[#This Row],[Stock_Quantity]]&lt;=Inventory_Table[[#This Row],[Reorder_Level]],"REORDER","OK")</f>
        <v>REORDER</v>
      </c>
      <c r="U437" t="s">
        <v>3836</v>
      </c>
      <c r="V437" s="14">
        <f ca="1">TODAY()-Inventory_Table[[#This Row],[Last_Order_Date]]</f>
        <v>703</v>
      </c>
    </row>
    <row r="438" spans="1:22" x14ac:dyDescent="0.35">
      <c r="A438" t="s">
        <v>326</v>
      </c>
      <c r="B438" t="s">
        <v>18</v>
      </c>
      <c r="C438" t="s">
        <v>1739</v>
      </c>
      <c r="D438" t="s">
        <v>1984</v>
      </c>
      <c r="E438" t="s">
        <v>21</v>
      </c>
      <c r="F438" t="s">
        <v>1985</v>
      </c>
      <c r="G438" t="s">
        <v>1986</v>
      </c>
      <c r="H438" s="1">
        <v>46418</v>
      </c>
      <c r="I438" s="6">
        <v>45573</v>
      </c>
      <c r="J438" s="6">
        <v>46149</v>
      </c>
      <c r="K438">
        <v>89</v>
      </c>
      <c r="L438">
        <v>35</v>
      </c>
      <c r="M438">
        <v>19</v>
      </c>
      <c r="N438" s="8">
        <v>5</v>
      </c>
      <c r="O438">
        <v>49</v>
      </c>
      <c r="P438">
        <v>55</v>
      </c>
      <c r="Q438" s="3">
        <v>-0.09</v>
      </c>
      <c r="R438">
        <f>Inventory_Table[[#This Row],[Stock_Quantity]]*Inventory_Table[[#This Row],[Unit_Price]]</f>
        <v>445</v>
      </c>
      <c r="S438">
        <f>Inventory_Table[[#This Row],[Sales_Volume]]*Inventory_Table[[#This Row],[Unit_Price]]</f>
        <v>245</v>
      </c>
      <c r="T438" t="str">
        <f>IF(Inventory_Table[[#This Row],[Stock_Quantity]]&lt;=Inventory_Table[[#This Row],[Reorder_Level]],"REORDER","OK")</f>
        <v>OK</v>
      </c>
      <c r="U438" t="s">
        <v>3838</v>
      </c>
      <c r="V438" s="14">
        <f ca="1">TODAY()-Inventory_Table[[#This Row],[Last_Order_Date]]</f>
        <v>603</v>
      </c>
    </row>
    <row r="439" spans="1:22" x14ac:dyDescent="0.35">
      <c r="A439" t="s">
        <v>769</v>
      </c>
      <c r="B439" t="s">
        <v>36</v>
      </c>
      <c r="C439" t="s">
        <v>1987</v>
      </c>
      <c r="D439" t="s">
        <v>1988</v>
      </c>
      <c r="E439" t="s">
        <v>21</v>
      </c>
      <c r="F439" t="s">
        <v>1989</v>
      </c>
      <c r="G439" t="s">
        <v>1990</v>
      </c>
      <c r="H439" s="1">
        <v>46308</v>
      </c>
      <c r="I439" s="6">
        <v>45630</v>
      </c>
      <c r="J439" s="6">
        <v>46183</v>
      </c>
      <c r="K439">
        <v>11</v>
      </c>
      <c r="L439">
        <v>9</v>
      </c>
      <c r="M439">
        <v>65</v>
      </c>
      <c r="N439" s="8">
        <v>2</v>
      </c>
      <c r="O439">
        <v>48</v>
      </c>
      <c r="P439">
        <v>96</v>
      </c>
      <c r="Q439" s="3">
        <v>-0.12</v>
      </c>
      <c r="R439">
        <f>Inventory_Table[[#This Row],[Stock_Quantity]]*Inventory_Table[[#This Row],[Unit_Price]]</f>
        <v>22</v>
      </c>
      <c r="S439">
        <f>Inventory_Table[[#This Row],[Sales_Volume]]*Inventory_Table[[#This Row],[Unit_Price]]</f>
        <v>96</v>
      </c>
      <c r="T439" t="str">
        <f>IF(Inventory_Table[[#This Row],[Stock_Quantity]]&lt;=Inventory_Table[[#This Row],[Reorder_Level]],"REORDER","OK")</f>
        <v>OK</v>
      </c>
      <c r="U439" t="s">
        <v>3837</v>
      </c>
      <c r="V439" s="14">
        <f ca="1">TODAY()-Inventory_Table[[#This Row],[Last_Order_Date]]</f>
        <v>546</v>
      </c>
    </row>
    <row r="440" spans="1:22" x14ac:dyDescent="0.35">
      <c r="A440" t="s">
        <v>842</v>
      </c>
      <c r="B440" t="s">
        <v>75</v>
      </c>
      <c r="C440" t="s">
        <v>1991</v>
      </c>
      <c r="D440" t="s">
        <v>1992</v>
      </c>
      <c r="E440" t="s">
        <v>68</v>
      </c>
      <c r="F440" t="s">
        <v>1993</v>
      </c>
      <c r="G440" t="s">
        <v>1994</v>
      </c>
      <c r="H440" s="1">
        <v>46308</v>
      </c>
      <c r="I440" s="6">
        <v>45350</v>
      </c>
      <c r="J440" s="6">
        <v>46261</v>
      </c>
      <c r="K440">
        <v>98</v>
      </c>
      <c r="L440">
        <v>100</v>
      </c>
      <c r="M440">
        <v>34</v>
      </c>
      <c r="N440" s="8">
        <v>9</v>
      </c>
      <c r="O440">
        <v>53</v>
      </c>
      <c r="P440">
        <v>20</v>
      </c>
      <c r="Q440" s="3">
        <v>-1</v>
      </c>
      <c r="R440">
        <f>Inventory_Table[[#This Row],[Stock_Quantity]]*Inventory_Table[[#This Row],[Unit_Price]]</f>
        <v>882</v>
      </c>
      <c r="S440">
        <f>Inventory_Table[[#This Row],[Sales_Volume]]*Inventory_Table[[#This Row],[Unit_Price]]</f>
        <v>477</v>
      </c>
      <c r="T440" t="str">
        <f>IF(Inventory_Table[[#This Row],[Stock_Quantity]]&lt;=Inventory_Table[[#This Row],[Reorder_Level]],"REORDER","OK")</f>
        <v>REORDER</v>
      </c>
      <c r="U440" t="s">
        <v>3836</v>
      </c>
      <c r="V440" s="14">
        <f ca="1">TODAY()-Inventory_Table[[#This Row],[Last_Order_Date]]</f>
        <v>826</v>
      </c>
    </row>
    <row r="441" spans="1:22" x14ac:dyDescent="0.35">
      <c r="A441" t="s">
        <v>685</v>
      </c>
      <c r="B441" t="s">
        <v>114</v>
      </c>
      <c r="C441" t="s">
        <v>1995</v>
      </c>
      <c r="D441" t="s">
        <v>1996</v>
      </c>
      <c r="E441" t="s">
        <v>68</v>
      </c>
      <c r="F441" t="s">
        <v>1997</v>
      </c>
      <c r="G441" t="s">
        <v>1998</v>
      </c>
      <c r="H441" s="1">
        <v>46309</v>
      </c>
      <c r="I441" s="6">
        <v>45399</v>
      </c>
      <c r="J441" s="6">
        <v>46171</v>
      </c>
      <c r="K441">
        <v>50</v>
      </c>
      <c r="L441">
        <v>58</v>
      </c>
      <c r="M441">
        <v>78</v>
      </c>
      <c r="N441" s="8">
        <v>3</v>
      </c>
      <c r="O441">
        <v>83</v>
      </c>
      <c r="P441">
        <v>49</v>
      </c>
      <c r="Q441" s="3">
        <v>0.62</v>
      </c>
      <c r="R441">
        <f>Inventory_Table[[#This Row],[Stock_Quantity]]*Inventory_Table[[#This Row],[Unit_Price]]</f>
        <v>150</v>
      </c>
      <c r="S441">
        <f>Inventory_Table[[#This Row],[Sales_Volume]]*Inventory_Table[[#This Row],[Unit_Price]]</f>
        <v>249</v>
      </c>
      <c r="T441" t="str">
        <f>IF(Inventory_Table[[#This Row],[Stock_Quantity]]&lt;=Inventory_Table[[#This Row],[Reorder_Level]],"REORDER","OK")</f>
        <v>REORDER</v>
      </c>
      <c r="U441" t="s">
        <v>3838</v>
      </c>
      <c r="V441" s="14">
        <f ca="1">TODAY()-Inventory_Table[[#This Row],[Last_Order_Date]]</f>
        <v>777</v>
      </c>
    </row>
    <row r="442" spans="1:22" x14ac:dyDescent="0.35">
      <c r="A442" t="s">
        <v>1307</v>
      </c>
      <c r="B442" t="s">
        <v>163</v>
      </c>
      <c r="C442" t="s">
        <v>1174</v>
      </c>
      <c r="D442" t="s">
        <v>1999</v>
      </c>
      <c r="E442" t="s">
        <v>68</v>
      </c>
      <c r="F442" t="s">
        <v>2000</v>
      </c>
      <c r="G442" t="s">
        <v>2001</v>
      </c>
      <c r="H442" s="1">
        <v>46309</v>
      </c>
      <c r="I442" s="6">
        <v>45688</v>
      </c>
      <c r="J442" s="6">
        <v>46346</v>
      </c>
      <c r="K442">
        <v>24</v>
      </c>
      <c r="L442">
        <v>27</v>
      </c>
      <c r="M442">
        <v>35</v>
      </c>
      <c r="N442" s="8">
        <v>8</v>
      </c>
      <c r="O442">
        <v>49</v>
      </c>
      <c r="P442">
        <v>58</v>
      </c>
      <c r="Q442" s="3">
        <v>0.41</v>
      </c>
      <c r="R442">
        <f>Inventory_Table[[#This Row],[Stock_Quantity]]*Inventory_Table[[#This Row],[Unit_Price]]</f>
        <v>192</v>
      </c>
      <c r="S442">
        <f>Inventory_Table[[#This Row],[Sales_Volume]]*Inventory_Table[[#This Row],[Unit_Price]]</f>
        <v>392</v>
      </c>
      <c r="T442" t="str">
        <f>IF(Inventory_Table[[#This Row],[Stock_Quantity]]&lt;=Inventory_Table[[#This Row],[Reorder_Level]],"REORDER","OK")</f>
        <v>REORDER</v>
      </c>
      <c r="U442" t="s">
        <v>3836</v>
      </c>
      <c r="V442" s="14">
        <f ca="1">TODAY()-Inventory_Table[[#This Row],[Last_Order_Date]]</f>
        <v>488</v>
      </c>
    </row>
    <row r="443" spans="1:22" x14ac:dyDescent="0.35">
      <c r="A443" t="s">
        <v>786</v>
      </c>
      <c r="B443" t="s">
        <v>65</v>
      </c>
      <c r="C443" t="s">
        <v>2002</v>
      </c>
      <c r="D443" t="s">
        <v>2003</v>
      </c>
      <c r="E443" t="s">
        <v>68</v>
      </c>
      <c r="F443" t="s">
        <v>2004</v>
      </c>
      <c r="G443" t="s">
        <v>2005</v>
      </c>
      <c r="H443" s="1">
        <v>46309</v>
      </c>
      <c r="I443" s="6">
        <v>45448</v>
      </c>
      <c r="J443" s="6">
        <v>46322</v>
      </c>
      <c r="K443">
        <v>64</v>
      </c>
      <c r="L443">
        <v>10</v>
      </c>
      <c r="M443">
        <v>100</v>
      </c>
      <c r="N443" s="8">
        <v>2.5</v>
      </c>
      <c r="O443">
        <v>97</v>
      </c>
      <c r="P443">
        <v>52</v>
      </c>
      <c r="Q443" s="3">
        <v>-0.18</v>
      </c>
      <c r="R443">
        <f>Inventory_Table[[#This Row],[Stock_Quantity]]*Inventory_Table[[#This Row],[Unit_Price]]</f>
        <v>160</v>
      </c>
      <c r="S443">
        <f>Inventory_Table[[#This Row],[Sales_Volume]]*Inventory_Table[[#This Row],[Unit_Price]]</f>
        <v>242.5</v>
      </c>
      <c r="T443" t="str">
        <f>IF(Inventory_Table[[#This Row],[Stock_Quantity]]&lt;=Inventory_Table[[#This Row],[Reorder_Level]],"REORDER","OK")</f>
        <v>OK</v>
      </c>
      <c r="U443" t="s">
        <v>3836</v>
      </c>
      <c r="V443" s="14">
        <f ca="1">TODAY()-Inventory_Table[[#This Row],[Last_Order_Date]]</f>
        <v>728</v>
      </c>
    </row>
    <row r="444" spans="1:22" x14ac:dyDescent="0.35">
      <c r="A444" t="s">
        <v>619</v>
      </c>
      <c r="B444" t="s">
        <v>18</v>
      </c>
      <c r="C444" t="s">
        <v>1794</v>
      </c>
      <c r="D444" t="s">
        <v>2006</v>
      </c>
      <c r="E444" t="s">
        <v>21</v>
      </c>
      <c r="F444" t="s">
        <v>2007</v>
      </c>
      <c r="G444" t="s">
        <v>2008</v>
      </c>
      <c r="H444" s="1">
        <v>46309</v>
      </c>
      <c r="I444" s="6">
        <v>45582</v>
      </c>
      <c r="J444" s="6">
        <v>46154</v>
      </c>
      <c r="K444">
        <v>34</v>
      </c>
      <c r="L444">
        <v>95</v>
      </c>
      <c r="M444">
        <v>18</v>
      </c>
      <c r="N444" s="8">
        <v>5</v>
      </c>
      <c r="O444">
        <v>41</v>
      </c>
      <c r="P444">
        <v>26</v>
      </c>
      <c r="Q444" s="3">
        <v>0.46</v>
      </c>
      <c r="R444">
        <f>Inventory_Table[[#This Row],[Stock_Quantity]]*Inventory_Table[[#This Row],[Unit_Price]]</f>
        <v>170</v>
      </c>
      <c r="S444">
        <f>Inventory_Table[[#This Row],[Sales_Volume]]*Inventory_Table[[#This Row],[Unit_Price]]</f>
        <v>205</v>
      </c>
      <c r="T444" t="str">
        <f>IF(Inventory_Table[[#This Row],[Stock_Quantity]]&lt;=Inventory_Table[[#This Row],[Reorder_Level]],"REORDER","OK")</f>
        <v>REORDER</v>
      </c>
      <c r="U444" t="s">
        <v>3838</v>
      </c>
      <c r="V444" s="14">
        <f ca="1">TODAY()-Inventory_Table[[#This Row],[Last_Order_Date]]</f>
        <v>594</v>
      </c>
    </row>
    <row r="445" spans="1:22" x14ac:dyDescent="0.35">
      <c r="A445" t="s">
        <v>591</v>
      </c>
      <c r="B445" t="s">
        <v>36</v>
      </c>
      <c r="C445" t="s">
        <v>394</v>
      </c>
      <c r="D445" t="s">
        <v>2009</v>
      </c>
      <c r="E445" t="s">
        <v>68</v>
      </c>
      <c r="F445" t="s">
        <v>2010</v>
      </c>
      <c r="G445" t="s">
        <v>2011</v>
      </c>
      <c r="H445" s="1">
        <v>46310</v>
      </c>
      <c r="I445" s="6">
        <v>45462</v>
      </c>
      <c r="J445" s="6">
        <v>46408</v>
      </c>
      <c r="K445">
        <v>26</v>
      </c>
      <c r="L445">
        <v>54</v>
      </c>
      <c r="M445">
        <v>90</v>
      </c>
      <c r="N445" s="8">
        <v>3</v>
      </c>
      <c r="O445">
        <v>25</v>
      </c>
      <c r="P445">
        <v>81</v>
      </c>
      <c r="Q445" s="3">
        <v>0.37</v>
      </c>
      <c r="R445">
        <f>Inventory_Table[[#This Row],[Stock_Quantity]]*Inventory_Table[[#This Row],[Unit_Price]]</f>
        <v>78</v>
      </c>
      <c r="S445">
        <f>Inventory_Table[[#This Row],[Sales_Volume]]*Inventory_Table[[#This Row],[Unit_Price]]</f>
        <v>75</v>
      </c>
      <c r="T445" t="str">
        <f>IF(Inventory_Table[[#This Row],[Stock_Quantity]]&lt;=Inventory_Table[[#This Row],[Reorder_Level]],"REORDER","OK")</f>
        <v>REORDER</v>
      </c>
      <c r="U445" t="s">
        <v>3836</v>
      </c>
      <c r="V445" s="14">
        <f ca="1">TODAY()-Inventory_Table[[#This Row],[Last_Order_Date]]</f>
        <v>714</v>
      </c>
    </row>
    <row r="446" spans="1:22" x14ac:dyDescent="0.35">
      <c r="A446" t="s">
        <v>1157</v>
      </c>
      <c r="B446" t="s">
        <v>18</v>
      </c>
      <c r="C446" t="s">
        <v>241</v>
      </c>
      <c r="D446" t="s">
        <v>2013</v>
      </c>
      <c r="E446" t="s">
        <v>30</v>
      </c>
      <c r="F446" t="s">
        <v>2014</v>
      </c>
      <c r="G446" t="s">
        <v>2015</v>
      </c>
      <c r="H446" s="1">
        <v>46311</v>
      </c>
      <c r="I446" s="6">
        <v>45691</v>
      </c>
      <c r="J446" s="6">
        <v>46441</v>
      </c>
      <c r="K446">
        <v>72</v>
      </c>
      <c r="L446">
        <v>58</v>
      </c>
      <c r="M446">
        <v>69</v>
      </c>
      <c r="N446" s="8">
        <v>1.2</v>
      </c>
      <c r="O446">
        <v>96</v>
      </c>
      <c r="P446">
        <v>23</v>
      </c>
      <c r="Q446" s="3">
        <v>-2.2400000000000002</v>
      </c>
      <c r="R446">
        <f>Inventory_Table[[#This Row],[Stock_Quantity]]*Inventory_Table[[#This Row],[Unit_Price]]</f>
        <v>86.399999999999991</v>
      </c>
      <c r="S446">
        <f>Inventory_Table[[#This Row],[Sales_Volume]]*Inventory_Table[[#This Row],[Unit_Price]]</f>
        <v>115.19999999999999</v>
      </c>
      <c r="T446" t="str">
        <f>IF(Inventory_Table[[#This Row],[Stock_Quantity]]&lt;=Inventory_Table[[#This Row],[Reorder_Level]],"REORDER","OK")</f>
        <v>OK</v>
      </c>
      <c r="U446" t="s">
        <v>3836</v>
      </c>
      <c r="V446" s="14">
        <f ca="1">TODAY()-Inventory_Table[[#This Row],[Last_Order_Date]]</f>
        <v>485</v>
      </c>
    </row>
    <row r="447" spans="1:22" x14ac:dyDescent="0.35">
      <c r="A447" t="s">
        <v>1201</v>
      </c>
      <c r="B447" t="s">
        <v>18</v>
      </c>
      <c r="C447" t="s">
        <v>195</v>
      </c>
      <c r="D447" t="s">
        <v>2016</v>
      </c>
      <c r="E447" t="s">
        <v>68</v>
      </c>
      <c r="F447" t="s">
        <v>2017</v>
      </c>
      <c r="G447" t="s">
        <v>2018</v>
      </c>
      <c r="H447" s="1">
        <v>46311</v>
      </c>
      <c r="I447" s="6">
        <v>45700</v>
      </c>
      <c r="J447" s="6">
        <v>46284</v>
      </c>
      <c r="K447">
        <v>89</v>
      </c>
      <c r="L447">
        <v>40</v>
      </c>
      <c r="M447">
        <v>64</v>
      </c>
      <c r="N447" s="8">
        <v>4</v>
      </c>
      <c r="O447">
        <v>93</v>
      </c>
      <c r="P447">
        <v>48</v>
      </c>
      <c r="Q447" s="3">
        <v>0.76</v>
      </c>
      <c r="R447">
        <f>Inventory_Table[[#This Row],[Stock_Quantity]]*Inventory_Table[[#This Row],[Unit_Price]]</f>
        <v>356</v>
      </c>
      <c r="S447">
        <f>Inventory_Table[[#This Row],[Sales_Volume]]*Inventory_Table[[#This Row],[Unit_Price]]</f>
        <v>372</v>
      </c>
      <c r="T447" t="str">
        <f>IF(Inventory_Table[[#This Row],[Stock_Quantity]]&lt;=Inventory_Table[[#This Row],[Reorder_Level]],"REORDER","OK")</f>
        <v>OK</v>
      </c>
      <c r="U447" t="s">
        <v>3836</v>
      </c>
      <c r="V447" s="14">
        <f ca="1">TODAY()-Inventory_Table[[#This Row],[Last_Order_Date]]</f>
        <v>476</v>
      </c>
    </row>
    <row r="448" spans="1:22" x14ac:dyDescent="0.35">
      <c r="A448" t="s">
        <v>337</v>
      </c>
      <c r="B448" t="s">
        <v>27</v>
      </c>
      <c r="C448" t="s">
        <v>2019</v>
      </c>
      <c r="D448" t="s">
        <v>2020</v>
      </c>
      <c r="E448" t="s">
        <v>68</v>
      </c>
      <c r="F448" t="s">
        <v>2021</v>
      </c>
      <c r="G448" t="s">
        <v>2022</v>
      </c>
      <c r="H448" s="1">
        <v>46312</v>
      </c>
      <c r="I448" s="6">
        <v>45530</v>
      </c>
      <c r="J448" s="6">
        <v>46102</v>
      </c>
      <c r="K448">
        <v>83</v>
      </c>
      <c r="L448">
        <v>52</v>
      </c>
      <c r="M448">
        <v>32</v>
      </c>
      <c r="N448" s="8">
        <v>6</v>
      </c>
      <c r="O448">
        <v>47</v>
      </c>
      <c r="P448">
        <v>7</v>
      </c>
      <c r="Q448" s="3">
        <v>0.48</v>
      </c>
      <c r="R448">
        <f>Inventory_Table[[#This Row],[Stock_Quantity]]*Inventory_Table[[#This Row],[Unit_Price]]</f>
        <v>498</v>
      </c>
      <c r="S448">
        <f>Inventory_Table[[#This Row],[Sales_Volume]]*Inventory_Table[[#This Row],[Unit_Price]]</f>
        <v>282</v>
      </c>
      <c r="T448" t="str">
        <f>IF(Inventory_Table[[#This Row],[Stock_Quantity]]&lt;=Inventory_Table[[#This Row],[Reorder_Level]],"REORDER","OK")</f>
        <v>OK</v>
      </c>
      <c r="U448" t="s">
        <v>3838</v>
      </c>
      <c r="V448" s="14">
        <f ca="1">TODAY()-Inventory_Table[[#This Row],[Last_Order_Date]]</f>
        <v>646</v>
      </c>
    </row>
    <row r="449" spans="1:22" x14ac:dyDescent="0.35">
      <c r="A449" t="s">
        <v>162</v>
      </c>
      <c r="B449" t="s">
        <v>163</v>
      </c>
      <c r="C449" t="s">
        <v>2023</v>
      </c>
      <c r="D449" t="s">
        <v>2024</v>
      </c>
      <c r="E449" t="s">
        <v>30</v>
      </c>
      <c r="F449" t="s">
        <v>2025</v>
      </c>
      <c r="G449" t="s">
        <v>2026</v>
      </c>
      <c r="H449" s="1">
        <v>46312</v>
      </c>
      <c r="I449" s="6">
        <v>45642</v>
      </c>
      <c r="J449" s="6">
        <v>46329</v>
      </c>
      <c r="K449">
        <v>13</v>
      </c>
      <c r="L449">
        <v>55</v>
      </c>
      <c r="M449">
        <v>77</v>
      </c>
      <c r="N449" s="8">
        <v>20</v>
      </c>
      <c r="O449">
        <v>67</v>
      </c>
      <c r="P449">
        <v>68</v>
      </c>
      <c r="Q449" s="3">
        <v>0.85</v>
      </c>
      <c r="R449">
        <f>Inventory_Table[[#This Row],[Stock_Quantity]]*Inventory_Table[[#This Row],[Unit_Price]]</f>
        <v>260</v>
      </c>
      <c r="S449">
        <f>Inventory_Table[[#This Row],[Sales_Volume]]*Inventory_Table[[#This Row],[Unit_Price]]</f>
        <v>1340</v>
      </c>
      <c r="T449" t="str">
        <f>IF(Inventory_Table[[#This Row],[Stock_Quantity]]&lt;=Inventory_Table[[#This Row],[Reorder_Level]],"REORDER","OK")</f>
        <v>REORDER</v>
      </c>
      <c r="U449" t="s">
        <v>3836</v>
      </c>
      <c r="V449" s="14">
        <f ca="1">TODAY()-Inventory_Table[[#This Row],[Last_Order_Date]]</f>
        <v>534</v>
      </c>
    </row>
    <row r="450" spans="1:22" x14ac:dyDescent="0.35">
      <c r="A450" t="s">
        <v>1307</v>
      </c>
      <c r="B450" t="s">
        <v>163</v>
      </c>
      <c r="C450" t="s">
        <v>2028</v>
      </c>
      <c r="D450" t="s">
        <v>2029</v>
      </c>
      <c r="E450" t="s">
        <v>30</v>
      </c>
      <c r="F450" t="s">
        <v>2030</v>
      </c>
      <c r="G450" t="s">
        <v>2031</v>
      </c>
      <c r="H450" s="1">
        <v>46313</v>
      </c>
      <c r="I450" s="6">
        <v>45476</v>
      </c>
      <c r="J450" s="6">
        <v>46096</v>
      </c>
      <c r="K450">
        <v>15</v>
      </c>
      <c r="L450">
        <v>66</v>
      </c>
      <c r="M450">
        <v>85</v>
      </c>
      <c r="N450" s="8">
        <v>8</v>
      </c>
      <c r="O450">
        <v>60</v>
      </c>
      <c r="P450">
        <v>40</v>
      </c>
      <c r="Q450" s="3">
        <v>-0.01</v>
      </c>
      <c r="R450">
        <f>Inventory_Table[[#This Row],[Stock_Quantity]]*Inventory_Table[[#This Row],[Unit_Price]]</f>
        <v>120</v>
      </c>
      <c r="S450">
        <f>Inventory_Table[[#This Row],[Sales_Volume]]*Inventory_Table[[#This Row],[Unit_Price]]</f>
        <v>480</v>
      </c>
      <c r="T450" t="str">
        <f>IF(Inventory_Table[[#This Row],[Stock_Quantity]]&lt;=Inventory_Table[[#This Row],[Reorder_Level]],"REORDER","OK")</f>
        <v>REORDER</v>
      </c>
      <c r="U450" t="s">
        <v>3838</v>
      </c>
      <c r="V450" s="14">
        <f ca="1">TODAY()-Inventory_Table[[#This Row],[Last_Order_Date]]</f>
        <v>700</v>
      </c>
    </row>
    <row r="451" spans="1:22" x14ac:dyDescent="0.35">
      <c r="A451" t="s">
        <v>188</v>
      </c>
      <c r="B451" t="s">
        <v>65</v>
      </c>
      <c r="C451" t="s">
        <v>1360</v>
      </c>
      <c r="D451" t="s">
        <v>2033</v>
      </c>
      <c r="E451" t="s">
        <v>30</v>
      </c>
      <c r="F451" t="s">
        <v>2034</v>
      </c>
      <c r="G451" t="s">
        <v>2035</v>
      </c>
      <c r="H451" s="1">
        <v>46313</v>
      </c>
      <c r="I451" s="6">
        <v>45647</v>
      </c>
      <c r="J451" s="6">
        <v>46398</v>
      </c>
      <c r="K451">
        <v>56</v>
      </c>
      <c r="L451">
        <v>48</v>
      </c>
      <c r="M451">
        <v>82</v>
      </c>
      <c r="N451" s="8">
        <v>4.75</v>
      </c>
      <c r="O451">
        <v>71</v>
      </c>
      <c r="P451">
        <v>65</v>
      </c>
      <c r="Q451" s="3">
        <v>0.33</v>
      </c>
      <c r="R451">
        <f>Inventory_Table[[#This Row],[Stock_Quantity]]*Inventory_Table[[#This Row],[Unit_Price]]</f>
        <v>266</v>
      </c>
      <c r="S451">
        <f>Inventory_Table[[#This Row],[Sales_Volume]]*Inventory_Table[[#This Row],[Unit_Price]]</f>
        <v>337.25</v>
      </c>
      <c r="T451" t="str">
        <f>IF(Inventory_Table[[#This Row],[Stock_Quantity]]&lt;=Inventory_Table[[#This Row],[Reorder_Level]],"REORDER","OK")</f>
        <v>OK</v>
      </c>
      <c r="U451" t="s">
        <v>3836</v>
      </c>
      <c r="V451" s="14">
        <f ca="1">TODAY()-Inventory_Table[[#This Row],[Last_Order_Date]]</f>
        <v>529</v>
      </c>
    </row>
    <row r="452" spans="1:22" x14ac:dyDescent="0.35">
      <c r="A452" t="s">
        <v>619</v>
      </c>
      <c r="B452" t="s">
        <v>18</v>
      </c>
      <c r="C452" t="s">
        <v>1275</v>
      </c>
      <c r="D452" t="s">
        <v>2036</v>
      </c>
      <c r="E452" t="s">
        <v>30</v>
      </c>
      <c r="F452" t="s">
        <v>2037</v>
      </c>
      <c r="G452" t="s">
        <v>2038</v>
      </c>
      <c r="H452" s="1">
        <v>46313</v>
      </c>
      <c r="I452" s="6">
        <v>45704</v>
      </c>
      <c r="J452" s="6">
        <v>46350</v>
      </c>
      <c r="K452">
        <v>18</v>
      </c>
      <c r="L452">
        <v>3</v>
      </c>
      <c r="M452">
        <v>39</v>
      </c>
      <c r="N452" s="8">
        <v>5</v>
      </c>
      <c r="O452">
        <v>58</v>
      </c>
      <c r="P452">
        <v>61</v>
      </c>
      <c r="Q452" s="3">
        <v>0.08</v>
      </c>
      <c r="R452">
        <f>Inventory_Table[[#This Row],[Stock_Quantity]]*Inventory_Table[[#This Row],[Unit_Price]]</f>
        <v>90</v>
      </c>
      <c r="S452">
        <f>Inventory_Table[[#This Row],[Sales_Volume]]*Inventory_Table[[#This Row],[Unit_Price]]</f>
        <v>290</v>
      </c>
      <c r="T452" t="str">
        <f>IF(Inventory_Table[[#This Row],[Stock_Quantity]]&lt;=Inventory_Table[[#This Row],[Reorder_Level]],"REORDER","OK")</f>
        <v>OK</v>
      </c>
      <c r="U452" t="s">
        <v>3836</v>
      </c>
      <c r="V452" s="14">
        <f ca="1">TODAY()-Inventory_Table[[#This Row],[Last_Order_Date]]</f>
        <v>472</v>
      </c>
    </row>
    <row r="453" spans="1:22" x14ac:dyDescent="0.35">
      <c r="A453" t="s">
        <v>423</v>
      </c>
      <c r="B453" t="s">
        <v>65</v>
      </c>
      <c r="C453" t="s">
        <v>429</v>
      </c>
      <c r="D453" t="s">
        <v>2039</v>
      </c>
      <c r="E453" t="s">
        <v>21</v>
      </c>
      <c r="F453" t="s">
        <v>2040</v>
      </c>
      <c r="G453" t="s">
        <v>2041</v>
      </c>
      <c r="H453" s="1">
        <v>46313</v>
      </c>
      <c r="I453" s="6">
        <v>45532</v>
      </c>
      <c r="J453" s="6">
        <v>46403</v>
      </c>
      <c r="K453">
        <v>32</v>
      </c>
      <c r="L453">
        <v>91</v>
      </c>
      <c r="M453">
        <v>80</v>
      </c>
      <c r="N453" s="8">
        <v>10</v>
      </c>
      <c r="O453">
        <v>69</v>
      </c>
      <c r="P453">
        <v>80</v>
      </c>
      <c r="Q453" s="3">
        <v>-0.05</v>
      </c>
      <c r="R453">
        <f>Inventory_Table[[#This Row],[Stock_Quantity]]*Inventory_Table[[#This Row],[Unit_Price]]</f>
        <v>320</v>
      </c>
      <c r="S453">
        <f>Inventory_Table[[#This Row],[Sales_Volume]]*Inventory_Table[[#This Row],[Unit_Price]]</f>
        <v>690</v>
      </c>
      <c r="T453" t="str">
        <f>IF(Inventory_Table[[#This Row],[Stock_Quantity]]&lt;=Inventory_Table[[#This Row],[Reorder_Level]],"REORDER","OK")</f>
        <v>REORDER</v>
      </c>
      <c r="U453" t="s">
        <v>3836</v>
      </c>
      <c r="V453" s="14">
        <f ca="1">TODAY()-Inventory_Table[[#This Row],[Last_Order_Date]]</f>
        <v>644</v>
      </c>
    </row>
    <row r="454" spans="1:22" x14ac:dyDescent="0.35">
      <c r="A454" t="s">
        <v>718</v>
      </c>
      <c r="B454" t="s">
        <v>65</v>
      </c>
      <c r="C454" t="s">
        <v>2042</v>
      </c>
      <c r="D454" t="s">
        <v>2043</v>
      </c>
      <c r="E454" t="s">
        <v>30</v>
      </c>
      <c r="F454" t="s">
        <v>2044</v>
      </c>
      <c r="G454" t="s">
        <v>2045</v>
      </c>
      <c r="H454" s="1">
        <v>46314</v>
      </c>
      <c r="I454" s="6">
        <v>45637</v>
      </c>
      <c r="J454" s="6">
        <v>46309</v>
      </c>
      <c r="K454">
        <v>91</v>
      </c>
      <c r="L454">
        <v>98</v>
      </c>
      <c r="M454">
        <v>6</v>
      </c>
      <c r="N454" s="8">
        <v>2</v>
      </c>
      <c r="O454">
        <v>100</v>
      </c>
      <c r="P454">
        <v>20</v>
      </c>
      <c r="Q454" s="3">
        <v>-0.16</v>
      </c>
      <c r="R454">
        <f>Inventory_Table[[#This Row],[Stock_Quantity]]*Inventory_Table[[#This Row],[Unit_Price]]</f>
        <v>182</v>
      </c>
      <c r="S454">
        <f>Inventory_Table[[#This Row],[Sales_Volume]]*Inventory_Table[[#This Row],[Unit_Price]]</f>
        <v>200</v>
      </c>
      <c r="T454" t="str">
        <f>IF(Inventory_Table[[#This Row],[Stock_Quantity]]&lt;=Inventory_Table[[#This Row],[Reorder_Level]],"REORDER","OK")</f>
        <v>REORDER</v>
      </c>
      <c r="U454" t="s">
        <v>3836</v>
      </c>
      <c r="V454" s="14">
        <f ca="1">TODAY()-Inventory_Table[[#This Row],[Last_Order_Date]]</f>
        <v>539</v>
      </c>
    </row>
    <row r="455" spans="1:22" x14ac:dyDescent="0.35">
      <c r="A455" t="s">
        <v>1415</v>
      </c>
      <c r="B455" t="s">
        <v>114</v>
      </c>
      <c r="C455" t="s">
        <v>1391</v>
      </c>
      <c r="D455" t="s">
        <v>2047</v>
      </c>
      <c r="E455" t="s">
        <v>30</v>
      </c>
      <c r="F455" t="s">
        <v>2048</v>
      </c>
      <c r="G455" t="s">
        <v>2049</v>
      </c>
      <c r="H455" s="1">
        <v>46314</v>
      </c>
      <c r="I455" s="6">
        <v>45457</v>
      </c>
      <c r="J455" s="6">
        <v>46164</v>
      </c>
      <c r="K455">
        <v>92</v>
      </c>
      <c r="L455">
        <v>87</v>
      </c>
      <c r="M455">
        <v>84</v>
      </c>
      <c r="N455" s="8">
        <v>2.5</v>
      </c>
      <c r="O455">
        <v>61</v>
      </c>
      <c r="P455">
        <v>31</v>
      </c>
      <c r="Q455" s="3">
        <v>0.8</v>
      </c>
      <c r="R455">
        <f>Inventory_Table[[#This Row],[Stock_Quantity]]*Inventory_Table[[#This Row],[Unit_Price]]</f>
        <v>230</v>
      </c>
      <c r="S455">
        <f>Inventory_Table[[#This Row],[Sales_Volume]]*Inventory_Table[[#This Row],[Unit_Price]]</f>
        <v>152.5</v>
      </c>
      <c r="T455" t="str">
        <f>IF(Inventory_Table[[#This Row],[Stock_Quantity]]&lt;=Inventory_Table[[#This Row],[Reorder_Level]],"REORDER","OK")</f>
        <v>OK</v>
      </c>
      <c r="U455" t="s">
        <v>3838</v>
      </c>
      <c r="V455" s="14">
        <f ca="1">TODAY()-Inventory_Table[[#This Row],[Last_Order_Date]]</f>
        <v>719</v>
      </c>
    </row>
    <row r="456" spans="1:22" x14ac:dyDescent="0.35">
      <c r="A456" t="s">
        <v>283</v>
      </c>
      <c r="B456" t="s">
        <v>163</v>
      </c>
      <c r="C456" t="s">
        <v>770</v>
      </c>
      <c r="D456" t="s">
        <v>2050</v>
      </c>
      <c r="E456" t="s">
        <v>21</v>
      </c>
      <c r="F456" t="s">
        <v>2051</v>
      </c>
      <c r="G456" t="s">
        <v>2052</v>
      </c>
      <c r="H456" s="1">
        <v>46314</v>
      </c>
      <c r="I456" s="6">
        <v>45632</v>
      </c>
      <c r="J456" s="6">
        <v>46197</v>
      </c>
      <c r="K456">
        <v>42</v>
      </c>
      <c r="L456">
        <v>88</v>
      </c>
      <c r="M456">
        <v>17</v>
      </c>
      <c r="N456" s="8">
        <v>10.5</v>
      </c>
      <c r="O456">
        <v>34</v>
      </c>
      <c r="P456">
        <v>51</v>
      </c>
      <c r="Q456" s="3">
        <v>0.49</v>
      </c>
      <c r="R456">
        <f>Inventory_Table[[#This Row],[Stock_Quantity]]*Inventory_Table[[#This Row],[Unit_Price]]</f>
        <v>441</v>
      </c>
      <c r="S456">
        <f>Inventory_Table[[#This Row],[Sales_Volume]]*Inventory_Table[[#This Row],[Unit_Price]]</f>
        <v>357</v>
      </c>
      <c r="T456" t="str">
        <f>IF(Inventory_Table[[#This Row],[Stock_Quantity]]&lt;=Inventory_Table[[#This Row],[Reorder_Level]],"REORDER","OK")</f>
        <v>REORDER</v>
      </c>
      <c r="U456" t="s">
        <v>3837</v>
      </c>
      <c r="V456" s="14">
        <f ca="1">TODAY()-Inventory_Table[[#This Row],[Last_Order_Date]]</f>
        <v>544</v>
      </c>
    </row>
    <row r="457" spans="1:22" x14ac:dyDescent="0.35">
      <c r="A457" t="s">
        <v>371</v>
      </c>
      <c r="B457" t="s">
        <v>75</v>
      </c>
      <c r="C457" t="s">
        <v>2054</v>
      </c>
      <c r="D457" t="s">
        <v>2055</v>
      </c>
      <c r="E457" t="s">
        <v>68</v>
      </c>
      <c r="F457" t="s">
        <v>2056</v>
      </c>
      <c r="G457" t="s">
        <v>2057</v>
      </c>
      <c r="H457" s="1">
        <v>46315</v>
      </c>
      <c r="I457" s="6">
        <v>45441</v>
      </c>
      <c r="J457" s="6">
        <v>46216</v>
      </c>
      <c r="K457">
        <v>75</v>
      </c>
      <c r="L457">
        <v>25</v>
      </c>
      <c r="M457">
        <v>99</v>
      </c>
      <c r="N457" s="8">
        <v>12</v>
      </c>
      <c r="O457">
        <v>89</v>
      </c>
      <c r="P457">
        <v>42</v>
      </c>
      <c r="Q457" s="3">
        <v>-0.5</v>
      </c>
      <c r="R457">
        <f>Inventory_Table[[#This Row],[Stock_Quantity]]*Inventory_Table[[#This Row],[Unit_Price]]</f>
        <v>900</v>
      </c>
      <c r="S457">
        <f>Inventory_Table[[#This Row],[Sales_Volume]]*Inventory_Table[[#This Row],[Unit_Price]]</f>
        <v>1068</v>
      </c>
      <c r="T457" t="str">
        <f>IF(Inventory_Table[[#This Row],[Stock_Quantity]]&lt;=Inventory_Table[[#This Row],[Reorder_Level]],"REORDER","OK")</f>
        <v>OK</v>
      </c>
      <c r="U457" t="s">
        <v>3836</v>
      </c>
      <c r="V457" s="14">
        <f ca="1">TODAY()-Inventory_Table[[#This Row],[Last_Order_Date]]</f>
        <v>735</v>
      </c>
    </row>
    <row r="458" spans="1:22" x14ac:dyDescent="0.35">
      <c r="A458" t="s">
        <v>228</v>
      </c>
      <c r="B458" t="s">
        <v>18</v>
      </c>
      <c r="C458" t="s">
        <v>2059</v>
      </c>
      <c r="D458" t="s">
        <v>2060</v>
      </c>
      <c r="E458" t="s">
        <v>68</v>
      </c>
      <c r="F458" t="s">
        <v>2061</v>
      </c>
      <c r="G458" t="s">
        <v>2062</v>
      </c>
      <c r="H458" s="1">
        <v>46315</v>
      </c>
      <c r="I458" s="6">
        <v>45437</v>
      </c>
      <c r="J458" s="6">
        <v>46282</v>
      </c>
      <c r="K458">
        <v>76</v>
      </c>
      <c r="L458">
        <v>11</v>
      </c>
      <c r="M458">
        <v>15</v>
      </c>
      <c r="N458" s="8">
        <v>1.8</v>
      </c>
      <c r="O458">
        <v>22</v>
      </c>
      <c r="P458">
        <v>91</v>
      </c>
      <c r="Q458" s="3">
        <v>0.53</v>
      </c>
      <c r="R458">
        <f>Inventory_Table[[#This Row],[Stock_Quantity]]*Inventory_Table[[#This Row],[Unit_Price]]</f>
        <v>136.80000000000001</v>
      </c>
      <c r="S458">
        <f>Inventory_Table[[#This Row],[Sales_Volume]]*Inventory_Table[[#This Row],[Unit_Price]]</f>
        <v>39.6</v>
      </c>
      <c r="T458" t="str">
        <f>IF(Inventory_Table[[#This Row],[Stock_Quantity]]&lt;=Inventory_Table[[#This Row],[Reorder_Level]],"REORDER","OK")</f>
        <v>OK</v>
      </c>
      <c r="U458" t="s">
        <v>3836</v>
      </c>
      <c r="V458" s="14">
        <f ca="1">TODAY()-Inventory_Table[[#This Row],[Last_Order_Date]]</f>
        <v>739</v>
      </c>
    </row>
    <row r="459" spans="1:22" x14ac:dyDescent="0.35">
      <c r="A459" t="s">
        <v>975</v>
      </c>
      <c r="B459" t="s">
        <v>18</v>
      </c>
      <c r="C459" t="s">
        <v>1507</v>
      </c>
      <c r="D459" t="s">
        <v>2063</v>
      </c>
      <c r="E459" t="s">
        <v>68</v>
      </c>
      <c r="F459" t="s">
        <v>2064</v>
      </c>
      <c r="G459" t="s">
        <v>2065</v>
      </c>
      <c r="H459" s="1">
        <v>46315</v>
      </c>
      <c r="I459" s="6">
        <v>45350</v>
      </c>
      <c r="J459" s="6">
        <v>46272</v>
      </c>
      <c r="K459">
        <v>86</v>
      </c>
      <c r="L459">
        <v>90</v>
      </c>
      <c r="M459">
        <v>39</v>
      </c>
      <c r="N459" s="8">
        <v>2.1</v>
      </c>
      <c r="O459">
        <v>98</v>
      </c>
      <c r="P459">
        <v>85</v>
      </c>
      <c r="Q459" s="3">
        <v>-3.14</v>
      </c>
      <c r="R459">
        <f>Inventory_Table[[#This Row],[Stock_Quantity]]*Inventory_Table[[#This Row],[Unit_Price]]</f>
        <v>180.6</v>
      </c>
      <c r="S459">
        <f>Inventory_Table[[#This Row],[Sales_Volume]]*Inventory_Table[[#This Row],[Unit_Price]]</f>
        <v>205.8</v>
      </c>
      <c r="T459" t="str">
        <f>IF(Inventory_Table[[#This Row],[Stock_Quantity]]&lt;=Inventory_Table[[#This Row],[Reorder_Level]],"REORDER","OK")</f>
        <v>REORDER</v>
      </c>
      <c r="U459" t="s">
        <v>3836</v>
      </c>
      <c r="V459" s="14">
        <f ca="1">TODAY()-Inventory_Table[[#This Row],[Last_Order_Date]]</f>
        <v>826</v>
      </c>
    </row>
    <row r="460" spans="1:22" x14ac:dyDescent="0.35">
      <c r="A460" t="s">
        <v>450</v>
      </c>
      <c r="B460" t="s">
        <v>18</v>
      </c>
      <c r="C460" t="s">
        <v>751</v>
      </c>
      <c r="D460" t="s">
        <v>2066</v>
      </c>
      <c r="E460" t="s">
        <v>21</v>
      </c>
      <c r="F460" t="s">
        <v>2067</v>
      </c>
      <c r="G460" t="s">
        <v>2068</v>
      </c>
      <c r="H460" s="1">
        <v>46315</v>
      </c>
      <c r="I460" s="6">
        <v>45668</v>
      </c>
      <c r="J460" s="6">
        <v>46434</v>
      </c>
      <c r="K460">
        <v>90</v>
      </c>
      <c r="L460">
        <v>1</v>
      </c>
      <c r="M460">
        <v>40</v>
      </c>
      <c r="N460" s="8">
        <v>0.9</v>
      </c>
      <c r="O460">
        <v>52</v>
      </c>
      <c r="P460">
        <v>19</v>
      </c>
      <c r="Q460" s="3">
        <v>0.13</v>
      </c>
      <c r="R460">
        <f>Inventory_Table[[#This Row],[Stock_Quantity]]*Inventory_Table[[#This Row],[Unit_Price]]</f>
        <v>81</v>
      </c>
      <c r="S460">
        <f>Inventory_Table[[#This Row],[Sales_Volume]]*Inventory_Table[[#This Row],[Unit_Price]]</f>
        <v>46.800000000000004</v>
      </c>
      <c r="T460" t="str">
        <f>IF(Inventory_Table[[#This Row],[Stock_Quantity]]&lt;=Inventory_Table[[#This Row],[Reorder_Level]],"REORDER","OK")</f>
        <v>OK</v>
      </c>
      <c r="U460" t="s">
        <v>3836</v>
      </c>
      <c r="V460" s="14">
        <f ca="1">TODAY()-Inventory_Table[[#This Row],[Last_Order_Date]]</f>
        <v>508</v>
      </c>
    </row>
    <row r="461" spans="1:22" x14ac:dyDescent="0.35">
      <c r="A461" t="s">
        <v>376</v>
      </c>
      <c r="B461" t="s">
        <v>18</v>
      </c>
      <c r="C461" t="s">
        <v>284</v>
      </c>
      <c r="D461" t="s">
        <v>2069</v>
      </c>
      <c r="E461" t="s">
        <v>21</v>
      </c>
      <c r="F461" t="s">
        <v>2070</v>
      </c>
      <c r="G461" t="s">
        <v>2071</v>
      </c>
      <c r="H461" s="1">
        <v>46315</v>
      </c>
      <c r="I461" s="6">
        <v>45358</v>
      </c>
      <c r="J461" s="6">
        <v>46381</v>
      </c>
      <c r="K461">
        <v>20</v>
      </c>
      <c r="L461">
        <v>93</v>
      </c>
      <c r="M461">
        <v>37</v>
      </c>
      <c r="N461" s="8">
        <v>2</v>
      </c>
      <c r="O461">
        <v>23</v>
      </c>
      <c r="P461">
        <v>2</v>
      </c>
      <c r="Q461" s="3">
        <v>0.63</v>
      </c>
      <c r="R461">
        <f>Inventory_Table[[#This Row],[Stock_Quantity]]*Inventory_Table[[#This Row],[Unit_Price]]</f>
        <v>40</v>
      </c>
      <c r="S461">
        <f>Inventory_Table[[#This Row],[Sales_Volume]]*Inventory_Table[[#This Row],[Unit_Price]]</f>
        <v>46</v>
      </c>
      <c r="T461" t="str">
        <f>IF(Inventory_Table[[#This Row],[Stock_Quantity]]&lt;=Inventory_Table[[#This Row],[Reorder_Level]],"REORDER","OK")</f>
        <v>REORDER</v>
      </c>
      <c r="U461" t="s">
        <v>3836</v>
      </c>
      <c r="V461" s="14">
        <f ca="1">TODAY()-Inventory_Table[[#This Row],[Last_Order_Date]]</f>
        <v>818</v>
      </c>
    </row>
    <row r="462" spans="1:22" x14ac:dyDescent="0.35">
      <c r="A462" t="s">
        <v>695</v>
      </c>
      <c r="B462" t="s">
        <v>65</v>
      </c>
      <c r="C462" t="s">
        <v>383</v>
      </c>
      <c r="D462" t="s">
        <v>2072</v>
      </c>
      <c r="E462" t="s">
        <v>30</v>
      </c>
      <c r="F462" t="s">
        <v>2073</v>
      </c>
      <c r="G462" t="s">
        <v>2074</v>
      </c>
      <c r="H462" s="1">
        <v>46316</v>
      </c>
      <c r="I462" s="6">
        <v>45707</v>
      </c>
      <c r="J462" s="6">
        <v>46405</v>
      </c>
      <c r="K462">
        <v>17</v>
      </c>
      <c r="L462">
        <v>88</v>
      </c>
      <c r="M462">
        <v>41</v>
      </c>
      <c r="N462" s="8">
        <v>2.5</v>
      </c>
      <c r="O462">
        <v>45</v>
      </c>
      <c r="P462">
        <v>29</v>
      </c>
      <c r="Q462" s="3">
        <v>0.91</v>
      </c>
      <c r="R462">
        <f>Inventory_Table[[#This Row],[Stock_Quantity]]*Inventory_Table[[#This Row],[Unit_Price]]</f>
        <v>42.5</v>
      </c>
      <c r="S462">
        <f>Inventory_Table[[#This Row],[Sales_Volume]]*Inventory_Table[[#This Row],[Unit_Price]]</f>
        <v>112.5</v>
      </c>
      <c r="T462" t="str">
        <f>IF(Inventory_Table[[#This Row],[Stock_Quantity]]&lt;=Inventory_Table[[#This Row],[Reorder_Level]],"REORDER","OK")</f>
        <v>REORDER</v>
      </c>
      <c r="U462" t="s">
        <v>3836</v>
      </c>
      <c r="V462" s="14">
        <f ca="1">TODAY()-Inventory_Table[[#This Row],[Last_Order_Date]]</f>
        <v>469</v>
      </c>
    </row>
    <row r="463" spans="1:22" x14ac:dyDescent="0.35">
      <c r="A463" t="s">
        <v>1008</v>
      </c>
      <c r="B463" t="s">
        <v>18</v>
      </c>
      <c r="C463" t="s">
        <v>1653</v>
      </c>
      <c r="D463" t="s">
        <v>2076</v>
      </c>
      <c r="E463" t="s">
        <v>21</v>
      </c>
      <c r="F463" t="s">
        <v>2077</v>
      </c>
      <c r="G463" t="s">
        <v>2078</v>
      </c>
      <c r="H463" s="1">
        <v>46317</v>
      </c>
      <c r="I463" s="6">
        <v>45382</v>
      </c>
      <c r="J463" s="6">
        <v>46366</v>
      </c>
      <c r="K463">
        <v>49</v>
      </c>
      <c r="L463">
        <v>46</v>
      </c>
      <c r="M463">
        <v>8</v>
      </c>
      <c r="N463" s="8">
        <v>3</v>
      </c>
      <c r="O463">
        <v>82</v>
      </c>
      <c r="P463">
        <v>21</v>
      </c>
      <c r="Q463" s="3">
        <v>0.36</v>
      </c>
      <c r="R463">
        <f>Inventory_Table[[#This Row],[Stock_Quantity]]*Inventory_Table[[#This Row],[Unit_Price]]</f>
        <v>147</v>
      </c>
      <c r="S463">
        <f>Inventory_Table[[#This Row],[Sales_Volume]]*Inventory_Table[[#This Row],[Unit_Price]]</f>
        <v>246</v>
      </c>
      <c r="T463" t="str">
        <f>IF(Inventory_Table[[#This Row],[Stock_Quantity]]&lt;=Inventory_Table[[#This Row],[Reorder_Level]],"REORDER","OK")</f>
        <v>OK</v>
      </c>
      <c r="U463" t="s">
        <v>3836</v>
      </c>
      <c r="V463" s="14">
        <f ca="1">TODAY()-Inventory_Table[[#This Row],[Last_Order_Date]]</f>
        <v>794</v>
      </c>
    </row>
    <row r="464" spans="1:22" x14ac:dyDescent="0.35">
      <c r="A464" t="s">
        <v>1311</v>
      </c>
      <c r="B464" t="s">
        <v>36</v>
      </c>
      <c r="C464" t="s">
        <v>1743</v>
      </c>
      <c r="D464" t="s">
        <v>2079</v>
      </c>
      <c r="E464" t="s">
        <v>68</v>
      </c>
      <c r="F464" t="s">
        <v>2080</v>
      </c>
      <c r="G464" t="s">
        <v>2081</v>
      </c>
      <c r="H464" s="1">
        <v>46317</v>
      </c>
      <c r="I464" s="6">
        <v>45664</v>
      </c>
      <c r="J464" s="6">
        <v>46342</v>
      </c>
      <c r="K464">
        <v>20</v>
      </c>
      <c r="L464">
        <v>17</v>
      </c>
      <c r="M464">
        <v>71</v>
      </c>
      <c r="N464" s="8">
        <v>8</v>
      </c>
      <c r="O464">
        <v>50</v>
      </c>
      <c r="P464">
        <v>65</v>
      </c>
      <c r="Q464" s="3">
        <v>0.74</v>
      </c>
      <c r="R464">
        <f>Inventory_Table[[#This Row],[Stock_Quantity]]*Inventory_Table[[#This Row],[Unit_Price]]</f>
        <v>160</v>
      </c>
      <c r="S464">
        <f>Inventory_Table[[#This Row],[Sales_Volume]]*Inventory_Table[[#This Row],[Unit_Price]]</f>
        <v>400</v>
      </c>
      <c r="T464" t="str">
        <f>IF(Inventory_Table[[#This Row],[Stock_Quantity]]&lt;=Inventory_Table[[#This Row],[Reorder_Level]],"REORDER","OK")</f>
        <v>OK</v>
      </c>
      <c r="U464" t="s">
        <v>3836</v>
      </c>
      <c r="V464" s="14">
        <f ca="1">TODAY()-Inventory_Table[[#This Row],[Last_Order_Date]]</f>
        <v>512</v>
      </c>
    </row>
    <row r="465" spans="1:22" x14ac:dyDescent="0.35">
      <c r="A465" t="s">
        <v>222</v>
      </c>
      <c r="B465" t="s">
        <v>65</v>
      </c>
      <c r="C465" t="s">
        <v>404</v>
      </c>
      <c r="D465" t="s">
        <v>2082</v>
      </c>
      <c r="E465" t="s">
        <v>21</v>
      </c>
      <c r="F465" t="s">
        <v>2083</v>
      </c>
      <c r="G465" t="s">
        <v>2084</v>
      </c>
      <c r="H465" s="1">
        <v>46317</v>
      </c>
      <c r="I465" s="6">
        <v>45518</v>
      </c>
      <c r="J465" s="6">
        <v>46347</v>
      </c>
      <c r="K465">
        <v>99</v>
      </c>
      <c r="L465">
        <v>54</v>
      </c>
      <c r="M465">
        <v>71</v>
      </c>
      <c r="N465" s="8">
        <v>1.5</v>
      </c>
      <c r="O465">
        <v>80</v>
      </c>
      <c r="P465">
        <v>10</v>
      </c>
      <c r="Q465" s="3">
        <v>-0.3</v>
      </c>
      <c r="R465">
        <f>Inventory_Table[[#This Row],[Stock_Quantity]]*Inventory_Table[[#This Row],[Unit_Price]]</f>
        <v>148.5</v>
      </c>
      <c r="S465">
        <f>Inventory_Table[[#This Row],[Sales_Volume]]*Inventory_Table[[#This Row],[Unit_Price]]</f>
        <v>120</v>
      </c>
      <c r="T465" t="str">
        <f>IF(Inventory_Table[[#This Row],[Stock_Quantity]]&lt;=Inventory_Table[[#This Row],[Reorder_Level]],"REORDER","OK")</f>
        <v>OK</v>
      </c>
      <c r="U465" t="s">
        <v>3836</v>
      </c>
      <c r="V465" s="14">
        <f ca="1">TODAY()-Inventory_Table[[#This Row],[Last_Order_Date]]</f>
        <v>658</v>
      </c>
    </row>
    <row r="466" spans="1:22" x14ac:dyDescent="0.35">
      <c r="A466" t="s">
        <v>74</v>
      </c>
      <c r="B466" t="s">
        <v>75</v>
      </c>
      <c r="C466" t="s">
        <v>2085</v>
      </c>
      <c r="D466" t="s">
        <v>2086</v>
      </c>
      <c r="E466" t="s">
        <v>30</v>
      </c>
      <c r="F466" t="s">
        <v>2087</v>
      </c>
      <c r="G466" t="s">
        <v>2088</v>
      </c>
      <c r="H466" s="1">
        <v>46317</v>
      </c>
      <c r="I466" s="6">
        <v>45420</v>
      </c>
      <c r="J466" s="6">
        <v>46250</v>
      </c>
      <c r="K466">
        <v>51</v>
      </c>
      <c r="L466">
        <v>35</v>
      </c>
      <c r="M466">
        <v>95</v>
      </c>
      <c r="N466" s="8">
        <v>10</v>
      </c>
      <c r="O466">
        <v>80</v>
      </c>
      <c r="P466">
        <v>89</v>
      </c>
      <c r="Q466" s="3">
        <v>0.88</v>
      </c>
      <c r="R466">
        <f>Inventory_Table[[#This Row],[Stock_Quantity]]*Inventory_Table[[#This Row],[Unit_Price]]</f>
        <v>510</v>
      </c>
      <c r="S466">
        <f>Inventory_Table[[#This Row],[Sales_Volume]]*Inventory_Table[[#This Row],[Unit_Price]]</f>
        <v>800</v>
      </c>
      <c r="T466" t="str">
        <f>IF(Inventory_Table[[#This Row],[Stock_Quantity]]&lt;=Inventory_Table[[#This Row],[Reorder_Level]],"REORDER","OK")</f>
        <v>OK</v>
      </c>
      <c r="U466" t="s">
        <v>3836</v>
      </c>
      <c r="V466" s="14">
        <f ca="1">TODAY()-Inventory_Table[[#This Row],[Last_Order_Date]]</f>
        <v>756</v>
      </c>
    </row>
    <row r="467" spans="1:22" x14ac:dyDescent="0.35">
      <c r="A467" t="s">
        <v>880</v>
      </c>
      <c r="B467" t="s">
        <v>27</v>
      </c>
      <c r="C467" t="s">
        <v>51</v>
      </c>
      <c r="D467" t="s">
        <v>2089</v>
      </c>
      <c r="E467" t="s">
        <v>21</v>
      </c>
      <c r="F467" t="s">
        <v>2090</v>
      </c>
      <c r="G467" t="s">
        <v>2091</v>
      </c>
      <c r="H467" s="1">
        <v>46317</v>
      </c>
      <c r="I467" s="6">
        <v>45465</v>
      </c>
      <c r="J467" s="6">
        <v>46249</v>
      </c>
      <c r="K467">
        <v>25</v>
      </c>
      <c r="L467">
        <v>97</v>
      </c>
      <c r="M467">
        <v>63</v>
      </c>
      <c r="N467" s="8">
        <v>2.2999999999999998</v>
      </c>
      <c r="O467">
        <v>72</v>
      </c>
      <c r="P467">
        <v>23</v>
      </c>
      <c r="Q467" s="3">
        <v>-0.11</v>
      </c>
      <c r="R467">
        <f>Inventory_Table[[#This Row],[Stock_Quantity]]*Inventory_Table[[#This Row],[Unit_Price]]</f>
        <v>57.499999999999993</v>
      </c>
      <c r="S467">
        <f>Inventory_Table[[#This Row],[Sales_Volume]]*Inventory_Table[[#This Row],[Unit_Price]]</f>
        <v>165.6</v>
      </c>
      <c r="T467" t="str">
        <f>IF(Inventory_Table[[#This Row],[Stock_Quantity]]&lt;=Inventory_Table[[#This Row],[Reorder_Level]],"REORDER","OK")</f>
        <v>REORDER</v>
      </c>
      <c r="U467" t="s">
        <v>3836</v>
      </c>
      <c r="V467" s="14">
        <f ca="1">TODAY()-Inventory_Table[[#This Row],[Last_Order_Date]]</f>
        <v>711</v>
      </c>
    </row>
    <row r="468" spans="1:22" x14ac:dyDescent="0.35">
      <c r="A468" t="s">
        <v>35</v>
      </c>
      <c r="B468" t="s">
        <v>36</v>
      </c>
      <c r="C468" t="s">
        <v>1837</v>
      </c>
      <c r="D468" t="s">
        <v>2093</v>
      </c>
      <c r="E468" t="s">
        <v>68</v>
      </c>
      <c r="F468" t="s">
        <v>2094</v>
      </c>
      <c r="G468" t="s">
        <v>2095</v>
      </c>
      <c r="H468" s="1">
        <v>46317</v>
      </c>
      <c r="I468" s="6">
        <v>45643</v>
      </c>
      <c r="J468" s="6">
        <v>46248</v>
      </c>
      <c r="K468">
        <v>63</v>
      </c>
      <c r="L468">
        <v>41</v>
      </c>
      <c r="M468">
        <v>98</v>
      </c>
      <c r="N468" s="8">
        <v>11.9</v>
      </c>
      <c r="O468">
        <v>37</v>
      </c>
      <c r="P468">
        <v>7</v>
      </c>
      <c r="Q468" s="3">
        <v>0.68</v>
      </c>
      <c r="R468">
        <f>Inventory_Table[[#This Row],[Stock_Quantity]]*Inventory_Table[[#This Row],[Unit_Price]]</f>
        <v>749.7</v>
      </c>
      <c r="S468">
        <f>Inventory_Table[[#This Row],[Sales_Volume]]*Inventory_Table[[#This Row],[Unit_Price]]</f>
        <v>440.3</v>
      </c>
      <c r="T468" t="str">
        <f>IF(Inventory_Table[[#This Row],[Stock_Quantity]]&lt;=Inventory_Table[[#This Row],[Reorder_Level]],"REORDER","OK")</f>
        <v>OK</v>
      </c>
      <c r="U468" t="s">
        <v>3836</v>
      </c>
      <c r="V468" s="14">
        <f ca="1">TODAY()-Inventory_Table[[#This Row],[Last_Order_Date]]</f>
        <v>533</v>
      </c>
    </row>
    <row r="469" spans="1:22" x14ac:dyDescent="0.35">
      <c r="A469" t="s">
        <v>690</v>
      </c>
      <c r="B469" t="s">
        <v>36</v>
      </c>
      <c r="C469" t="s">
        <v>2098</v>
      </c>
      <c r="D469" t="s">
        <v>2099</v>
      </c>
      <c r="E469" t="s">
        <v>68</v>
      </c>
      <c r="F469" t="s">
        <v>2100</v>
      </c>
      <c r="G469" t="s">
        <v>2101</v>
      </c>
      <c r="H469" s="1">
        <v>46317</v>
      </c>
      <c r="I469" s="6">
        <v>45633</v>
      </c>
      <c r="J469" s="6">
        <v>46422</v>
      </c>
      <c r="K469">
        <v>50</v>
      </c>
      <c r="L469">
        <v>66</v>
      </c>
      <c r="M469">
        <v>1</v>
      </c>
      <c r="N469" s="8">
        <v>2.5</v>
      </c>
      <c r="O469">
        <v>76</v>
      </c>
      <c r="P469">
        <v>73</v>
      </c>
      <c r="Q469" s="3">
        <v>0.81</v>
      </c>
      <c r="R469">
        <f>Inventory_Table[[#This Row],[Stock_Quantity]]*Inventory_Table[[#This Row],[Unit_Price]]</f>
        <v>125</v>
      </c>
      <c r="S469">
        <f>Inventory_Table[[#This Row],[Sales_Volume]]*Inventory_Table[[#This Row],[Unit_Price]]</f>
        <v>190</v>
      </c>
      <c r="T469" t="str">
        <f>IF(Inventory_Table[[#This Row],[Stock_Quantity]]&lt;=Inventory_Table[[#This Row],[Reorder_Level]],"REORDER","OK")</f>
        <v>REORDER</v>
      </c>
      <c r="U469" t="s">
        <v>3836</v>
      </c>
      <c r="V469" s="14">
        <f ca="1">TODAY()-Inventory_Table[[#This Row],[Last_Order_Date]]</f>
        <v>543</v>
      </c>
    </row>
    <row r="470" spans="1:22" x14ac:dyDescent="0.35">
      <c r="A470" t="s">
        <v>388</v>
      </c>
      <c r="B470" t="s">
        <v>75</v>
      </c>
      <c r="C470" t="s">
        <v>1764</v>
      </c>
      <c r="D470" t="s">
        <v>2102</v>
      </c>
      <c r="E470" t="s">
        <v>68</v>
      </c>
      <c r="F470" t="s">
        <v>2103</v>
      </c>
      <c r="G470" t="s">
        <v>2104</v>
      </c>
      <c r="H470" s="1">
        <v>46318</v>
      </c>
      <c r="I470" s="6">
        <v>45387</v>
      </c>
      <c r="J470" s="6">
        <v>46199</v>
      </c>
      <c r="K470">
        <v>91</v>
      </c>
      <c r="L470">
        <v>59</v>
      </c>
      <c r="M470">
        <v>49</v>
      </c>
      <c r="N470" s="8">
        <v>6</v>
      </c>
      <c r="O470">
        <v>30</v>
      </c>
      <c r="P470">
        <v>63</v>
      </c>
      <c r="Q470" s="3">
        <v>0.04</v>
      </c>
      <c r="R470">
        <f>Inventory_Table[[#This Row],[Stock_Quantity]]*Inventory_Table[[#This Row],[Unit_Price]]</f>
        <v>546</v>
      </c>
      <c r="S470">
        <f>Inventory_Table[[#This Row],[Sales_Volume]]*Inventory_Table[[#This Row],[Unit_Price]]</f>
        <v>180</v>
      </c>
      <c r="T470" t="str">
        <f>IF(Inventory_Table[[#This Row],[Stock_Quantity]]&lt;=Inventory_Table[[#This Row],[Reorder_Level]],"REORDER","OK")</f>
        <v>OK</v>
      </c>
      <c r="U470" t="s">
        <v>3837</v>
      </c>
      <c r="V470" s="14">
        <f ca="1">TODAY()-Inventory_Table[[#This Row],[Last_Order_Date]]</f>
        <v>789</v>
      </c>
    </row>
    <row r="471" spans="1:22" x14ac:dyDescent="0.35">
      <c r="A471" t="s">
        <v>337</v>
      </c>
      <c r="B471" t="s">
        <v>27</v>
      </c>
      <c r="C471" t="s">
        <v>2105</v>
      </c>
      <c r="D471" t="s">
        <v>2106</v>
      </c>
      <c r="E471" t="s">
        <v>68</v>
      </c>
      <c r="F471" t="s">
        <v>2107</v>
      </c>
      <c r="G471" t="s">
        <v>2108</v>
      </c>
      <c r="H471" s="1">
        <v>46319</v>
      </c>
      <c r="I471" s="6">
        <v>45524</v>
      </c>
      <c r="J471" s="6">
        <v>46261</v>
      </c>
      <c r="K471">
        <v>28</v>
      </c>
      <c r="L471">
        <v>17</v>
      </c>
      <c r="M471">
        <v>28</v>
      </c>
      <c r="N471" s="8">
        <v>6</v>
      </c>
      <c r="O471">
        <v>38</v>
      </c>
      <c r="P471">
        <v>25</v>
      </c>
      <c r="Q471" s="3">
        <v>-1.1000000000000001</v>
      </c>
      <c r="R471">
        <f>Inventory_Table[[#This Row],[Stock_Quantity]]*Inventory_Table[[#This Row],[Unit_Price]]</f>
        <v>168</v>
      </c>
      <c r="S471">
        <f>Inventory_Table[[#This Row],[Sales_Volume]]*Inventory_Table[[#This Row],[Unit_Price]]</f>
        <v>228</v>
      </c>
      <c r="T471" t="str">
        <f>IF(Inventory_Table[[#This Row],[Stock_Quantity]]&lt;=Inventory_Table[[#This Row],[Reorder_Level]],"REORDER","OK")</f>
        <v>OK</v>
      </c>
      <c r="U471" t="s">
        <v>3836</v>
      </c>
      <c r="V471" s="14">
        <f ca="1">TODAY()-Inventory_Table[[#This Row],[Last_Order_Date]]</f>
        <v>652</v>
      </c>
    </row>
    <row r="472" spans="1:22" x14ac:dyDescent="0.35">
      <c r="A472" t="s">
        <v>1341</v>
      </c>
      <c r="B472" t="s">
        <v>18</v>
      </c>
      <c r="C472" t="s">
        <v>51</v>
      </c>
      <c r="D472" t="s">
        <v>2109</v>
      </c>
      <c r="E472" t="s">
        <v>68</v>
      </c>
      <c r="F472" t="s">
        <v>2110</v>
      </c>
      <c r="G472" t="s">
        <v>2111</v>
      </c>
      <c r="H472" s="1">
        <v>46319</v>
      </c>
      <c r="I472" s="6">
        <v>45612</v>
      </c>
      <c r="J472" s="6">
        <v>46153</v>
      </c>
      <c r="K472">
        <v>29</v>
      </c>
      <c r="L472">
        <v>18</v>
      </c>
      <c r="M472">
        <v>86</v>
      </c>
      <c r="N472" s="8">
        <v>2.5</v>
      </c>
      <c r="O472">
        <v>53</v>
      </c>
      <c r="P472">
        <v>69</v>
      </c>
      <c r="Q472" s="3">
        <v>0.34</v>
      </c>
      <c r="R472">
        <f>Inventory_Table[[#This Row],[Stock_Quantity]]*Inventory_Table[[#This Row],[Unit_Price]]</f>
        <v>72.5</v>
      </c>
      <c r="S472">
        <f>Inventory_Table[[#This Row],[Sales_Volume]]*Inventory_Table[[#This Row],[Unit_Price]]</f>
        <v>132.5</v>
      </c>
      <c r="T472" t="str">
        <f>IF(Inventory_Table[[#This Row],[Stock_Quantity]]&lt;=Inventory_Table[[#This Row],[Reorder_Level]],"REORDER","OK")</f>
        <v>OK</v>
      </c>
      <c r="U472" t="s">
        <v>3838</v>
      </c>
      <c r="V472" s="14">
        <f ca="1">TODAY()-Inventory_Table[[#This Row],[Last_Order_Date]]</f>
        <v>564</v>
      </c>
    </row>
    <row r="473" spans="1:22" x14ac:dyDescent="0.35">
      <c r="A473" t="s">
        <v>1900</v>
      </c>
      <c r="B473" t="s">
        <v>75</v>
      </c>
      <c r="C473" t="s">
        <v>2112</v>
      </c>
      <c r="D473" t="s">
        <v>2113</v>
      </c>
      <c r="E473" t="s">
        <v>68</v>
      </c>
      <c r="F473" t="s">
        <v>2114</v>
      </c>
      <c r="G473" t="s">
        <v>2115</v>
      </c>
      <c r="H473" s="1">
        <v>46319</v>
      </c>
      <c r="I473" s="6">
        <v>45503</v>
      </c>
      <c r="J473" s="6">
        <v>46187</v>
      </c>
      <c r="K473">
        <v>89</v>
      </c>
      <c r="L473">
        <v>26</v>
      </c>
      <c r="M473">
        <v>36</v>
      </c>
      <c r="N473" s="8">
        <v>7.5</v>
      </c>
      <c r="O473">
        <v>48</v>
      </c>
      <c r="P473">
        <v>94</v>
      </c>
      <c r="Q473" s="3">
        <v>-0.3</v>
      </c>
      <c r="R473">
        <f>Inventory_Table[[#This Row],[Stock_Quantity]]*Inventory_Table[[#This Row],[Unit_Price]]</f>
        <v>667.5</v>
      </c>
      <c r="S473">
        <f>Inventory_Table[[#This Row],[Sales_Volume]]*Inventory_Table[[#This Row],[Unit_Price]]</f>
        <v>360</v>
      </c>
      <c r="T473" t="str">
        <f>IF(Inventory_Table[[#This Row],[Stock_Quantity]]&lt;=Inventory_Table[[#This Row],[Reorder_Level]],"REORDER","OK")</f>
        <v>OK</v>
      </c>
      <c r="U473" t="s">
        <v>3837</v>
      </c>
      <c r="V473" s="14">
        <f ca="1">TODAY()-Inventory_Table[[#This Row],[Last_Order_Date]]</f>
        <v>673</v>
      </c>
    </row>
    <row r="474" spans="1:22" x14ac:dyDescent="0.35">
      <c r="A474" t="s">
        <v>624</v>
      </c>
      <c r="B474" t="s">
        <v>18</v>
      </c>
      <c r="C474" t="s">
        <v>136</v>
      </c>
      <c r="D474" t="s">
        <v>2116</v>
      </c>
      <c r="E474" t="s">
        <v>68</v>
      </c>
      <c r="F474" t="s">
        <v>2117</v>
      </c>
      <c r="G474" t="s">
        <v>2118</v>
      </c>
      <c r="H474" s="1">
        <v>46319</v>
      </c>
      <c r="I474" s="6">
        <v>45462</v>
      </c>
      <c r="J474" s="6">
        <v>46216</v>
      </c>
      <c r="K474">
        <v>65</v>
      </c>
      <c r="L474">
        <v>42</v>
      </c>
      <c r="M474">
        <v>62</v>
      </c>
      <c r="N474" s="8">
        <v>6.3</v>
      </c>
      <c r="O474">
        <v>54</v>
      </c>
      <c r="P474">
        <v>2</v>
      </c>
      <c r="Q474" s="3">
        <v>-0.96</v>
      </c>
      <c r="R474">
        <f>Inventory_Table[[#This Row],[Stock_Quantity]]*Inventory_Table[[#This Row],[Unit_Price]]</f>
        <v>409.5</v>
      </c>
      <c r="S474">
        <f>Inventory_Table[[#This Row],[Sales_Volume]]*Inventory_Table[[#This Row],[Unit_Price]]</f>
        <v>340.2</v>
      </c>
      <c r="T474" t="str">
        <f>IF(Inventory_Table[[#This Row],[Stock_Quantity]]&lt;=Inventory_Table[[#This Row],[Reorder_Level]],"REORDER","OK")</f>
        <v>OK</v>
      </c>
      <c r="U474" t="s">
        <v>3836</v>
      </c>
      <c r="V474" s="14">
        <f ca="1">TODAY()-Inventory_Table[[#This Row],[Last_Order_Date]]</f>
        <v>714</v>
      </c>
    </row>
    <row r="475" spans="1:22" x14ac:dyDescent="0.35">
      <c r="A475" t="s">
        <v>122</v>
      </c>
      <c r="B475" t="s">
        <v>65</v>
      </c>
      <c r="C475" t="s">
        <v>1554</v>
      </c>
      <c r="D475" t="s">
        <v>2119</v>
      </c>
      <c r="E475" t="s">
        <v>30</v>
      </c>
      <c r="F475" t="s">
        <v>2120</v>
      </c>
      <c r="G475" t="s">
        <v>2121</v>
      </c>
      <c r="H475" s="1">
        <v>46320</v>
      </c>
      <c r="I475" s="6">
        <v>45451</v>
      </c>
      <c r="J475" s="6">
        <v>46390</v>
      </c>
      <c r="K475">
        <v>40</v>
      </c>
      <c r="L475">
        <v>38</v>
      </c>
      <c r="M475">
        <v>32</v>
      </c>
      <c r="N475" s="8">
        <v>3.2</v>
      </c>
      <c r="O475">
        <v>21</v>
      </c>
      <c r="P475">
        <v>45</v>
      </c>
      <c r="Q475" s="3">
        <v>0.96</v>
      </c>
      <c r="R475">
        <f>Inventory_Table[[#This Row],[Stock_Quantity]]*Inventory_Table[[#This Row],[Unit_Price]]</f>
        <v>128</v>
      </c>
      <c r="S475">
        <f>Inventory_Table[[#This Row],[Sales_Volume]]*Inventory_Table[[#This Row],[Unit_Price]]</f>
        <v>67.2</v>
      </c>
      <c r="T475" t="str">
        <f>IF(Inventory_Table[[#This Row],[Stock_Quantity]]&lt;=Inventory_Table[[#This Row],[Reorder_Level]],"REORDER","OK")</f>
        <v>OK</v>
      </c>
      <c r="U475" t="s">
        <v>3836</v>
      </c>
      <c r="V475" s="14">
        <f ca="1">TODAY()-Inventory_Table[[#This Row],[Last_Order_Date]]</f>
        <v>725</v>
      </c>
    </row>
    <row r="476" spans="1:22" x14ac:dyDescent="0.35">
      <c r="A476" t="s">
        <v>253</v>
      </c>
      <c r="B476" t="s">
        <v>65</v>
      </c>
      <c r="C476" t="s">
        <v>2122</v>
      </c>
      <c r="D476" t="s">
        <v>2123</v>
      </c>
      <c r="E476" t="s">
        <v>21</v>
      </c>
      <c r="F476" t="s">
        <v>2124</v>
      </c>
      <c r="G476" t="s">
        <v>2125</v>
      </c>
      <c r="H476" s="1">
        <v>46320</v>
      </c>
      <c r="I476" s="6">
        <v>45433</v>
      </c>
      <c r="J476" s="6">
        <v>46193</v>
      </c>
      <c r="K476">
        <v>99</v>
      </c>
      <c r="L476">
        <v>44</v>
      </c>
      <c r="M476">
        <v>52</v>
      </c>
      <c r="N476" s="8">
        <v>2</v>
      </c>
      <c r="O476">
        <v>36</v>
      </c>
      <c r="P476">
        <v>2</v>
      </c>
      <c r="Q476" s="3">
        <v>-1.1399999999999999</v>
      </c>
      <c r="R476">
        <f>Inventory_Table[[#This Row],[Stock_Quantity]]*Inventory_Table[[#This Row],[Unit_Price]]</f>
        <v>198</v>
      </c>
      <c r="S476">
        <f>Inventory_Table[[#This Row],[Sales_Volume]]*Inventory_Table[[#This Row],[Unit_Price]]</f>
        <v>72</v>
      </c>
      <c r="T476" t="str">
        <f>IF(Inventory_Table[[#This Row],[Stock_Quantity]]&lt;=Inventory_Table[[#This Row],[Reorder_Level]],"REORDER","OK")</f>
        <v>OK</v>
      </c>
      <c r="U476" t="s">
        <v>3837</v>
      </c>
      <c r="V476" s="14">
        <f ca="1">TODAY()-Inventory_Table[[#This Row],[Last_Order_Date]]</f>
        <v>743</v>
      </c>
    </row>
    <row r="477" spans="1:22" x14ac:dyDescent="0.35">
      <c r="A477" t="s">
        <v>527</v>
      </c>
      <c r="B477" t="s">
        <v>65</v>
      </c>
      <c r="C477" t="s">
        <v>2028</v>
      </c>
      <c r="D477" t="s">
        <v>2126</v>
      </c>
      <c r="E477" t="s">
        <v>68</v>
      </c>
      <c r="F477" t="s">
        <v>2127</v>
      </c>
      <c r="G477" t="s">
        <v>2128</v>
      </c>
      <c r="H477" s="1">
        <v>46320</v>
      </c>
      <c r="I477" s="6">
        <v>45692</v>
      </c>
      <c r="J477" s="6">
        <v>46267</v>
      </c>
      <c r="K477">
        <v>56</v>
      </c>
      <c r="L477">
        <v>28</v>
      </c>
      <c r="M477">
        <v>76</v>
      </c>
      <c r="N477" s="8">
        <v>3</v>
      </c>
      <c r="O477">
        <v>93</v>
      </c>
      <c r="P477">
        <v>69</v>
      </c>
      <c r="Q477" s="3">
        <v>0.94</v>
      </c>
      <c r="R477">
        <f>Inventory_Table[[#This Row],[Stock_Quantity]]*Inventory_Table[[#This Row],[Unit_Price]]</f>
        <v>168</v>
      </c>
      <c r="S477">
        <f>Inventory_Table[[#This Row],[Sales_Volume]]*Inventory_Table[[#This Row],[Unit_Price]]</f>
        <v>279</v>
      </c>
      <c r="T477" t="str">
        <f>IF(Inventory_Table[[#This Row],[Stock_Quantity]]&lt;=Inventory_Table[[#This Row],[Reorder_Level]],"REORDER","OK")</f>
        <v>OK</v>
      </c>
      <c r="U477" t="s">
        <v>3836</v>
      </c>
      <c r="V477" s="14">
        <f ca="1">TODAY()-Inventory_Table[[#This Row],[Last_Order_Date]]</f>
        <v>484</v>
      </c>
    </row>
    <row r="478" spans="1:22" x14ac:dyDescent="0.35">
      <c r="A478" t="s">
        <v>35</v>
      </c>
      <c r="B478" t="s">
        <v>36</v>
      </c>
      <c r="C478" t="s">
        <v>1133</v>
      </c>
      <c r="D478" t="s">
        <v>2129</v>
      </c>
      <c r="E478" t="s">
        <v>21</v>
      </c>
      <c r="F478" t="s">
        <v>2130</v>
      </c>
      <c r="G478" t="s">
        <v>2131</v>
      </c>
      <c r="H478" s="1">
        <v>46320</v>
      </c>
      <c r="I478" s="6">
        <v>45404</v>
      </c>
      <c r="J478" s="6">
        <v>46347</v>
      </c>
      <c r="K478">
        <v>37</v>
      </c>
      <c r="L478">
        <v>3</v>
      </c>
      <c r="M478">
        <v>45</v>
      </c>
      <c r="N478" s="8">
        <v>12</v>
      </c>
      <c r="O478">
        <v>39</v>
      </c>
      <c r="P478">
        <v>28</v>
      </c>
      <c r="Q478" s="3">
        <v>0.26</v>
      </c>
      <c r="R478">
        <f>Inventory_Table[[#This Row],[Stock_Quantity]]*Inventory_Table[[#This Row],[Unit_Price]]</f>
        <v>444</v>
      </c>
      <c r="S478">
        <f>Inventory_Table[[#This Row],[Sales_Volume]]*Inventory_Table[[#This Row],[Unit_Price]]</f>
        <v>468</v>
      </c>
      <c r="T478" t="str">
        <f>IF(Inventory_Table[[#This Row],[Stock_Quantity]]&lt;=Inventory_Table[[#This Row],[Reorder_Level]],"REORDER","OK")</f>
        <v>OK</v>
      </c>
      <c r="U478" t="s">
        <v>3836</v>
      </c>
      <c r="V478" s="14">
        <f ca="1">TODAY()-Inventory_Table[[#This Row],[Last_Order_Date]]</f>
        <v>772</v>
      </c>
    </row>
    <row r="479" spans="1:22" x14ac:dyDescent="0.35">
      <c r="A479" t="s">
        <v>695</v>
      </c>
      <c r="B479" t="s">
        <v>65</v>
      </c>
      <c r="C479" t="s">
        <v>1649</v>
      </c>
      <c r="D479" t="s">
        <v>2132</v>
      </c>
      <c r="E479" t="s">
        <v>68</v>
      </c>
      <c r="F479" t="s">
        <v>2133</v>
      </c>
      <c r="G479" t="s">
        <v>2134</v>
      </c>
      <c r="H479" s="1">
        <v>46321</v>
      </c>
      <c r="I479" s="6">
        <v>45461</v>
      </c>
      <c r="J479" s="6">
        <v>46306</v>
      </c>
      <c r="K479">
        <v>31</v>
      </c>
      <c r="L479">
        <v>29</v>
      </c>
      <c r="M479">
        <v>57</v>
      </c>
      <c r="N479" s="8">
        <v>2.5</v>
      </c>
      <c r="O479">
        <v>25</v>
      </c>
      <c r="P479">
        <v>22</v>
      </c>
      <c r="Q479" s="3">
        <v>0.28000000000000003</v>
      </c>
      <c r="R479">
        <f>Inventory_Table[[#This Row],[Stock_Quantity]]*Inventory_Table[[#This Row],[Unit_Price]]</f>
        <v>77.5</v>
      </c>
      <c r="S479">
        <f>Inventory_Table[[#This Row],[Sales_Volume]]*Inventory_Table[[#This Row],[Unit_Price]]</f>
        <v>62.5</v>
      </c>
      <c r="T479" t="str">
        <f>IF(Inventory_Table[[#This Row],[Stock_Quantity]]&lt;=Inventory_Table[[#This Row],[Reorder_Level]],"REORDER","OK")</f>
        <v>OK</v>
      </c>
      <c r="U479" t="s">
        <v>3836</v>
      </c>
      <c r="V479" s="14">
        <f ca="1">TODAY()-Inventory_Table[[#This Row],[Last_Order_Date]]</f>
        <v>715</v>
      </c>
    </row>
    <row r="480" spans="1:22" x14ac:dyDescent="0.35">
      <c r="A480" t="s">
        <v>653</v>
      </c>
      <c r="B480" t="s">
        <v>163</v>
      </c>
      <c r="C480" t="s">
        <v>2135</v>
      </c>
      <c r="D480" t="s">
        <v>2136</v>
      </c>
      <c r="E480" t="s">
        <v>30</v>
      </c>
      <c r="F480" t="s">
        <v>2137</v>
      </c>
      <c r="G480" t="s">
        <v>2138</v>
      </c>
      <c r="H480" s="1">
        <v>46321</v>
      </c>
      <c r="I480" s="6">
        <v>45664</v>
      </c>
      <c r="J480" s="6">
        <v>46311</v>
      </c>
      <c r="K480">
        <v>81</v>
      </c>
      <c r="L480">
        <v>83</v>
      </c>
      <c r="M480">
        <v>36</v>
      </c>
      <c r="N480" s="8">
        <v>25</v>
      </c>
      <c r="O480">
        <v>74</v>
      </c>
      <c r="P480">
        <v>86</v>
      </c>
      <c r="Q480" s="3">
        <v>0.12</v>
      </c>
      <c r="R480">
        <f>Inventory_Table[[#This Row],[Stock_Quantity]]*Inventory_Table[[#This Row],[Unit_Price]]</f>
        <v>2025</v>
      </c>
      <c r="S480">
        <f>Inventory_Table[[#This Row],[Sales_Volume]]*Inventory_Table[[#This Row],[Unit_Price]]</f>
        <v>1850</v>
      </c>
      <c r="T480" t="str">
        <f>IF(Inventory_Table[[#This Row],[Stock_Quantity]]&lt;=Inventory_Table[[#This Row],[Reorder_Level]],"REORDER","OK")</f>
        <v>REORDER</v>
      </c>
      <c r="U480" t="s">
        <v>3836</v>
      </c>
      <c r="V480" s="14">
        <f ca="1">TODAY()-Inventory_Table[[#This Row],[Last_Order_Date]]</f>
        <v>512</v>
      </c>
    </row>
    <row r="481" spans="1:22" x14ac:dyDescent="0.35">
      <c r="A481" t="s">
        <v>222</v>
      </c>
      <c r="B481" t="s">
        <v>65</v>
      </c>
      <c r="C481" t="s">
        <v>44</v>
      </c>
      <c r="D481" t="s">
        <v>2139</v>
      </c>
      <c r="E481" t="s">
        <v>30</v>
      </c>
      <c r="F481" t="s">
        <v>2140</v>
      </c>
      <c r="G481" t="s">
        <v>2141</v>
      </c>
      <c r="H481" s="1">
        <v>46321</v>
      </c>
      <c r="I481" s="6">
        <v>45601</v>
      </c>
      <c r="J481" s="6">
        <v>46213</v>
      </c>
      <c r="K481">
        <v>11</v>
      </c>
      <c r="L481">
        <v>77</v>
      </c>
      <c r="M481">
        <v>7</v>
      </c>
      <c r="N481" s="8">
        <v>1.5</v>
      </c>
      <c r="O481">
        <v>77</v>
      </c>
      <c r="P481">
        <v>46</v>
      </c>
      <c r="Q481" s="3">
        <v>-0.16</v>
      </c>
      <c r="R481">
        <f>Inventory_Table[[#This Row],[Stock_Quantity]]*Inventory_Table[[#This Row],[Unit_Price]]</f>
        <v>16.5</v>
      </c>
      <c r="S481">
        <f>Inventory_Table[[#This Row],[Sales_Volume]]*Inventory_Table[[#This Row],[Unit_Price]]</f>
        <v>115.5</v>
      </c>
      <c r="T481" t="str">
        <f>IF(Inventory_Table[[#This Row],[Stock_Quantity]]&lt;=Inventory_Table[[#This Row],[Reorder_Level]],"REORDER","OK")</f>
        <v>REORDER</v>
      </c>
      <c r="U481" t="s">
        <v>3836</v>
      </c>
      <c r="V481" s="14">
        <f ca="1">TODAY()-Inventory_Table[[#This Row],[Last_Order_Date]]</f>
        <v>575</v>
      </c>
    </row>
    <row r="482" spans="1:22" x14ac:dyDescent="0.35">
      <c r="A482" t="s">
        <v>129</v>
      </c>
      <c r="B482" t="s">
        <v>18</v>
      </c>
      <c r="C482" t="s">
        <v>345</v>
      </c>
      <c r="D482" t="s">
        <v>2142</v>
      </c>
      <c r="E482" t="s">
        <v>68</v>
      </c>
      <c r="F482" t="s">
        <v>2143</v>
      </c>
      <c r="G482" t="s">
        <v>2144</v>
      </c>
      <c r="H482" s="1">
        <v>46322</v>
      </c>
      <c r="I482" s="6">
        <v>45708</v>
      </c>
      <c r="J482" s="6">
        <v>46083</v>
      </c>
      <c r="K482">
        <v>29</v>
      </c>
      <c r="L482">
        <v>20</v>
      </c>
      <c r="M482">
        <v>85</v>
      </c>
      <c r="N482" s="8">
        <v>4.5</v>
      </c>
      <c r="O482">
        <v>31</v>
      </c>
      <c r="P482">
        <v>31</v>
      </c>
      <c r="Q482" s="3">
        <v>0.4</v>
      </c>
      <c r="R482">
        <f>Inventory_Table[[#This Row],[Stock_Quantity]]*Inventory_Table[[#This Row],[Unit_Price]]</f>
        <v>130.5</v>
      </c>
      <c r="S482">
        <f>Inventory_Table[[#This Row],[Sales_Volume]]*Inventory_Table[[#This Row],[Unit_Price]]</f>
        <v>139.5</v>
      </c>
      <c r="T482" t="str">
        <f>IF(Inventory_Table[[#This Row],[Stock_Quantity]]&lt;=Inventory_Table[[#This Row],[Reorder_Level]],"REORDER","OK")</f>
        <v>OK</v>
      </c>
      <c r="U482" t="s">
        <v>3838</v>
      </c>
      <c r="V482" s="14">
        <f ca="1">TODAY()-Inventory_Table[[#This Row],[Last_Order_Date]]</f>
        <v>468</v>
      </c>
    </row>
    <row r="483" spans="1:22" x14ac:dyDescent="0.35">
      <c r="A483" t="s">
        <v>1341</v>
      </c>
      <c r="B483" t="s">
        <v>18</v>
      </c>
      <c r="C483" t="s">
        <v>1275</v>
      </c>
      <c r="D483" t="s">
        <v>2145</v>
      </c>
      <c r="E483" t="s">
        <v>68</v>
      </c>
      <c r="F483" t="s">
        <v>2146</v>
      </c>
      <c r="G483" t="s">
        <v>2147</v>
      </c>
      <c r="H483" s="1">
        <v>46322</v>
      </c>
      <c r="I483" s="6">
        <v>45472</v>
      </c>
      <c r="J483" s="6">
        <v>46372</v>
      </c>
      <c r="K483">
        <v>59</v>
      </c>
      <c r="L483">
        <v>91</v>
      </c>
      <c r="M483">
        <v>24</v>
      </c>
      <c r="N483" s="8">
        <v>2.5</v>
      </c>
      <c r="O483">
        <v>54</v>
      </c>
      <c r="P483">
        <v>87</v>
      </c>
      <c r="Q483" s="3">
        <v>0</v>
      </c>
      <c r="R483">
        <f>Inventory_Table[[#This Row],[Stock_Quantity]]*Inventory_Table[[#This Row],[Unit_Price]]</f>
        <v>147.5</v>
      </c>
      <c r="S483">
        <f>Inventory_Table[[#This Row],[Sales_Volume]]*Inventory_Table[[#This Row],[Unit_Price]]</f>
        <v>135</v>
      </c>
      <c r="T483" t="str">
        <f>IF(Inventory_Table[[#This Row],[Stock_Quantity]]&lt;=Inventory_Table[[#This Row],[Reorder_Level]],"REORDER","OK")</f>
        <v>REORDER</v>
      </c>
      <c r="U483" t="s">
        <v>3836</v>
      </c>
      <c r="V483" s="14">
        <f ca="1">TODAY()-Inventory_Table[[#This Row],[Last_Order_Date]]</f>
        <v>704</v>
      </c>
    </row>
    <row r="484" spans="1:22" x14ac:dyDescent="0.35">
      <c r="A484" t="s">
        <v>89</v>
      </c>
      <c r="B484" t="s">
        <v>36</v>
      </c>
      <c r="C484" t="s">
        <v>424</v>
      </c>
      <c r="D484" t="s">
        <v>2148</v>
      </c>
      <c r="E484" t="s">
        <v>30</v>
      </c>
      <c r="F484" t="s">
        <v>2149</v>
      </c>
      <c r="G484" t="s">
        <v>2150</v>
      </c>
      <c r="H484" s="1">
        <v>46322</v>
      </c>
      <c r="I484" s="6">
        <v>45471</v>
      </c>
      <c r="J484" s="6">
        <v>46227</v>
      </c>
      <c r="K484">
        <v>12</v>
      </c>
      <c r="L484">
        <v>83</v>
      </c>
      <c r="M484">
        <v>93</v>
      </c>
      <c r="N484" s="8">
        <v>1.75</v>
      </c>
      <c r="O484">
        <v>22</v>
      </c>
      <c r="P484">
        <v>9</v>
      </c>
      <c r="Q484" s="3">
        <v>-0.61</v>
      </c>
      <c r="R484">
        <f>Inventory_Table[[#This Row],[Stock_Quantity]]*Inventory_Table[[#This Row],[Unit_Price]]</f>
        <v>21</v>
      </c>
      <c r="S484">
        <f>Inventory_Table[[#This Row],[Sales_Volume]]*Inventory_Table[[#This Row],[Unit_Price]]</f>
        <v>38.5</v>
      </c>
      <c r="T484" t="str">
        <f>IF(Inventory_Table[[#This Row],[Stock_Quantity]]&lt;=Inventory_Table[[#This Row],[Reorder_Level]],"REORDER","OK")</f>
        <v>REORDER</v>
      </c>
      <c r="U484" t="s">
        <v>3836</v>
      </c>
      <c r="V484" s="14">
        <f ca="1">TODAY()-Inventory_Table[[#This Row],[Last_Order_Date]]</f>
        <v>705</v>
      </c>
    </row>
    <row r="485" spans="1:22" x14ac:dyDescent="0.35">
      <c r="A485" t="s">
        <v>247</v>
      </c>
      <c r="B485" t="s">
        <v>18</v>
      </c>
      <c r="C485" t="s">
        <v>59</v>
      </c>
      <c r="D485" t="s">
        <v>2151</v>
      </c>
      <c r="E485" t="s">
        <v>21</v>
      </c>
      <c r="F485" t="s">
        <v>2152</v>
      </c>
      <c r="G485" t="s">
        <v>2153</v>
      </c>
      <c r="H485" s="1">
        <v>46322</v>
      </c>
      <c r="I485" s="6">
        <v>45590</v>
      </c>
      <c r="J485" s="6">
        <v>46284</v>
      </c>
      <c r="K485">
        <v>75</v>
      </c>
      <c r="L485">
        <v>56</v>
      </c>
      <c r="M485">
        <v>57</v>
      </c>
      <c r="N485" s="8">
        <v>1.9</v>
      </c>
      <c r="O485">
        <v>63</v>
      </c>
      <c r="P485">
        <v>64</v>
      </c>
      <c r="Q485" s="3">
        <v>0.59</v>
      </c>
      <c r="R485">
        <f>Inventory_Table[[#This Row],[Stock_Quantity]]*Inventory_Table[[#This Row],[Unit_Price]]</f>
        <v>142.5</v>
      </c>
      <c r="S485">
        <f>Inventory_Table[[#This Row],[Sales_Volume]]*Inventory_Table[[#This Row],[Unit_Price]]</f>
        <v>119.69999999999999</v>
      </c>
      <c r="T485" t="str">
        <f>IF(Inventory_Table[[#This Row],[Stock_Quantity]]&lt;=Inventory_Table[[#This Row],[Reorder_Level]],"REORDER","OK")</f>
        <v>OK</v>
      </c>
      <c r="U485" t="s">
        <v>3836</v>
      </c>
      <c r="V485" s="14">
        <f ca="1">TODAY()-Inventory_Table[[#This Row],[Last_Order_Date]]</f>
        <v>586</v>
      </c>
    </row>
    <row r="486" spans="1:22" x14ac:dyDescent="0.35">
      <c r="A486" t="s">
        <v>371</v>
      </c>
      <c r="B486" t="s">
        <v>75</v>
      </c>
      <c r="C486" t="s">
        <v>1187</v>
      </c>
      <c r="D486" t="s">
        <v>2154</v>
      </c>
      <c r="E486" t="s">
        <v>68</v>
      </c>
      <c r="F486" t="s">
        <v>2155</v>
      </c>
      <c r="G486" t="s">
        <v>2156</v>
      </c>
      <c r="H486" s="1">
        <v>46322</v>
      </c>
      <c r="I486" s="6">
        <v>45565</v>
      </c>
      <c r="J486" s="6">
        <v>46263</v>
      </c>
      <c r="K486">
        <v>67</v>
      </c>
      <c r="L486">
        <v>83</v>
      </c>
      <c r="M486">
        <v>90</v>
      </c>
      <c r="N486" s="8">
        <v>11.6</v>
      </c>
      <c r="O486">
        <v>66</v>
      </c>
      <c r="P486">
        <v>77</v>
      </c>
      <c r="Q486" s="3">
        <v>-0.02</v>
      </c>
      <c r="R486">
        <f>Inventory_Table[[#This Row],[Stock_Quantity]]*Inventory_Table[[#This Row],[Unit_Price]]</f>
        <v>777.19999999999993</v>
      </c>
      <c r="S486">
        <f>Inventory_Table[[#This Row],[Sales_Volume]]*Inventory_Table[[#This Row],[Unit_Price]]</f>
        <v>765.6</v>
      </c>
      <c r="T486" t="str">
        <f>IF(Inventory_Table[[#This Row],[Stock_Quantity]]&lt;=Inventory_Table[[#This Row],[Reorder_Level]],"REORDER","OK")</f>
        <v>REORDER</v>
      </c>
      <c r="U486" t="s">
        <v>3836</v>
      </c>
      <c r="V486" s="14">
        <f ca="1">TODAY()-Inventory_Table[[#This Row],[Last_Order_Date]]</f>
        <v>611</v>
      </c>
    </row>
    <row r="487" spans="1:22" x14ac:dyDescent="0.35">
      <c r="A487" t="s">
        <v>718</v>
      </c>
      <c r="B487" t="s">
        <v>65</v>
      </c>
      <c r="C487" t="s">
        <v>1536</v>
      </c>
      <c r="D487" t="s">
        <v>2158</v>
      </c>
      <c r="E487" t="s">
        <v>30</v>
      </c>
      <c r="F487" t="s">
        <v>2159</v>
      </c>
      <c r="G487" t="s">
        <v>2160</v>
      </c>
      <c r="H487" s="1">
        <v>46322</v>
      </c>
      <c r="I487" s="6">
        <v>45712</v>
      </c>
      <c r="J487" s="6">
        <v>46381</v>
      </c>
      <c r="K487">
        <v>29</v>
      </c>
      <c r="L487">
        <v>54</v>
      </c>
      <c r="M487">
        <v>54</v>
      </c>
      <c r="N487" s="8">
        <v>2</v>
      </c>
      <c r="O487">
        <v>58</v>
      </c>
      <c r="P487">
        <v>63</v>
      </c>
      <c r="Q487" s="3">
        <v>-0.17</v>
      </c>
      <c r="R487">
        <f>Inventory_Table[[#This Row],[Stock_Quantity]]*Inventory_Table[[#This Row],[Unit_Price]]</f>
        <v>58</v>
      </c>
      <c r="S487">
        <f>Inventory_Table[[#This Row],[Sales_Volume]]*Inventory_Table[[#This Row],[Unit_Price]]</f>
        <v>116</v>
      </c>
      <c r="T487" t="str">
        <f>IF(Inventory_Table[[#This Row],[Stock_Quantity]]&lt;=Inventory_Table[[#This Row],[Reorder_Level]],"REORDER","OK")</f>
        <v>REORDER</v>
      </c>
      <c r="U487" t="s">
        <v>3836</v>
      </c>
      <c r="V487" s="14">
        <f ca="1">TODAY()-Inventory_Table[[#This Row],[Last_Order_Date]]</f>
        <v>464</v>
      </c>
    </row>
    <row r="488" spans="1:22" x14ac:dyDescent="0.35">
      <c r="A488" t="s">
        <v>43</v>
      </c>
      <c r="B488" t="s">
        <v>18</v>
      </c>
      <c r="C488" t="s">
        <v>345</v>
      </c>
      <c r="D488" t="s">
        <v>2161</v>
      </c>
      <c r="E488" t="s">
        <v>21</v>
      </c>
      <c r="F488" t="s">
        <v>2162</v>
      </c>
      <c r="G488" t="s">
        <v>2163</v>
      </c>
      <c r="H488" s="1">
        <v>46322</v>
      </c>
      <c r="I488" s="6">
        <v>45364</v>
      </c>
      <c r="J488" s="6">
        <v>46136</v>
      </c>
      <c r="K488">
        <v>61</v>
      </c>
      <c r="L488">
        <v>81</v>
      </c>
      <c r="M488">
        <v>99</v>
      </c>
      <c r="N488" s="8">
        <v>1.5</v>
      </c>
      <c r="O488">
        <v>26</v>
      </c>
      <c r="P488">
        <v>76</v>
      </c>
      <c r="Q488" s="3">
        <v>-0.09</v>
      </c>
      <c r="R488">
        <f>Inventory_Table[[#This Row],[Stock_Quantity]]*Inventory_Table[[#This Row],[Unit_Price]]</f>
        <v>91.5</v>
      </c>
      <c r="S488">
        <f>Inventory_Table[[#This Row],[Sales_Volume]]*Inventory_Table[[#This Row],[Unit_Price]]</f>
        <v>39</v>
      </c>
      <c r="T488" t="str">
        <f>IF(Inventory_Table[[#This Row],[Stock_Quantity]]&lt;=Inventory_Table[[#This Row],[Reorder_Level]],"REORDER","OK")</f>
        <v>REORDER</v>
      </c>
      <c r="U488" t="s">
        <v>3838</v>
      </c>
      <c r="V488" s="14">
        <f ca="1">TODAY()-Inventory_Table[[#This Row],[Last_Order_Date]]</f>
        <v>812</v>
      </c>
    </row>
    <row r="489" spans="1:22" x14ac:dyDescent="0.35">
      <c r="A489" t="s">
        <v>122</v>
      </c>
      <c r="B489" t="s">
        <v>18</v>
      </c>
      <c r="C489" t="s">
        <v>2164</v>
      </c>
      <c r="D489" t="s">
        <v>2165</v>
      </c>
      <c r="E489" t="s">
        <v>68</v>
      </c>
      <c r="F489" t="s">
        <v>2166</v>
      </c>
      <c r="G489" t="s">
        <v>2167</v>
      </c>
      <c r="H489" s="1">
        <v>46323</v>
      </c>
      <c r="I489" s="6">
        <v>45483</v>
      </c>
      <c r="J489" s="6">
        <v>46105</v>
      </c>
      <c r="K489">
        <v>52</v>
      </c>
      <c r="L489">
        <v>22</v>
      </c>
      <c r="M489">
        <v>37</v>
      </c>
      <c r="N489" s="8">
        <v>2.5</v>
      </c>
      <c r="O489">
        <v>56</v>
      </c>
      <c r="P489">
        <v>44</v>
      </c>
      <c r="Q489" s="3">
        <v>-1.92</v>
      </c>
      <c r="R489">
        <f>Inventory_Table[[#This Row],[Stock_Quantity]]*Inventory_Table[[#This Row],[Unit_Price]]</f>
        <v>130</v>
      </c>
      <c r="S489">
        <f>Inventory_Table[[#This Row],[Sales_Volume]]*Inventory_Table[[#This Row],[Unit_Price]]</f>
        <v>140</v>
      </c>
      <c r="T489" t="str">
        <f>IF(Inventory_Table[[#This Row],[Stock_Quantity]]&lt;=Inventory_Table[[#This Row],[Reorder_Level]],"REORDER","OK")</f>
        <v>OK</v>
      </c>
      <c r="U489" t="s">
        <v>3838</v>
      </c>
      <c r="V489" s="14">
        <f ca="1">TODAY()-Inventory_Table[[#This Row],[Last_Order_Date]]</f>
        <v>693</v>
      </c>
    </row>
    <row r="490" spans="1:22" x14ac:dyDescent="0.35">
      <c r="A490" t="s">
        <v>591</v>
      </c>
      <c r="B490" t="s">
        <v>18</v>
      </c>
      <c r="C490" t="s">
        <v>1230</v>
      </c>
      <c r="D490" t="s">
        <v>2168</v>
      </c>
      <c r="E490" t="s">
        <v>30</v>
      </c>
      <c r="F490" t="s">
        <v>2169</v>
      </c>
      <c r="G490" t="s">
        <v>2170</v>
      </c>
      <c r="H490" s="1">
        <v>46323</v>
      </c>
      <c r="I490" s="6">
        <v>45641</v>
      </c>
      <c r="J490" s="6">
        <v>46242</v>
      </c>
      <c r="K490">
        <v>28</v>
      </c>
      <c r="L490">
        <v>38</v>
      </c>
      <c r="M490">
        <v>23</v>
      </c>
      <c r="N490" s="8">
        <v>42.58</v>
      </c>
      <c r="O490">
        <v>48</v>
      </c>
      <c r="P490">
        <v>56</v>
      </c>
      <c r="Q490" s="3">
        <v>0.21</v>
      </c>
      <c r="R490">
        <f>Inventory_Table[[#This Row],[Stock_Quantity]]*Inventory_Table[[#This Row],[Unit_Price]]</f>
        <v>1192.24</v>
      </c>
      <c r="S490">
        <f>Inventory_Table[[#This Row],[Sales_Volume]]*Inventory_Table[[#This Row],[Unit_Price]]</f>
        <v>2043.84</v>
      </c>
      <c r="T490" t="str">
        <f>IF(Inventory_Table[[#This Row],[Stock_Quantity]]&lt;=Inventory_Table[[#This Row],[Reorder_Level]],"REORDER","OK")</f>
        <v>REORDER</v>
      </c>
      <c r="U490" t="s">
        <v>3836</v>
      </c>
      <c r="V490" s="14">
        <f ca="1">TODAY()-Inventory_Table[[#This Row],[Last_Order_Date]]</f>
        <v>535</v>
      </c>
    </row>
    <row r="491" spans="1:22" x14ac:dyDescent="0.35">
      <c r="A491" t="s">
        <v>222</v>
      </c>
      <c r="B491" t="s">
        <v>65</v>
      </c>
      <c r="C491" t="s">
        <v>2172</v>
      </c>
      <c r="D491" t="s">
        <v>2173</v>
      </c>
      <c r="E491" t="s">
        <v>68</v>
      </c>
      <c r="F491" t="s">
        <v>2174</v>
      </c>
      <c r="G491" t="s">
        <v>2175</v>
      </c>
      <c r="H491" s="1">
        <v>46324</v>
      </c>
      <c r="I491" s="6">
        <v>45655</v>
      </c>
      <c r="J491" s="6">
        <v>46078</v>
      </c>
      <c r="K491">
        <v>84</v>
      </c>
      <c r="L491">
        <v>92</v>
      </c>
      <c r="M491">
        <v>18</v>
      </c>
      <c r="N491" s="8">
        <v>1.5</v>
      </c>
      <c r="O491">
        <v>92</v>
      </c>
      <c r="P491">
        <v>69</v>
      </c>
      <c r="Q491" s="3">
        <v>-0.17</v>
      </c>
      <c r="R491">
        <f>Inventory_Table[[#This Row],[Stock_Quantity]]*Inventory_Table[[#This Row],[Unit_Price]]</f>
        <v>126</v>
      </c>
      <c r="S491">
        <f>Inventory_Table[[#This Row],[Sales_Volume]]*Inventory_Table[[#This Row],[Unit_Price]]</f>
        <v>138</v>
      </c>
      <c r="T491" t="str">
        <f>IF(Inventory_Table[[#This Row],[Stock_Quantity]]&lt;=Inventory_Table[[#This Row],[Reorder_Level]],"REORDER","OK")</f>
        <v>REORDER</v>
      </c>
      <c r="U491" t="s">
        <v>3838</v>
      </c>
      <c r="V491" s="14">
        <f ca="1">TODAY()-Inventory_Table[[#This Row],[Last_Order_Date]]</f>
        <v>521</v>
      </c>
    </row>
    <row r="492" spans="1:22" x14ac:dyDescent="0.35">
      <c r="A492" t="s">
        <v>624</v>
      </c>
      <c r="B492" t="s">
        <v>18</v>
      </c>
      <c r="C492" t="s">
        <v>770</v>
      </c>
      <c r="D492" t="s">
        <v>2176</v>
      </c>
      <c r="E492" t="s">
        <v>30</v>
      </c>
      <c r="F492" t="s">
        <v>2177</v>
      </c>
      <c r="G492" t="s">
        <v>2178</v>
      </c>
      <c r="H492" s="1">
        <v>46324</v>
      </c>
      <c r="I492" s="6">
        <v>45603</v>
      </c>
      <c r="J492" s="6">
        <v>46153</v>
      </c>
      <c r="K492">
        <v>79</v>
      </c>
      <c r="L492">
        <v>45</v>
      </c>
      <c r="M492">
        <v>39</v>
      </c>
      <c r="N492" s="8">
        <v>6</v>
      </c>
      <c r="O492">
        <v>55</v>
      </c>
      <c r="P492">
        <v>20</v>
      </c>
      <c r="Q492" s="3">
        <v>0.25</v>
      </c>
      <c r="R492">
        <f>Inventory_Table[[#This Row],[Stock_Quantity]]*Inventory_Table[[#This Row],[Unit_Price]]</f>
        <v>474</v>
      </c>
      <c r="S492">
        <f>Inventory_Table[[#This Row],[Sales_Volume]]*Inventory_Table[[#This Row],[Unit_Price]]</f>
        <v>330</v>
      </c>
      <c r="T492" t="str">
        <f>IF(Inventory_Table[[#This Row],[Stock_Quantity]]&lt;=Inventory_Table[[#This Row],[Reorder_Level]],"REORDER","OK")</f>
        <v>OK</v>
      </c>
      <c r="U492" t="s">
        <v>3838</v>
      </c>
      <c r="V492" s="14">
        <f ca="1">TODAY()-Inventory_Table[[#This Row],[Last_Order_Date]]</f>
        <v>573</v>
      </c>
    </row>
    <row r="493" spans="1:22" x14ac:dyDescent="0.35">
      <c r="A493" t="s">
        <v>308</v>
      </c>
      <c r="B493" t="s">
        <v>27</v>
      </c>
      <c r="C493" t="s">
        <v>265</v>
      </c>
      <c r="D493" t="s">
        <v>2179</v>
      </c>
      <c r="E493" t="s">
        <v>30</v>
      </c>
      <c r="F493" t="s">
        <v>2180</v>
      </c>
      <c r="G493" t="s">
        <v>2181</v>
      </c>
      <c r="H493" s="1">
        <v>46324</v>
      </c>
      <c r="I493" s="6">
        <v>45584</v>
      </c>
      <c r="J493" s="6">
        <v>46220</v>
      </c>
      <c r="K493">
        <v>39</v>
      </c>
      <c r="L493">
        <v>78</v>
      </c>
      <c r="M493">
        <v>97</v>
      </c>
      <c r="N493" s="8">
        <v>6.5</v>
      </c>
      <c r="O493">
        <v>54</v>
      </c>
      <c r="P493">
        <v>89</v>
      </c>
      <c r="Q493" s="3">
        <v>0.64</v>
      </c>
      <c r="R493">
        <f>Inventory_Table[[#This Row],[Stock_Quantity]]*Inventory_Table[[#This Row],[Unit_Price]]</f>
        <v>253.5</v>
      </c>
      <c r="S493">
        <f>Inventory_Table[[#This Row],[Sales_Volume]]*Inventory_Table[[#This Row],[Unit_Price]]</f>
        <v>351</v>
      </c>
      <c r="T493" t="str">
        <f>IF(Inventory_Table[[#This Row],[Stock_Quantity]]&lt;=Inventory_Table[[#This Row],[Reorder_Level]],"REORDER","OK")</f>
        <v>REORDER</v>
      </c>
      <c r="U493" t="s">
        <v>3836</v>
      </c>
      <c r="V493" s="14">
        <f ca="1">TODAY()-Inventory_Table[[#This Row],[Last_Order_Date]]</f>
        <v>592</v>
      </c>
    </row>
    <row r="494" spans="1:22" x14ac:dyDescent="0.35">
      <c r="A494" t="s">
        <v>750</v>
      </c>
      <c r="B494" t="s">
        <v>36</v>
      </c>
      <c r="C494" t="s">
        <v>2182</v>
      </c>
      <c r="D494" t="s">
        <v>2183</v>
      </c>
      <c r="E494" t="s">
        <v>21</v>
      </c>
      <c r="F494" t="s">
        <v>2184</v>
      </c>
      <c r="G494" t="s">
        <v>2185</v>
      </c>
      <c r="H494" s="1">
        <v>46324</v>
      </c>
      <c r="I494" s="6">
        <v>45391</v>
      </c>
      <c r="J494" s="6">
        <v>46174</v>
      </c>
      <c r="K494">
        <v>69</v>
      </c>
      <c r="L494">
        <v>98</v>
      </c>
      <c r="M494">
        <v>89</v>
      </c>
      <c r="N494" s="8">
        <v>2.5499999999999998</v>
      </c>
      <c r="O494">
        <v>29</v>
      </c>
      <c r="P494">
        <v>34</v>
      </c>
      <c r="Q494" s="3">
        <v>-0.65</v>
      </c>
      <c r="R494">
        <f>Inventory_Table[[#This Row],[Stock_Quantity]]*Inventory_Table[[#This Row],[Unit_Price]]</f>
        <v>175.95</v>
      </c>
      <c r="S494">
        <f>Inventory_Table[[#This Row],[Sales_Volume]]*Inventory_Table[[#This Row],[Unit_Price]]</f>
        <v>73.949999999999989</v>
      </c>
      <c r="T494" t="str">
        <f>IF(Inventory_Table[[#This Row],[Stock_Quantity]]&lt;=Inventory_Table[[#This Row],[Reorder_Level]],"REORDER","OK")</f>
        <v>REORDER</v>
      </c>
      <c r="U494" t="s">
        <v>3837</v>
      </c>
      <c r="V494" s="14">
        <f ca="1">TODAY()-Inventory_Table[[#This Row],[Last_Order_Date]]</f>
        <v>785</v>
      </c>
    </row>
    <row r="495" spans="1:22" x14ac:dyDescent="0.35">
      <c r="A495" t="s">
        <v>567</v>
      </c>
      <c r="B495" t="s">
        <v>65</v>
      </c>
      <c r="C495" t="s">
        <v>302</v>
      </c>
      <c r="D495" t="s">
        <v>2186</v>
      </c>
      <c r="E495" t="s">
        <v>30</v>
      </c>
      <c r="F495" t="s">
        <v>2187</v>
      </c>
      <c r="G495" t="s">
        <v>2188</v>
      </c>
      <c r="H495" s="1">
        <v>46324</v>
      </c>
      <c r="I495" s="6">
        <v>45680</v>
      </c>
      <c r="J495" s="6">
        <v>46101</v>
      </c>
      <c r="K495">
        <v>77</v>
      </c>
      <c r="L495">
        <v>19</v>
      </c>
      <c r="M495">
        <v>31</v>
      </c>
      <c r="N495" s="8">
        <v>9.5</v>
      </c>
      <c r="O495">
        <v>27</v>
      </c>
      <c r="P495">
        <v>25</v>
      </c>
      <c r="Q495" s="3">
        <v>-0.17</v>
      </c>
      <c r="R495">
        <f>Inventory_Table[[#This Row],[Stock_Quantity]]*Inventory_Table[[#This Row],[Unit_Price]]</f>
        <v>731.5</v>
      </c>
      <c r="S495">
        <f>Inventory_Table[[#This Row],[Sales_Volume]]*Inventory_Table[[#This Row],[Unit_Price]]</f>
        <v>256.5</v>
      </c>
      <c r="T495" t="str">
        <f>IF(Inventory_Table[[#This Row],[Stock_Quantity]]&lt;=Inventory_Table[[#This Row],[Reorder_Level]],"REORDER","OK")</f>
        <v>OK</v>
      </c>
      <c r="U495" t="s">
        <v>3838</v>
      </c>
      <c r="V495" s="14">
        <f ca="1">TODAY()-Inventory_Table[[#This Row],[Last_Order_Date]]</f>
        <v>496</v>
      </c>
    </row>
    <row r="496" spans="1:22" x14ac:dyDescent="0.35">
      <c r="A496" t="s">
        <v>1320</v>
      </c>
      <c r="B496" t="s">
        <v>18</v>
      </c>
      <c r="C496" t="s">
        <v>606</v>
      </c>
      <c r="D496" t="s">
        <v>2189</v>
      </c>
      <c r="E496" t="s">
        <v>21</v>
      </c>
      <c r="F496" t="s">
        <v>2190</v>
      </c>
      <c r="G496" t="s">
        <v>2191</v>
      </c>
      <c r="H496" s="1">
        <v>46324</v>
      </c>
      <c r="I496" s="6">
        <v>45484</v>
      </c>
      <c r="J496" s="6">
        <v>46333</v>
      </c>
      <c r="K496">
        <v>29</v>
      </c>
      <c r="L496">
        <v>66</v>
      </c>
      <c r="M496">
        <v>21</v>
      </c>
      <c r="N496" s="8">
        <v>8</v>
      </c>
      <c r="O496">
        <v>74</v>
      </c>
      <c r="P496">
        <v>93</v>
      </c>
      <c r="Q496" s="3">
        <v>7.0000000000000007E-2</v>
      </c>
      <c r="R496">
        <f>Inventory_Table[[#This Row],[Stock_Quantity]]*Inventory_Table[[#This Row],[Unit_Price]]</f>
        <v>232</v>
      </c>
      <c r="S496">
        <f>Inventory_Table[[#This Row],[Sales_Volume]]*Inventory_Table[[#This Row],[Unit_Price]]</f>
        <v>592</v>
      </c>
      <c r="T496" t="str">
        <f>IF(Inventory_Table[[#This Row],[Stock_Quantity]]&lt;=Inventory_Table[[#This Row],[Reorder_Level]],"REORDER","OK")</f>
        <v>REORDER</v>
      </c>
      <c r="U496" t="s">
        <v>3836</v>
      </c>
      <c r="V496" s="14">
        <f ca="1">TODAY()-Inventory_Table[[#This Row],[Last_Order_Date]]</f>
        <v>692</v>
      </c>
    </row>
    <row r="497" spans="1:22" x14ac:dyDescent="0.35">
      <c r="A497" t="s">
        <v>296</v>
      </c>
      <c r="B497" t="s">
        <v>27</v>
      </c>
      <c r="C497" t="s">
        <v>538</v>
      </c>
      <c r="D497" t="s">
        <v>2192</v>
      </c>
      <c r="E497" t="s">
        <v>68</v>
      </c>
      <c r="F497" t="s">
        <v>2193</v>
      </c>
      <c r="G497" t="s">
        <v>2194</v>
      </c>
      <c r="H497" s="1">
        <v>46325</v>
      </c>
      <c r="I497" s="6">
        <v>45435</v>
      </c>
      <c r="J497" s="6">
        <v>46164</v>
      </c>
      <c r="K497">
        <v>69</v>
      </c>
      <c r="L497">
        <v>59</v>
      </c>
      <c r="M497">
        <v>29</v>
      </c>
      <c r="N497" s="8">
        <v>1.8</v>
      </c>
      <c r="O497">
        <v>63</v>
      </c>
      <c r="P497">
        <v>91</v>
      </c>
      <c r="Q497" s="3">
        <v>-0.26</v>
      </c>
      <c r="R497">
        <f>Inventory_Table[[#This Row],[Stock_Quantity]]*Inventory_Table[[#This Row],[Unit_Price]]</f>
        <v>124.2</v>
      </c>
      <c r="S497">
        <f>Inventory_Table[[#This Row],[Sales_Volume]]*Inventory_Table[[#This Row],[Unit_Price]]</f>
        <v>113.4</v>
      </c>
      <c r="T497" t="str">
        <f>IF(Inventory_Table[[#This Row],[Stock_Quantity]]&lt;=Inventory_Table[[#This Row],[Reorder_Level]],"REORDER","OK")</f>
        <v>OK</v>
      </c>
      <c r="U497" t="s">
        <v>3838</v>
      </c>
      <c r="V497" s="14">
        <f ca="1">TODAY()-Inventory_Table[[#This Row],[Last_Order_Date]]</f>
        <v>741</v>
      </c>
    </row>
    <row r="498" spans="1:22" x14ac:dyDescent="0.35">
      <c r="A498" t="s">
        <v>296</v>
      </c>
      <c r="B498" t="s">
        <v>27</v>
      </c>
      <c r="C498" t="s">
        <v>1117</v>
      </c>
      <c r="D498" t="s">
        <v>2195</v>
      </c>
      <c r="E498" t="s">
        <v>68</v>
      </c>
      <c r="F498" t="s">
        <v>2196</v>
      </c>
      <c r="G498" t="s">
        <v>2197</v>
      </c>
      <c r="H498" s="1">
        <v>46326</v>
      </c>
      <c r="I498" s="6">
        <v>45517</v>
      </c>
      <c r="J498" s="6">
        <v>46334</v>
      </c>
      <c r="K498">
        <v>40</v>
      </c>
      <c r="L498">
        <v>2</v>
      </c>
      <c r="M498">
        <v>58</v>
      </c>
      <c r="N498" s="8">
        <v>1.8</v>
      </c>
      <c r="O498">
        <v>71</v>
      </c>
      <c r="P498">
        <v>10</v>
      </c>
      <c r="Q498" s="3">
        <v>-0.44</v>
      </c>
      <c r="R498">
        <f>Inventory_Table[[#This Row],[Stock_Quantity]]*Inventory_Table[[#This Row],[Unit_Price]]</f>
        <v>72</v>
      </c>
      <c r="S498">
        <f>Inventory_Table[[#This Row],[Sales_Volume]]*Inventory_Table[[#This Row],[Unit_Price]]</f>
        <v>127.8</v>
      </c>
      <c r="T498" t="str">
        <f>IF(Inventory_Table[[#This Row],[Stock_Quantity]]&lt;=Inventory_Table[[#This Row],[Reorder_Level]],"REORDER","OK")</f>
        <v>OK</v>
      </c>
      <c r="U498" t="s">
        <v>3836</v>
      </c>
      <c r="V498" s="14">
        <f ca="1">TODAY()-Inventory_Table[[#This Row],[Last_Order_Date]]</f>
        <v>659</v>
      </c>
    </row>
    <row r="499" spans="1:22" x14ac:dyDescent="0.35">
      <c r="A499" t="s">
        <v>376</v>
      </c>
      <c r="B499" t="s">
        <v>18</v>
      </c>
      <c r="C499" t="s">
        <v>201</v>
      </c>
      <c r="D499" t="s">
        <v>2199</v>
      </c>
      <c r="E499" t="s">
        <v>21</v>
      </c>
      <c r="F499" t="s">
        <v>2200</v>
      </c>
      <c r="G499" t="s">
        <v>2201</v>
      </c>
      <c r="H499" s="1">
        <v>46326</v>
      </c>
      <c r="I499" s="6">
        <v>45450</v>
      </c>
      <c r="J499" s="6">
        <v>46104</v>
      </c>
      <c r="K499">
        <v>68</v>
      </c>
      <c r="L499">
        <v>10</v>
      </c>
      <c r="M499">
        <v>29</v>
      </c>
      <c r="N499" s="8">
        <v>2</v>
      </c>
      <c r="O499">
        <v>37</v>
      </c>
      <c r="P499">
        <v>11</v>
      </c>
      <c r="Q499" s="3">
        <v>0.86</v>
      </c>
      <c r="R499">
        <f>Inventory_Table[[#This Row],[Stock_Quantity]]*Inventory_Table[[#This Row],[Unit_Price]]</f>
        <v>136</v>
      </c>
      <c r="S499">
        <f>Inventory_Table[[#This Row],[Sales_Volume]]*Inventory_Table[[#This Row],[Unit_Price]]</f>
        <v>74</v>
      </c>
      <c r="T499" t="str">
        <f>IF(Inventory_Table[[#This Row],[Stock_Quantity]]&lt;=Inventory_Table[[#This Row],[Reorder_Level]],"REORDER","OK")</f>
        <v>OK</v>
      </c>
      <c r="U499" t="s">
        <v>3838</v>
      </c>
      <c r="V499" s="14">
        <f ca="1">TODAY()-Inventory_Table[[#This Row],[Last_Order_Date]]</f>
        <v>726</v>
      </c>
    </row>
    <row r="500" spans="1:22" x14ac:dyDescent="0.35">
      <c r="A500" t="s">
        <v>1008</v>
      </c>
      <c r="B500" t="s">
        <v>18</v>
      </c>
      <c r="C500" t="s">
        <v>2203</v>
      </c>
      <c r="D500" t="s">
        <v>2204</v>
      </c>
      <c r="E500" t="s">
        <v>30</v>
      </c>
      <c r="F500" t="s">
        <v>2205</v>
      </c>
      <c r="G500" t="s">
        <v>2206</v>
      </c>
      <c r="H500" s="1">
        <v>46326</v>
      </c>
      <c r="I500" s="6">
        <v>45405</v>
      </c>
      <c r="J500" s="6">
        <v>46366</v>
      </c>
      <c r="K500">
        <v>75</v>
      </c>
      <c r="L500">
        <v>91</v>
      </c>
      <c r="M500">
        <v>68</v>
      </c>
      <c r="N500" s="8">
        <v>3</v>
      </c>
      <c r="O500">
        <v>96</v>
      </c>
      <c r="P500">
        <v>73</v>
      </c>
      <c r="Q500" s="3">
        <v>0.7</v>
      </c>
      <c r="R500">
        <f>Inventory_Table[[#This Row],[Stock_Quantity]]*Inventory_Table[[#This Row],[Unit_Price]]</f>
        <v>225</v>
      </c>
      <c r="S500">
        <f>Inventory_Table[[#This Row],[Sales_Volume]]*Inventory_Table[[#This Row],[Unit_Price]]</f>
        <v>288</v>
      </c>
      <c r="T500" t="str">
        <f>IF(Inventory_Table[[#This Row],[Stock_Quantity]]&lt;=Inventory_Table[[#This Row],[Reorder_Level]],"REORDER","OK")</f>
        <v>REORDER</v>
      </c>
      <c r="U500" t="s">
        <v>3836</v>
      </c>
      <c r="V500" s="14">
        <f ca="1">TODAY()-Inventory_Table[[#This Row],[Last_Order_Date]]</f>
        <v>771</v>
      </c>
    </row>
    <row r="501" spans="1:22" x14ac:dyDescent="0.35">
      <c r="A501" t="s">
        <v>289</v>
      </c>
      <c r="B501" t="s">
        <v>114</v>
      </c>
      <c r="C501" t="s">
        <v>611</v>
      </c>
      <c r="D501" t="s">
        <v>2207</v>
      </c>
      <c r="E501" t="s">
        <v>30</v>
      </c>
      <c r="F501" t="s">
        <v>2208</v>
      </c>
      <c r="G501" t="s">
        <v>2209</v>
      </c>
      <c r="H501" s="1">
        <v>46339</v>
      </c>
      <c r="I501" s="6">
        <v>45562</v>
      </c>
      <c r="J501" s="6">
        <v>46219</v>
      </c>
      <c r="K501">
        <v>68</v>
      </c>
      <c r="L501">
        <v>29</v>
      </c>
      <c r="M501">
        <v>100</v>
      </c>
      <c r="N501" s="8">
        <v>5</v>
      </c>
      <c r="O501">
        <v>70</v>
      </c>
      <c r="P501">
        <v>26</v>
      </c>
      <c r="Q501" s="3">
        <v>0.24</v>
      </c>
      <c r="R501">
        <f>Inventory_Table[[#This Row],[Stock_Quantity]]*Inventory_Table[[#This Row],[Unit_Price]]</f>
        <v>340</v>
      </c>
      <c r="S501">
        <f>Inventory_Table[[#This Row],[Sales_Volume]]*Inventory_Table[[#This Row],[Unit_Price]]</f>
        <v>350</v>
      </c>
      <c r="T501" t="str">
        <f>IF(Inventory_Table[[#This Row],[Stock_Quantity]]&lt;=Inventory_Table[[#This Row],[Reorder_Level]],"REORDER","OK")</f>
        <v>OK</v>
      </c>
      <c r="U501" t="s">
        <v>3836</v>
      </c>
      <c r="V501" s="14">
        <f ca="1">TODAY()-Inventory_Table[[#This Row],[Last_Order_Date]]</f>
        <v>614</v>
      </c>
    </row>
    <row r="502" spans="1:22" x14ac:dyDescent="0.35">
      <c r="A502" t="s">
        <v>162</v>
      </c>
      <c r="B502" t="s">
        <v>163</v>
      </c>
      <c r="C502" t="s">
        <v>2210</v>
      </c>
      <c r="D502" t="s">
        <v>2211</v>
      </c>
      <c r="E502" t="s">
        <v>68</v>
      </c>
      <c r="F502" t="s">
        <v>2212</v>
      </c>
      <c r="G502" t="s">
        <v>2213</v>
      </c>
      <c r="H502" s="1">
        <v>46339</v>
      </c>
      <c r="I502" s="6">
        <v>45530</v>
      </c>
      <c r="J502" s="6">
        <v>46257</v>
      </c>
      <c r="K502">
        <v>78</v>
      </c>
      <c r="L502">
        <v>34</v>
      </c>
      <c r="M502">
        <v>39</v>
      </c>
      <c r="N502" s="8">
        <v>20.5</v>
      </c>
      <c r="O502">
        <v>62</v>
      </c>
      <c r="P502">
        <v>2</v>
      </c>
      <c r="Q502" s="3">
        <v>0.63</v>
      </c>
      <c r="R502">
        <f>Inventory_Table[[#This Row],[Stock_Quantity]]*Inventory_Table[[#This Row],[Unit_Price]]</f>
        <v>1599</v>
      </c>
      <c r="S502">
        <f>Inventory_Table[[#This Row],[Sales_Volume]]*Inventory_Table[[#This Row],[Unit_Price]]</f>
        <v>1271</v>
      </c>
      <c r="T502" t="str">
        <f>IF(Inventory_Table[[#This Row],[Stock_Quantity]]&lt;=Inventory_Table[[#This Row],[Reorder_Level]],"REORDER","OK")</f>
        <v>OK</v>
      </c>
      <c r="U502" t="s">
        <v>3836</v>
      </c>
      <c r="V502" s="14">
        <f ca="1">TODAY()-Inventory_Table[[#This Row],[Last_Order_Date]]</f>
        <v>646</v>
      </c>
    </row>
    <row r="503" spans="1:22" x14ac:dyDescent="0.35">
      <c r="A503" t="s">
        <v>89</v>
      </c>
      <c r="B503" t="s">
        <v>36</v>
      </c>
      <c r="C503" t="s">
        <v>1950</v>
      </c>
      <c r="D503" t="s">
        <v>2215</v>
      </c>
      <c r="E503" t="s">
        <v>30</v>
      </c>
      <c r="F503" t="s">
        <v>2216</v>
      </c>
      <c r="G503" t="s">
        <v>2217</v>
      </c>
      <c r="H503" s="1">
        <v>46340</v>
      </c>
      <c r="I503" s="6">
        <v>45435</v>
      </c>
      <c r="J503" s="6">
        <v>46309</v>
      </c>
      <c r="K503">
        <v>76</v>
      </c>
      <c r="L503">
        <v>98</v>
      </c>
      <c r="M503">
        <v>41</v>
      </c>
      <c r="N503" s="8">
        <v>1.75</v>
      </c>
      <c r="O503">
        <v>62</v>
      </c>
      <c r="P503">
        <v>48</v>
      </c>
      <c r="Q503" s="3">
        <v>0.97</v>
      </c>
      <c r="R503">
        <f>Inventory_Table[[#This Row],[Stock_Quantity]]*Inventory_Table[[#This Row],[Unit_Price]]</f>
        <v>133</v>
      </c>
      <c r="S503">
        <f>Inventory_Table[[#This Row],[Sales_Volume]]*Inventory_Table[[#This Row],[Unit_Price]]</f>
        <v>108.5</v>
      </c>
      <c r="T503" t="str">
        <f>IF(Inventory_Table[[#This Row],[Stock_Quantity]]&lt;=Inventory_Table[[#This Row],[Reorder_Level]],"REORDER","OK")</f>
        <v>REORDER</v>
      </c>
      <c r="U503" t="s">
        <v>3836</v>
      </c>
      <c r="V503" s="14">
        <f ca="1">TODAY()-Inventory_Table[[#This Row],[Last_Order_Date]]</f>
        <v>741</v>
      </c>
    </row>
    <row r="504" spans="1:22" x14ac:dyDescent="0.35">
      <c r="A504" t="s">
        <v>1440</v>
      </c>
      <c r="B504" t="s">
        <v>18</v>
      </c>
      <c r="C504" t="s">
        <v>1004</v>
      </c>
      <c r="D504" t="s">
        <v>2218</v>
      </c>
      <c r="E504" t="s">
        <v>21</v>
      </c>
      <c r="F504" t="s">
        <v>2219</v>
      </c>
      <c r="G504" t="s">
        <v>2220</v>
      </c>
      <c r="H504" s="1">
        <v>46340</v>
      </c>
      <c r="I504" s="6">
        <v>45626</v>
      </c>
      <c r="J504" s="6">
        <v>46103</v>
      </c>
      <c r="K504">
        <v>27</v>
      </c>
      <c r="L504">
        <v>64</v>
      </c>
      <c r="M504">
        <v>43</v>
      </c>
      <c r="N504" s="8">
        <v>3</v>
      </c>
      <c r="O504">
        <v>70</v>
      </c>
      <c r="P504">
        <v>58</v>
      </c>
      <c r="Q504" s="3">
        <v>0.23</v>
      </c>
      <c r="R504">
        <f>Inventory_Table[[#This Row],[Stock_Quantity]]*Inventory_Table[[#This Row],[Unit_Price]]</f>
        <v>81</v>
      </c>
      <c r="S504">
        <f>Inventory_Table[[#This Row],[Sales_Volume]]*Inventory_Table[[#This Row],[Unit_Price]]</f>
        <v>210</v>
      </c>
      <c r="T504" t="str">
        <f>IF(Inventory_Table[[#This Row],[Stock_Quantity]]&lt;=Inventory_Table[[#This Row],[Reorder_Level]],"REORDER","OK")</f>
        <v>REORDER</v>
      </c>
      <c r="U504" t="s">
        <v>3838</v>
      </c>
      <c r="V504" s="14">
        <f ca="1">TODAY()-Inventory_Table[[#This Row],[Last_Order_Date]]</f>
        <v>550</v>
      </c>
    </row>
    <row r="505" spans="1:22" x14ac:dyDescent="0.35">
      <c r="A505" t="s">
        <v>162</v>
      </c>
      <c r="B505" t="s">
        <v>163</v>
      </c>
      <c r="C505" t="s">
        <v>1570</v>
      </c>
      <c r="D505" t="s">
        <v>2221</v>
      </c>
      <c r="E505" t="s">
        <v>68</v>
      </c>
      <c r="F505" t="s">
        <v>2222</v>
      </c>
      <c r="G505" t="s">
        <v>2223</v>
      </c>
      <c r="H505" s="1">
        <v>46341</v>
      </c>
      <c r="I505" s="6">
        <v>45349</v>
      </c>
      <c r="J505" s="6">
        <v>46423</v>
      </c>
      <c r="K505">
        <v>74</v>
      </c>
      <c r="L505">
        <v>72</v>
      </c>
      <c r="M505">
        <v>18</v>
      </c>
      <c r="N505" s="8">
        <v>21</v>
      </c>
      <c r="O505">
        <v>83</v>
      </c>
      <c r="P505">
        <v>54</v>
      </c>
      <c r="Q505" s="3">
        <v>0.17</v>
      </c>
      <c r="R505">
        <f>Inventory_Table[[#This Row],[Stock_Quantity]]*Inventory_Table[[#This Row],[Unit_Price]]</f>
        <v>1554</v>
      </c>
      <c r="S505">
        <f>Inventory_Table[[#This Row],[Sales_Volume]]*Inventory_Table[[#This Row],[Unit_Price]]</f>
        <v>1743</v>
      </c>
      <c r="T505" t="str">
        <f>IF(Inventory_Table[[#This Row],[Stock_Quantity]]&lt;=Inventory_Table[[#This Row],[Reorder_Level]],"REORDER","OK")</f>
        <v>OK</v>
      </c>
      <c r="U505" t="s">
        <v>3836</v>
      </c>
      <c r="V505" s="14">
        <f ca="1">TODAY()-Inventory_Table[[#This Row],[Last_Order_Date]]</f>
        <v>827</v>
      </c>
    </row>
    <row r="506" spans="1:22" x14ac:dyDescent="0.35">
      <c r="A506" t="s">
        <v>222</v>
      </c>
      <c r="B506" t="s">
        <v>65</v>
      </c>
      <c r="C506" t="s">
        <v>2225</v>
      </c>
      <c r="D506" t="s">
        <v>2226</v>
      </c>
      <c r="E506" t="s">
        <v>68</v>
      </c>
      <c r="F506" t="s">
        <v>2227</v>
      </c>
      <c r="G506" t="s">
        <v>2228</v>
      </c>
      <c r="H506" s="1">
        <v>46342</v>
      </c>
      <c r="I506" s="6">
        <v>45360</v>
      </c>
      <c r="J506" s="6">
        <v>46117</v>
      </c>
      <c r="K506">
        <v>27</v>
      </c>
      <c r="L506">
        <v>93</v>
      </c>
      <c r="M506">
        <v>88</v>
      </c>
      <c r="N506" s="8">
        <v>1.5</v>
      </c>
      <c r="O506">
        <v>66</v>
      </c>
      <c r="P506">
        <v>13</v>
      </c>
      <c r="Q506" s="3">
        <v>0.35</v>
      </c>
      <c r="R506">
        <f>Inventory_Table[[#This Row],[Stock_Quantity]]*Inventory_Table[[#This Row],[Unit_Price]]</f>
        <v>40.5</v>
      </c>
      <c r="S506">
        <f>Inventory_Table[[#This Row],[Sales_Volume]]*Inventory_Table[[#This Row],[Unit_Price]]</f>
        <v>99</v>
      </c>
      <c r="T506" t="str">
        <f>IF(Inventory_Table[[#This Row],[Stock_Quantity]]&lt;=Inventory_Table[[#This Row],[Reorder_Level]],"REORDER","OK")</f>
        <v>REORDER</v>
      </c>
      <c r="U506" t="s">
        <v>3838</v>
      </c>
      <c r="V506" s="14">
        <f ca="1">TODAY()-Inventory_Table[[#This Row],[Last_Order_Date]]</f>
        <v>816</v>
      </c>
    </row>
    <row r="507" spans="1:22" x14ac:dyDescent="0.35">
      <c r="A507" t="s">
        <v>253</v>
      </c>
      <c r="B507" t="s">
        <v>65</v>
      </c>
      <c r="C507" t="s">
        <v>963</v>
      </c>
      <c r="D507" t="s">
        <v>2229</v>
      </c>
      <c r="E507" t="s">
        <v>30</v>
      </c>
      <c r="F507" t="s">
        <v>2230</v>
      </c>
      <c r="G507" t="s">
        <v>2231</v>
      </c>
      <c r="H507" s="1">
        <v>46342</v>
      </c>
      <c r="I507" s="6">
        <v>45460</v>
      </c>
      <c r="J507" s="6">
        <v>46424</v>
      </c>
      <c r="K507">
        <v>15</v>
      </c>
      <c r="L507">
        <v>76</v>
      </c>
      <c r="M507">
        <v>81</v>
      </c>
      <c r="N507" s="8">
        <v>2</v>
      </c>
      <c r="O507">
        <v>90</v>
      </c>
      <c r="P507">
        <v>26</v>
      </c>
      <c r="Q507" s="3">
        <v>0.8</v>
      </c>
      <c r="R507">
        <f>Inventory_Table[[#This Row],[Stock_Quantity]]*Inventory_Table[[#This Row],[Unit_Price]]</f>
        <v>30</v>
      </c>
      <c r="S507">
        <f>Inventory_Table[[#This Row],[Sales_Volume]]*Inventory_Table[[#This Row],[Unit_Price]]</f>
        <v>180</v>
      </c>
      <c r="T507" t="str">
        <f>IF(Inventory_Table[[#This Row],[Stock_Quantity]]&lt;=Inventory_Table[[#This Row],[Reorder_Level]],"REORDER","OK")</f>
        <v>REORDER</v>
      </c>
      <c r="U507" t="s">
        <v>3836</v>
      </c>
      <c r="V507" s="14">
        <f ca="1">TODAY()-Inventory_Table[[#This Row],[Last_Order_Date]]</f>
        <v>716</v>
      </c>
    </row>
    <row r="508" spans="1:22" x14ac:dyDescent="0.35">
      <c r="A508" t="s">
        <v>750</v>
      </c>
      <c r="B508" t="s">
        <v>36</v>
      </c>
      <c r="C508" t="s">
        <v>1519</v>
      </c>
      <c r="D508" t="s">
        <v>2232</v>
      </c>
      <c r="E508" t="s">
        <v>68</v>
      </c>
      <c r="F508" t="s">
        <v>2233</v>
      </c>
      <c r="G508" t="s">
        <v>2234</v>
      </c>
      <c r="H508" s="1">
        <v>46342</v>
      </c>
      <c r="I508" s="6">
        <v>45531</v>
      </c>
      <c r="J508" s="6">
        <v>46310</v>
      </c>
      <c r="K508">
        <v>60</v>
      </c>
      <c r="L508">
        <v>1</v>
      </c>
      <c r="M508">
        <v>42</v>
      </c>
      <c r="N508" s="8">
        <v>2.4500000000000002</v>
      </c>
      <c r="O508">
        <v>42</v>
      </c>
      <c r="P508">
        <v>91</v>
      </c>
      <c r="Q508" s="3">
        <v>0.71</v>
      </c>
      <c r="R508">
        <f>Inventory_Table[[#This Row],[Stock_Quantity]]*Inventory_Table[[#This Row],[Unit_Price]]</f>
        <v>147</v>
      </c>
      <c r="S508">
        <f>Inventory_Table[[#This Row],[Sales_Volume]]*Inventory_Table[[#This Row],[Unit_Price]]</f>
        <v>102.9</v>
      </c>
      <c r="T508" t="str">
        <f>IF(Inventory_Table[[#This Row],[Stock_Quantity]]&lt;=Inventory_Table[[#This Row],[Reorder_Level]],"REORDER","OK")</f>
        <v>OK</v>
      </c>
      <c r="U508" t="s">
        <v>3836</v>
      </c>
      <c r="V508" s="14">
        <f ca="1">TODAY()-Inventory_Table[[#This Row],[Last_Order_Date]]</f>
        <v>645</v>
      </c>
    </row>
    <row r="509" spans="1:22" x14ac:dyDescent="0.35">
      <c r="A509" t="s">
        <v>212</v>
      </c>
      <c r="B509" t="s">
        <v>75</v>
      </c>
      <c r="C509" t="s">
        <v>1893</v>
      </c>
      <c r="D509" t="s">
        <v>2235</v>
      </c>
      <c r="E509" t="s">
        <v>30</v>
      </c>
      <c r="F509" t="s">
        <v>2236</v>
      </c>
      <c r="G509" t="s">
        <v>2237</v>
      </c>
      <c r="H509" s="1">
        <v>46343</v>
      </c>
      <c r="I509" s="6">
        <v>45448</v>
      </c>
      <c r="J509" s="6">
        <v>46089</v>
      </c>
      <c r="K509">
        <v>95</v>
      </c>
      <c r="L509">
        <v>63</v>
      </c>
      <c r="M509">
        <v>73</v>
      </c>
      <c r="N509" s="8">
        <v>7</v>
      </c>
      <c r="O509">
        <v>61</v>
      </c>
      <c r="P509">
        <v>38</v>
      </c>
      <c r="Q509" s="3">
        <v>-1.17</v>
      </c>
      <c r="R509">
        <f>Inventory_Table[[#This Row],[Stock_Quantity]]*Inventory_Table[[#This Row],[Unit_Price]]</f>
        <v>665</v>
      </c>
      <c r="S509">
        <f>Inventory_Table[[#This Row],[Sales_Volume]]*Inventory_Table[[#This Row],[Unit_Price]]</f>
        <v>427</v>
      </c>
      <c r="T509" t="str">
        <f>IF(Inventory_Table[[#This Row],[Stock_Quantity]]&lt;=Inventory_Table[[#This Row],[Reorder_Level]],"REORDER","OK")</f>
        <v>OK</v>
      </c>
      <c r="U509" t="s">
        <v>3838</v>
      </c>
      <c r="V509" s="14">
        <f ca="1">TODAY()-Inventory_Table[[#This Row],[Last_Order_Date]]</f>
        <v>728</v>
      </c>
    </row>
    <row r="510" spans="1:22" x14ac:dyDescent="0.35">
      <c r="A510" t="s">
        <v>162</v>
      </c>
      <c r="B510" t="s">
        <v>163</v>
      </c>
      <c r="C510" t="s">
        <v>164</v>
      </c>
      <c r="D510" t="s">
        <v>2238</v>
      </c>
      <c r="E510" t="s">
        <v>21</v>
      </c>
      <c r="F510" t="s">
        <v>2239</v>
      </c>
      <c r="G510" t="s">
        <v>2240</v>
      </c>
      <c r="H510" s="1">
        <v>46343</v>
      </c>
      <c r="I510" s="6">
        <v>45537</v>
      </c>
      <c r="J510" s="6">
        <v>46272</v>
      </c>
      <c r="K510">
        <v>21</v>
      </c>
      <c r="L510">
        <v>87</v>
      </c>
      <c r="M510">
        <v>12</v>
      </c>
      <c r="N510" s="8">
        <v>21</v>
      </c>
      <c r="O510">
        <v>20</v>
      </c>
      <c r="P510">
        <v>38</v>
      </c>
      <c r="Q510" s="3">
        <v>0.38</v>
      </c>
      <c r="R510">
        <f>Inventory_Table[[#This Row],[Stock_Quantity]]*Inventory_Table[[#This Row],[Unit_Price]]</f>
        <v>441</v>
      </c>
      <c r="S510">
        <f>Inventory_Table[[#This Row],[Sales_Volume]]*Inventory_Table[[#This Row],[Unit_Price]]</f>
        <v>420</v>
      </c>
      <c r="T510" t="str">
        <f>IF(Inventory_Table[[#This Row],[Stock_Quantity]]&lt;=Inventory_Table[[#This Row],[Reorder_Level]],"REORDER","OK")</f>
        <v>REORDER</v>
      </c>
      <c r="U510" t="s">
        <v>3836</v>
      </c>
      <c r="V510" s="14">
        <f ca="1">TODAY()-Inventory_Table[[#This Row],[Last_Order_Date]]</f>
        <v>639</v>
      </c>
    </row>
    <row r="511" spans="1:22" x14ac:dyDescent="0.35">
      <c r="A511" t="s">
        <v>1704</v>
      </c>
      <c r="B511" t="s">
        <v>18</v>
      </c>
      <c r="C511" t="s">
        <v>429</v>
      </c>
      <c r="D511" t="s">
        <v>2241</v>
      </c>
      <c r="E511" t="s">
        <v>21</v>
      </c>
      <c r="F511" t="s">
        <v>2242</v>
      </c>
      <c r="G511" t="s">
        <v>2243</v>
      </c>
      <c r="H511" s="1">
        <v>46343</v>
      </c>
      <c r="I511" s="6">
        <v>45699</v>
      </c>
      <c r="J511" s="6">
        <v>46145</v>
      </c>
      <c r="K511">
        <v>89</v>
      </c>
      <c r="L511">
        <v>15</v>
      </c>
      <c r="M511">
        <v>22</v>
      </c>
      <c r="N511" s="8">
        <v>10</v>
      </c>
      <c r="O511">
        <v>79</v>
      </c>
      <c r="P511">
        <v>42</v>
      </c>
      <c r="Q511" s="3">
        <v>-0.9</v>
      </c>
      <c r="R511">
        <f>Inventory_Table[[#This Row],[Stock_Quantity]]*Inventory_Table[[#This Row],[Unit_Price]]</f>
        <v>890</v>
      </c>
      <c r="S511">
        <f>Inventory_Table[[#This Row],[Sales_Volume]]*Inventory_Table[[#This Row],[Unit_Price]]</f>
        <v>790</v>
      </c>
      <c r="T511" t="str">
        <f>IF(Inventory_Table[[#This Row],[Stock_Quantity]]&lt;=Inventory_Table[[#This Row],[Reorder_Level]],"REORDER","OK")</f>
        <v>OK</v>
      </c>
      <c r="U511" t="s">
        <v>3838</v>
      </c>
      <c r="V511" s="14">
        <f ca="1">TODAY()-Inventory_Table[[#This Row],[Last_Order_Date]]</f>
        <v>477</v>
      </c>
    </row>
    <row r="512" spans="1:22" x14ac:dyDescent="0.35">
      <c r="A512" t="s">
        <v>356</v>
      </c>
      <c r="B512" t="s">
        <v>18</v>
      </c>
      <c r="C512" t="s">
        <v>259</v>
      </c>
      <c r="D512" t="s">
        <v>2244</v>
      </c>
      <c r="E512" t="s">
        <v>68</v>
      </c>
      <c r="F512" t="s">
        <v>2245</v>
      </c>
      <c r="G512" t="s">
        <v>2246</v>
      </c>
      <c r="H512" s="1">
        <v>46343</v>
      </c>
      <c r="I512" s="6">
        <v>45366</v>
      </c>
      <c r="J512" s="6">
        <v>46317</v>
      </c>
      <c r="K512">
        <v>14</v>
      </c>
      <c r="L512">
        <v>81</v>
      </c>
      <c r="M512">
        <v>65</v>
      </c>
      <c r="N512" s="8">
        <v>3.5</v>
      </c>
      <c r="O512">
        <v>74</v>
      </c>
      <c r="P512">
        <v>84</v>
      </c>
      <c r="Q512" s="3">
        <v>0.47</v>
      </c>
      <c r="R512">
        <f>Inventory_Table[[#This Row],[Stock_Quantity]]*Inventory_Table[[#This Row],[Unit_Price]]</f>
        <v>49</v>
      </c>
      <c r="S512">
        <f>Inventory_Table[[#This Row],[Sales_Volume]]*Inventory_Table[[#This Row],[Unit_Price]]</f>
        <v>259</v>
      </c>
      <c r="T512" t="str">
        <f>IF(Inventory_Table[[#This Row],[Stock_Quantity]]&lt;=Inventory_Table[[#This Row],[Reorder_Level]],"REORDER","OK")</f>
        <v>REORDER</v>
      </c>
      <c r="U512" t="s">
        <v>3836</v>
      </c>
      <c r="V512" s="14">
        <f ca="1">TODAY()-Inventory_Table[[#This Row],[Last_Order_Date]]</f>
        <v>810</v>
      </c>
    </row>
    <row r="513" spans="1:22" x14ac:dyDescent="0.35">
      <c r="A513" t="s">
        <v>177</v>
      </c>
      <c r="B513" t="s">
        <v>18</v>
      </c>
      <c r="C513" t="s">
        <v>1395</v>
      </c>
      <c r="D513" t="s">
        <v>2247</v>
      </c>
      <c r="E513" t="s">
        <v>21</v>
      </c>
      <c r="F513" t="s">
        <v>2248</v>
      </c>
      <c r="G513" t="s">
        <v>2249</v>
      </c>
      <c r="H513" s="1">
        <v>46343</v>
      </c>
      <c r="I513" s="6">
        <v>45498</v>
      </c>
      <c r="J513" s="6">
        <v>46335</v>
      </c>
      <c r="K513">
        <v>32</v>
      </c>
      <c r="L513">
        <v>63</v>
      </c>
      <c r="M513">
        <v>92</v>
      </c>
      <c r="N513" s="8">
        <v>4.9000000000000004</v>
      </c>
      <c r="O513">
        <v>84</v>
      </c>
      <c r="P513">
        <v>34</v>
      </c>
      <c r="Q513" s="3">
        <v>-0.14000000000000001</v>
      </c>
      <c r="R513">
        <f>Inventory_Table[[#This Row],[Stock_Quantity]]*Inventory_Table[[#This Row],[Unit_Price]]</f>
        <v>156.80000000000001</v>
      </c>
      <c r="S513">
        <f>Inventory_Table[[#This Row],[Sales_Volume]]*Inventory_Table[[#This Row],[Unit_Price]]</f>
        <v>411.6</v>
      </c>
      <c r="T513" t="str">
        <f>IF(Inventory_Table[[#This Row],[Stock_Quantity]]&lt;=Inventory_Table[[#This Row],[Reorder_Level]],"REORDER","OK")</f>
        <v>REORDER</v>
      </c>
      <c r="U513" t="s">
        <v>3836</v>
      </c>
      <c r="V513" s="14">
        <f ca="1">TODAY()-Inventory_Table[[#This Row],[Last_Order_Date]]</f>
        <v>678</v>
      </c>
    </row>
    <row r="514" spans="1:22" x14ac:dyDescent="0.35">
      <c r="A514" t="s">
        <v>1191</v>
      </c>
      <c r="B514" t="s">
        <v>75</v>
      </c>
      <c r="C514" t="s">
        <v>1133</v>
      </c>
      <c r="D514" t="s">
        <v>2251</v>
      </c>
      <c r="E514" t="s">
        <v>30</v>
      </c>
      <c r="F514" t="s">
        <v>2252</v>
      </c>
      <c r="G514" t="s">
        <v>2253</v>
      </c>
      <c r="H514" s="1">
        <v>46343</v>
      </c>
      <c r="I514" s="6">
        <v>45410</v>
      </c>
      <c r="J514" s="6">
        <v>46310</v>
      </c>
      <c r="K514">
        <v>68</v>
      </c>
      <c r="L514">
        <v>43</v>
      </c>
      <c r="M514">
        <v>96</v>
      </c>
      <c r="N514" s="8">
        <v>20</v>
      </c>
      <c r="O514">
        <v>75</v>
      </c>
      <c r="P514">
        <v>35</v>
      </c>
      <c r="Q514" s="3">
        <v>0.6</v>
      </c>
      <c r="R514">
        <f>Inventory_Table[[#This Row],[Stock_Quantity]]*Inventory_Table[[#This Row],[Unit_Price]]</f>
        <v>1360</v>
      </c>
      <c r="S514">
        <f>Inventory_Table[[#This Row],[Sales_Volume]]*Inventory_Table[[#This Row],[Unit_Price]]</f>
        <v>1500</v>
      </c>
      <c r="T514" t="str">
        <f>IF(Inventory_Table[[#This Row],[Stock_Quantity]]&lt;=Inventory_Table[[#This Row],[Reorder_Level]],"REORDER","OK")</f>
        <v>OK</v>
      </c>
      <c r="U514" t="s">
        <v>3836</v>
      </c>
      <c r="V514" s="14">
        <f ca="1">TODAY()-Inventory_Table[[#This Row],[Last_Order_Date]]</f>
        <v>766</v>
      </c>
    </row>
    <row r="515" spans="1:22" x14ac:dyDescent="0.35">
      <c r="A515" t="s">
        <v>350</v>
      </c>
      <c r="B515" t="s">
        <v>36</v>
      </c>
      <c r="C515" t="s">
        <v>471</v>
      </c>
      <c r="D515" t="s">
        <v>2254</v>
      </c>
      <c r="E515" t="s">
        <v>68</v>
      </c>
      <c r="F515" t="s">
        <v>2255</v>
      </c>
      <c r="G515" t="s">
        <v>2256</v>
      </c>
      <c r="H515" s="1">
        <v>46344</v>
      </c>
      <c r="I515" s="6">
        <v>45610</v>
      </c>
      <c r="J515" s="6">
        <v>46211</v>
      </c>
      <c r="K515">
        <v>43</v>
      </c>
      <c r="L515">
        <v>10</v>
      </c>
      <c r="M515">
        <v>15</v>
      </c>
      <c r="N515" s="8">
        <v>1</v>
      </c>
      <c r="O515">
        <v>27</v>
      </c>
      <c r="P515">
        <v>69</v>
      </c>
      <c r="Q515" s="3">
        <v>0.53</v>
      </c>
      <c r="R515">
        <f>Inventory_Table[[#This Row],[Stock_Quantity]]*Inventory_Table[[#This Row],[Unit_Price]]</f>
        <v>43</v>
      </c>
      <c r="S515">
        <f>Inventory_Table[[#This Row],[Sales_Volume]]*Inventory_Table[[#This Row],[Unit_Price]]</f>
        <v>27</v>
      </c>
      <c r="T515" t="str">
        <f>IF(Inventory_Table[[#This Row],[Stock_Quantity]]&lt;=Inventory_Table[[#This Row],[Reorder_Level]],"REORDER","OK")</f>
        <v>OK</v>
      </c>
      <c r="U515" t="s">
        <v>3836</v>
      </c>
      <c r="V515" s="14">
        <f ca="1">TODAY()-Inventory_Table[[#This Row],[Last_Order_Date]]</f>
        <v>566</v>
      </c>
    </row>
    <row r="516" spans="1:22" x14ac:dyDescent="0.35">
      <c r="A516" t="s">
        <v>435</v>
      </c>
      <c r="B516" t="s">
        <v>18</v>
      </c>
      <c r="C516" t="s">
        <v>265</v>
      </c>
      <c r="D516" t="s">
        <v>2257</v>
      </c>
      <c r="E516" t="s">
        <v>21</v>
      </c>
      <c r="F516" t="s">
        <v>2258</v>
      </c>
      <c r="G516" t="s">
        <v>2259</v>
      </c>
      <c r="H516" s="1">
        <v>46344</v>
      </c>
      <c r="I516" s="6">
        <v>45468</v>
      </c>
      <c r="J516" s="6">
        <v>46223</v>
      </c>
      <c r="K516">
        <v>92</v>
      </c>
      <c r="L516">
        <v>96</v>
      </c>
      <c r="M516">
        <v>56</v>
      </c>
      <c r="N516" s="8">
        <v>6</v>
      </c>
      <c r="O516">
        <v>32</v>
      </c>
      <c r="P516">
        <v>22</v>
      </c>
      <c r="Q516" s="3">
        <v>-1.56</v>
      </c>
      <c r="R516">
        <f>Inventory_Table[[#This Row],[Stock_Quantity]]*Inventory_Table[[#This Row],[Unit_Price]]</f>
        <v>552</v>
      </c>
      <c r="S516">
        <f>Inventory_Table[[#This Row],[Sales_Volume]]*Inventory_Table[[#This Row],[Unit_Price]]</f>
        <v>192</v>
      </c>
      <c r="T516" t="str">
        <f>IF(Inventory_Table[[#This Row],[Stock_Quantity]]&lt;=Inventory_Table[[#This Row],[Reorder_Level]],"REORDER","OK")</f>
        <v>REORDER</v>
      </c>
      <c r="U516" t="s">
        <v>3836</v>
      </c>
      <c r="V516" s="14">
        <f ca="1">TODAY()-Inventory_Table[[#This Row],[Last_Order_Date]]</f>
        <v>708</v>
      </c>
    </row>
    <row r="517" spans="1:22" x14ac:dyDescent="0.35">
      <c r="A517" t="s">
        <v>408</v>
      </c>
      <c r="B517" t="s">
        <v>18</v>
      </c>
      <c r="C517" t="s">
        <v>451</v>
      </c>
      <c r="D517" t="s">
        <v>2261</v>
      </c>
      <c r="E517" t="s">
        <v>30</v>
      </c>
      <c r="F517" t="s">
        <v>2262</v>
      </c>
      <c r="G517" t="s">
        <v>2263</v>
      </c>
      <c r="H517" s="1">
        <v>46344</v>
      </c>
      <c r="I517" s="6">
        <v>45573</v>
      </c>
      <c r="J517" s="6">
        <v>46359</v>
      </c>
      <c r="K517">
        <v>85</v>
      </c>
      <c r="L517">
        <v>16</v>
      </c>
      <c r="M517">
        <v>74</v>
      </c>
      <c r="N517" s="8">
        <v>3.85</v>
      </c>
      <c r="O517">
        <v>58</v>
      </c>
      <c r="P517">
        <v>36</v>
      </c>
      <c r="Q517" s="3">
        <v>0.31</v>
      </c>
      <c r="R517">
        <f>Inventory_Table[[#This Row],[Stock_Quantity]]*Inventory_Table[[#This Row],[Unit_Price]]</f>
        <v>327.25</v>
      </c>
      <c r="S517">
        <f>Inventory_Table[[#This Row],[Sales_Volume]]*Inventory_Table[[#This Row],[Unit_Price]]</f>
        <v>223.3</v>
      </c>
      <c r="T517" t="str">
        <f>IF(Inventory_Table[[#This Row],[Stock_Quantity]]&lt;=Inventory_Table[[#This Row],[Reorder_Level]],"REORDER","OK")</f>
        <v>OK</v>
      </c>
      <c r="U517" t="s">
        <v>3836</v>
      </c>
      <c r="V517" s="14">
        <f ca="1">TODAY()-Inventory_Table[[#This Row],[Last_Order_Date]]</f>
        <v>603</v>
      </c>
    </row>
    <row r="518" spans="1:22" x14ac:dyDescent="0.35">
      <c r="A518" t="s">
        <v>1782</v>
      </c>
      <c r="B518" t="s">
        <v>36</v>
      </c>
      <c r="C518" t="s">
        <v>1213</v>
      </c>
      <c r="D518" t="s">
        <v>2265</v>
      </c>
      <c r="E518" t="s">
        <v>68</v>
      </c>
      <c r="F518" t="s">
        <v>2266</v>
      </c>
      <c r="G518" t="s">
        <v>2267</v>
      </c>
      <c r="H518" s="1">
        <v>46344</v>
      </c>
      <c r="I518" s="6">
        <v>45485</v>
      </c>
      <c r="J518" s="6">
        <v>46082</v>
      </c>
      <c r="K518">
        <v>24</v>
      </c>
      <c r="L518">
        <v>1</v>
      </c>
      <c r="M518">
        <v>65</v>
      </c>
      <c r="N518" s="8">
        <v>7</v>
      </c>
      <c r="O518">
        <v>58</v>
      </c>
      <c r="P518">
        <v>61</v>
      </c>
      <c r="Q518" s="3">
        <v>0.38</v>
      </c>
      <c r="R518">
        <f>Inventory_Table[[#This Row],[Stock_Quantity]]*Inventory_Table[[#This Row],[Unit_Price]]</f>
        <v>168</v>
      </c>
      <c r="S518">
        <f>Inventory_Table[[#This Row],[Sales_Volume]]*Inventory_Table[[#This Row],[Unit_Price]]</f>
        <v>406</v>
      </c>
      <c r="T518" t="str">
        <f>IF(Inventory_Table[[#This Row],[Stock_Quantity]]&lt;=Inventory_Table[[#This Row],[Reorder_Level]],"REORDER","OK")</f>
        <v>OK</v>
      </c>
      <c r="U518" t="s">
        <v>3838</v>
      </c>
      <c r="V518" s="14">
        <f ca="1">TODAY()-Inventory_Table[[#This Row],[Last_Order_Date]]</f>
        <v>691</v>
      </c>
    </row>
    <row r="519" spans="1:22" x14ac:dyDescent="0.35">
      <c r="A519" t="s">
        <v>1440</v>
      </c>
      <c r="B519" t="s">
        <v>18</v>
      </c>
      <c r="C519" t="s">
        <v>155</v>
      </c>
      <c r="D519" t="s">
        <v>2268</v>
      </c>
      <c r="E519" t="s">
        <v>30</v>
      </c>
      <c r="F519" t="s">
        <v>2269</v>
      </c>
      <c r="G519" t="s">
        <v>2270</v>
      </c>
      <c r="H519" s="1">
        <v>46345</v>
      </c>
      <c r="I519" s="6">
        <v>45417</v>
      </c>
      <c r="J519" s="6">
        <v>46370</v>
      </c>
      <c r="K519">
        <v>13</v>
      </c>
      <c r="L519">
        <v>88</v>
      </c>
      <c r="M519">
        <v>11</v>
      </c>
      <c r="N519" s="8">
        <v>3</v>
      </c>
      <c r="O519">
        <v>100</v>
      </c>
      <c r="P519">
        <v>52</v>
      </c>
      <c r="Q519" s="3">
        <v>-0.05</v>
      </c>
      <c r="R519">
        <f>Inventory_Table[[#This Row],[Stock_Quantity]]*Inventory_Table[[#This Row],[Unit_Price]]</f>
        <v>39</v>
      </c>
      <c r="S519">
        <f>Inventory_Table[[#This Row],[Sales_Volume]]*Inventory_Table[[#This Row],[Unit_Price]]</f>
        <v>300</v>
      </c>
      <c r="T519" t="str">
        <f>IF(Inventory_Table[[#This Row],[Stock_Quantity]]&lt;=Inventory_Table[[#This Row],[Reorder_Level]],"REORDER","OK")</f>
        <v>REORDER</v>
      </c>
      <c r="U519" t="s">
        <v>3836</v>
      </c>
      <c r="V519" s="14">
        <f ca="1">TODAY()-Inventory_Table[[#This Row],[Last_Order_Date]]</f>
        <v>759</v>
      </c>
    </row>
    <row r="520" spans="1:22" x14ac:dyDescent="0.35">
      <c r="A520" t="s">
        <v>842</v>
      </c>
      <c r="B520" t="s">
        <v>75</v>
      </c>
      <c r="C520" t="s">
        <v>1991</v>
      </c>
      <c r="D520" t="s">
        <v>2271</v>
      </c>
      <c r="E520" t="s">
        <v>21</v>
      </c>
      <c r="F520" t="s">
        <v>2272</v>
      </c>
      <c r="G520" t="s">
        <v>2273</v>
      </c>
      <c r="H520" s="1">
        <v>46347</v>
      </c>
      <c r="I520" s="6">
        <v>45705</v>
      </c>
      <c r="J520" s="6">
        <v>46386</v>
      </c>
      <c r="K520">
        <v>19</v>
      </c>
      <c r="L520">
        <v>99</v>
      </c>
      <c r="M520">
        <v>78</v>
      </c>
      <c r="N520" s="8">
        <v>9</v>
      </c>
      <c r="O520">
        <v>29</v>
      </c>
      <c r="P520">
        <v>54</v>
      </c>
      <c r="Q520" s="3">
        <v>0.48</v>
      </c>
      <c r="R520">
        <f>Inventory_Table[[#This Row],[Stock_Quantity]]*Inventory_Table[[#This Row],[Unit_Price]]</f>
        <v>171</v>
      </c>
      <c r="S520">
        <f>Inventory_Table[[#This Row],[Sales_Volume]]*Inventory_Table[[#This Row],[Unit_Price]]</f>
        <v>261</v>
      </c>
      <c r="T520" t="str">
        <f>IF(Inventory_Table[[#This Row],[Stock_Quantity]]&lt;=Inventory_Table[[#This Row],[Reorder_Level]],"REORDER","OK")</f>
        <v>REORDER</v>
      </c>
      <c r="U520" t="s">
        <v>3836</v>
      </c>
      <c r="V520" s="14">
        <f ca="1">TODAY()-Inventory_Table[[#This Row],[Last_Order_Date]]</f>
        <v>471</v>
      </c>
    </row>
    <row r="521" spans="1:22" x14ac:dyDescent="0.35">
      <c r="A521" t="s">
        <v>162</v>
      </c>
      <c r="B521" t="s">
        <v>163</v>
      </c>
      <c r="C521" t="s">
        <v>2225</v>
      </c>
      <c r="D521" t="s">
        <v>2274</v>
      </c>
      <c r="E521" t="s">
        <v>30</v>
      </c>
      <c r="F521" t="s">
        <v>2275</v>
      </c>
      <c r="G521" t="s">
        <v>2276</v>
      </c>
      <c r="H521" s="1">
        <v>46348</v>
      </c>
      <c r="I521" s="6">
        <v>45406</v>
      </c>
      <c r="J521" s="6">
        <v>46099</v>
      </c>
      <c r="K521">
        <v>97</v>
      </c>
      <c r="L521">
        <v>77</v>
      </c>
      <c r="M521">
        <v>99</v>
      </c>
      <c r="N521" s="8">
        <v>20</v>
      </c>
      <c r="O521">
        <v>74</v>
      </c>
      <c r="P521">
        <v>98</v>
      </c>
      <c r="Q521" s="3">
        <v>-0.86</v>
      </c>
      <c r="R521">
        <f>Inventory_Table[[#This Row],[Stock_Quantity]]*Inventory_Table[[#This Row],[Unit_Price]]</f>
        <v>1940</v>
      </c>
      <c r="S521">
        <f>Inventory_Table[[#This Row],[Sales_Volume]]*Inventory_Table[[#This Row],[Unit_Price]]</f>
        <v>1480</v>
      </c>
      <c r="T521" t="str">
        <f>IF(Inventory_Table[[#This Row],[Stock_Quantity]]&lt;=Inventory_Table[[#This Row],[Reorder_Level]],"REORDER","OK")</f>
        <v>OK</v>
      </c>
      <c r="U521" t="s">
        <v>3838</v>
      </c>
      <c r="V521" s="14">
        <f ca="1">TODAY()-Inventory_Table[[#This Row],[Last_Order_Date]]</f>
        <v>770</v>
      </c>
    </row>
    <row r="522" spans="1:22" x14ac:dyDescent="0.35">
      <c r="A522" t="s">
        <v>750</v>
      </c>
      <c r="B522" t="s">
        <v>36</v>
      </c>
      <c r="C522" t="s">
        <v>635</v>
      </c>
      <c r="D522" t="s">
        <v>2277</v>
      </c>
      <c r="E522" t="s">
        <v>30</v>
      </c>
      <c r="F522" t="s">
        <v>2278</v>
      </c>
      <c r="G522" t="s">
        <v>2279</v>
      </c>
      <c r="H522" s="1">
        <v>46348</v>
      </c>
      <c r="I522" s="6">
        <v>45544</v>
      </c>
      <c r="J522" s="6">
        <v>46318</v>
      </c>
      <c r="K522">
        <v>52</v>
      </c>
      <c r="L522">
        <v>64</v>
      </c>
      <c r="M522">
        <v>54</v>
      </c>
      <c r="N522" s="8">
        <v>2.4</v>
      </c>
      <c r="O522">
        <v>21</v>
      </c>
      <c r="P522">
        <v>55</v>
      </c>
      <c r="Q522" s="3">
        <v>-0.32</v>
      </c>
      <c r="R522">
        <f>Inventory_Table[[#This Row],[Stock_Quantity]]*Inventory_Table[[#This Row],[Unit_Price]]</f>
        <v>124.8</v>
      </c>
      <c r="S522">
        <f>Inventory_Table[[#This Row],[Sales_Volume]]*Inventory_Table[[#This Row],[Unit_Price]]</f>
        <v>50.4</v>
      </c>
      <c r="T522" t="str">
        <f>IF(Inventory_Table[[#This Row],[Stock_Quantity]]&lt;=Inventory_Table[[#This Row],[Reorder_Level]],"REORDER","OK")</f>
        <v>REORDER</v>
      </c>
      <c r="U522" t="s">
        <v>3836</v>
      </c>
      <c r="V522" s="14">
        <f ca="1">TODAY()-Inventory_Table[[#This Row],[Last_Order_Date]]</f>
        <v>632</v>
      </c>
    </row>
    <row r="523" spans="1:22" x14ac:dyDescent="0.35">
      <c r="A523" t="s">
        <v>1311</v>
      </c>
      <c r="B523" t="s">
        <v>36</v>
      </c>
      <c r="C523" t="s">
        <v>1675</v>
      </c>
      <c r="D523" t="s">
        <v>2280</v>
      </c>
      <c r="E523" t="s">
        <v>21</v>
      </c>
      <c r="F523" t="s">
        <v>2281</v>
      </c>
      <c r="G523" t="s">
        <v>2282</v>
      </c>
      <c r="H523" s="1">
        <v>46349</v>
      </c>
      <c r="I523" s="6">
        <v>45585</v>
      </c>
      <c r="J523" s="6">
        <v>46192</v>
      </c>
      <c r="K523">
        <v>96</v>
      </c>
      <c r="L523">
        <v>34</v>
      </c>
      <c r="M523">
        <v>57</v>
      </c>
      <c r="N523" s="8">
        <v>8</v>
      </c>
      <c r="O523">
        <v>71</v>
      </c>
      <c r="P523">
        <v>17</v>
      </c>
      <c r="Q523" s="3">
        <v>-1.62</v>
      </c>
      <c r="R523">
        <f>Inventory_Table[[#This Row],[Stock_Quantity]]*Inventory_Table[[#This Row],[Unit_Price]]</f>
        <v>768</v>
      </c>
      <c r="S523">
        <f>Inventory_Table[[#This Row],[Sales_Volume]]*Inventory_Table[[#This Row],[Unit_Price]]</f>
        <v>568</v>
      </c>
      <c r="T523" t="str">
        <f>IF(Inventory_Table[[#This Row],[Stock_Quantity]]&lt;=Inventory_Table[[#This Row],[Reorder_Level]],"REORDER","OK")</f>
        <v>OK</v>
      </c>
      <c r="U523" t="s">
        <v>3837</v>
      </c>
      <c r="V523" s="14">
        <f ca="1">TODAY()-Inventory_Table[[#This Row],[Last_Order_Date]]</f>
        <v>591</v>
      </c>
    </row>
    <row r="524" spans="1:22" x14ac:dyDescent="0.35">
      <c r="A524" t="s">
        <v>1234</v>
      </c>
      <c r="B524" t="s">
        <v>27</v>
      </c>
      <c r="C524" t="s">
        <v>1810</v>
      </c>
      <c r="D524" t="s">
        <v>2283</v>
      </c>
      <c r="E524" t="s">
        <v>21</v>
      </c>
      <c r="F524" t="s">
        <v>2284</v>
      </c>
      <c r="G524" t="s">
        <v>2285</v>
      </c>
      <c r="H524" s="1">
        <v>46349</v>
      </c>
      <c r="I524" s="6">
        <v>45553</v>
      </c>
      <c r="J524" s="6">
        <v>46394</v>
      </c>
      <c r="K524">
        <v>26</v>
      </c>
      <c r="L524">
        <v>100</v>
      </c>
      <c r="M524">
        <v>13</v>
      </c>
      <c r="N524" s="8">
        <v>2.5</v>
      </c>
      <c r="O524">
        <v>45</v>
      </c>
      <c r="P524">
        <v>45</v>
      </c>
      <c r="Q524" s="3">
        <v>0.76</v>
      </c>
      <c r="R524">
        <f>Inventory_Table[[#This Row],[Stock_Quantity]]*Inventory_Table[[#This Row],[Unit_Price]]</f>
        <v>65</v>
      </c>
      <c r="S524">
        <f>Inventory_Table[[#This Row],[Sales_Volume]]*Inventory_Table[[#This Row],[Unit_Price]]</f>
        <v>112.5</v>
      </c>
      <c r="T524" t="str">
        <f>IF(Inventory_Table[[#This Row],[Stock_Quantity]]&lt;=Inventory_Table[[#This Row],[Reorder_Level]],"REORDER","OK")</f>
        <v>REORDER</v>
      </c>
      <c r="U524" t="s">
        <v>3836</v>
      </c>
      <c r="V524" s="14">
        <f ca="1">TODAY()-Inventory_Table[[#This Row],[Last_Order_Date]]</f>
        <v>623</v>
      </c>
    </row>
    <row r="525" spans="1:22" x14ac:dyDescent="0.35">
      <c r="A525" t="s">
        <v>695</v>
      </c>
      <c r="B525" t="s">
        <v>65</v>
      </c>
      <c r="C525" t="s">
        <v>490</v>
      </c>
      <c r="D525" t="s">
        <v>2286</v>
      </c>
      <c r="E525" t="s">
        <v>30</v>
      </c>
      <c r="F525" t="s">
        <v>2287</v>
      </c>
      <c r="G525" t="s">
        <v>2288</v>
      </c>
      <c r="H525" s="1">
        <v>46349</v>
      </c>
      <c r="I525" s="6">
        <v>45515</v>
      </c>
      <c r="J525" s="6">
        <v>46191</v>
      </c>
      <c r="K525">
        <v>51</v>
      </c>
      <c r="L525">
        <v>47</v>
      </c>
      <c r="M525">
        <v>6</v>
      </c>
      <c r="N525" s="8">
        <v>2.5</v>
      </c>
      <c r="O525">
        <v>53</v>
      </c>
      <c r="P525">
        <v>4</v>
      </c>
      <c r="Q525" s="3">
        <v>0</v>
      </c>
      <c r="R525">
        <f>Inventory_Table[[#This Row],[Stock_Quantity]]*Inventory_Table[[#This Row],[Unit_Price]]</f>
        <v>127.5</v>
      </c>
      <c r="S525">
        <f>Inventory_Table[[#This Row],[Sales_Volume]]*Inventory_Table[[#This Row],[Unit_Price]]</f>
        <v>132.5</v>
      </c>
      <c r="T525" t="str">
        <f>IF(Inventory_Table[[#This Row],[Stock_Quantity]]&lt;=Inventory_Table[[#This Row],[Reorder_Level]],"REORDER","OK")</f>
        <v>OK</v>
      </c>
      <c r="U525" t="s">
        <v>3837</v>
      </c>
      <c r="V525" s="14">
        <f ca="1">TODAY()-Inventory_Table[[#This Row],[Last_Order_Date]]</f>
        <v>661</v>
      </c>
    </row>
    <row r="526" spans="1:22" x14ac:dyDescent="0.35">
      <c r="A526" t="s">
        <v>217</v>
      </c>
      <c r="B526" t="s">
        <v>65</v>
      </c>
      <c r="C526" t="s">
        <v>2289</v>
      </c>
      <c r="D526" t="s">
        <v>2290</v>
      </c>
      <c r="E526" t="s">
        <v>68</v>
      </c>
      <c r="F526" t="s">
        <v>2291</v>
      </c>
      <c r="G526" t="s">
        <v>2292</v>
      </c>
      <c r="H526" s="1">
        <v>46349</v>
      </c>
      <c r="I526" s="6">
        <v>45697</v>
      </c>
      <c r="J526" s="6">
        <v>46199</v>
      </c>
      <c r="K526">
        <v>51</v>
      </c>
      <c r="L526">
        <v>19</v>
      </c>
      <c r="M526">
        <v>96</v>
      </c>
      <c r="N526" s="8">
        <v>4.5</v>
      </c>
      <c r="O526">
        <v>73</v>
      </c>
      <c r="P526">
        <v>42</v>
      </c>
      <c r="Q526" s="3">
        <v>0.92</v>
      </c>
      <c r="R526">
        <f>Inventory_Table[[#This Row],[Stock_Quantity]]*Inventory_Table[[#This Row],[Unit_Price]]</f>
        <v>229.5</v>
      </c>
      <c r="S526">
        <f>Inventory_Table[[#This Row],[Sales_Volume]]*Inventory_Table[[#This Row],[Unit_Price]]</f>
        <v>328.5</v>
      </c>
      <c r="T526" t="str">
        <f>IF(Inventory_Table[[#This Row],[Stock_Quantity]]&lt;=Inventory_Table[[#This Row],[Reorder_Level]],"REORDER","OK")</f>
        <v>OK</v>
      </c>
      <c r="U526" t="s">
        <v>3837</v>
      </c>
      <c r="V526" s="14">
        <f ca="1">TODAY()-Inventory_Table[[#This Row],[Last_Order_Date]]</f>
        <v>479</v>
      </c>
    </row>
    <row r="527" spans="1:22" x14ac:dyDescent="0.35">
      <c r="A527" t="s">
        <v>148</v>
      </c>
      <c r="B527" t="s">
        <v>18</v>
      </c>
      <c r="C527" t="s">
        <v>1599</v>
      </c>
      <c r="D527" t="s">
        <v>2293</v>
      </c>
      <c r="E527" t="s">
        <v>30</v>
      </c>
      <c r="F527" t="s">
        <v>2294</v>
      </c>
      <c r="G527" t="s">
        <v>2295</v>
      </c>
      <c r="H527" s="1">
        <v>46350</v>
      </c>
      <c r="I527" s="6">
        <v>45413</v>
      </c>
      <c r="J527" s="6">
        <v>46395</v>
      </c>
      <c r="K527">
        <v>39</v>
      </c>
      <c r="L527">
        <v>21</v>
      </c>
      <c r="M527">
        <v>5</v>
      </c>
      <c r="N527" s="8">
        <v>3</v>
      </c>
      <c r="O527">
        <v>51</v>
      </c>
      <c r="P527">
        <v>98</v>
      </c>
      <c r="Q527" s="3">
        <v>0.42</v>
      </c>
      <c r="R527">
        <f>Inventory_Table[[#This Row],[Stock_Quantity]]*Inventory_Table[[#This Row],[Unit_Price]]</f>
        <v>117</v>
      </c>
      <c r="S527">
        <f>Inventory_Table[[#This Row],[Sales_Volume]]*Inventory_Table[[#This Row],[Unit_Price]]</f>
        <v>153</v>
      </c>
      <c r="T527" t="str">
        <f>IF(Inventory_Table[[#This Row],[Stock_Quantity]]&lt;=Inventory_Table[[#This Row],[Reorder_Level]],"REORDER","OK")</f>
        <v>OK</v>
      </c>
      <c r="U527" t="s">
        <v>3836</v>
      </c>
      <c r="V527" s="14">
        <f ca="1">TODAY()-Inventory_Table[[#This Row],[Last_Order_Date]]</f>
        <v>763</v>
      </c>
    </row>
    <row r="528" spans="1:22" x14ac:dyDescent="0.35">
      <c r="A528" t="s">
        <v>326</v>
      </c>
      <c r="B528" t="s">
        <v>18</v>
      </c>
      <c r="C528" t="s">
        <v>76</v>
      </c>
      <c r="D528" t="s">
        <v>2296</v>
      </c>
      <c r="E528" t="s">
        <v>68</v>
      </c>
      <c r="F528" t="s">
        <v>2297</v>
      </c>
      <c r="G528" t="s">
        <v>2298</v>
      </c>
      <c r="H528" s="1">
        <v>46350</v>
      </c>
      <c r="I528" s="6">
        <v>45623</v>
      </c>
      <c r="J528" s="6">
        <v>46350</v>
      </c>
      <c r="K528">
        <v>90</v>
      </c>
      <c r="L528">
        <v>91</v>
      </c>
      <c r="M528">
        <v>62</v>
      </c>
      <c r="N528" s="8">
        <v>5</v>
      </c>
      <c r="O528">
        <v>34</v>
      </c>
      <c r="P528">
        <v>72</v>
      </c>
      <c r="Q528" s="3">
        <v>-0.92</v>
      </c>
      <c r="R528">
        <f>Inventory_Table[[#This Row],[Stock_Quantity]]*Inventory_Table[[#This Row],[Unit_Price]]</f>
        <v>450</v>
      </c>
      <c r="S528">
        <f>Inventory_Table[[#This Row],[Sales_Volume]]*Inventory_Table[[#This Row],[Unit_Price]]</f>
        <v>170</v>
      </c>
      <c r="T528" t="str">
        <f>IF(Inventory_Table[[#This Row],[Stock_Quantity]]&lt;=Inventory_Table[[#This Row],[Reorder_Level]],"REORDER","OK")</f>
        <v>REORDER</v>
      </c>
      <c r="U528" t="s">
        <v>3836</v>
      </c>
      <c r="V528" s="14">
        <f ca="1">TODAY()-Inventory_Table[[#This Row],[Last_Order_Date]]</f>
        <v>553</v>
      </c>
    </row>
    <row r="529" spans="1:22" x14ac:dyDescent="0.35">
      <c r="A529" t="s">
        <v>376</v>
      </c>
      <c r="B529" t="s">
        <v>18</v>
      </c>
      <c r="C529" t="s">
        <v>2300</v>
      </c>
      <c r="D529" t="s">
        <v>2301</v>
      </c>
      <c r="E529" t="s">
        <v>68</v>
      </c>
      <c r="F529" t="s">
        <v>2302</v>
      </c>
      <c r="G529" t="s">
        <v>2303</v>
      </c>
      <c r="H529" s="1">
        <v>46351</v>
      </c>
      <c r="I529" s="6">
        <v>45691</v>
      </c>
      <c r="J529" s="6">
        <v>46340</v>
      </c>
      <c r="K529">
        <v>35</v>
      </c>
      <c r="L529">
        <v>92</v>
      </c>
      <c r="M529">
        <v>74</v>
      </c>
      <c r="N529" s="8">
        <v>2</v>
      </c>
      <c r="O529">
        <v>76</v>
      </c>
      <c r="P529">
        <v>32</v>
      </c>
      <c r="Q529" s="3">
        <v>-1.1200000000000001</v>
      </c>
      <c r="R529">
        <f>Inventory_Table[[#This Row],[Stock_Quantity]]*Inventory_Table[[#This Row],[Unit_Price]]</f>
        <v>70</v>
      </c>
      <c r="S529">
        <f>Inventory_Table[[#This Row],[Sales_Volume]]*Inventory_Table[[#This Row],[Unit_Price]]</f>
        <v>152</v>
      </c>
      <c r="T529" t="str">
        <f>IF(Inventory_Table[[#This Row],[Stock_Quantity]]&lt;=Inventory_Table[[#This Row],[Reorder_Level]],"REORDER","OK")</f>
        <v>REORDER</v>
      </c>
      <c r="U529" t="s">
        <v>3836</v>
      </c>
      <c r="V529" s="14">
        <f ca="1">TODAY()-Inventory_Table[[#This Row],[Last_Order_Date]]</f>
        <v>485</v>
      </c>
    </row>
    <row r="530" spans="1:22" x14ac:dyDescent="0.35">
      <c r="A530" t="s">
        <v>1307</v>
      </c>
      <c r="B530" t="s">
        <v>163</v>
      </c>
      <c r="C530" t="s">
        <v>2304</v>
      </c>
      <c r="D530" t="s">
        <v>2305</v>
      </c>
      <c r="E530" t="s">
        <v>30</v>
      </c>
      <c r="F530" t="s">
        <v>2306</v>
      </c>
      <c r="G530" t="s">
        <v>2307</v>
      </c>
      <c r="H530" s="1">
        <v>46351</v>
      </c>
      <c r="I530" s="6">
        <v>45687</v>
      </c>
      <c r="J530" s="6">
        <v>46157</v>
      </c>
      <c r="K530">
        <v>39</v>
      </c>
      <c r="L530">
        <v>88</v>
      </c>
      <c r="M530">
        <v>100</v>
      </c>
      <c r="N530" s="8">
        <v>8</v>
      </c>
      <c r="O530">
        <v>28</v>
      </c>
      <c r="P530">
        <v>18</v>
      </c>
      <c r="Q530" s="3">
        <v>0.57999999999999996</v>
      </c>
      <c r="R530">
        <f>Inventory_Table[[#This Row],[Stock_Quantity]]*Inventory_Table[[#This Row],[Unit_Price]]</f>
        <v>312</v>
      </c>
      <c r="S530">
        <f>Inventory_Table[[#This Row],[Sales_Volume]]*Inventory_Table[[#This Row],[Unit_Price]]</f>
        <v>224</v>
      </c>
      <c r="T530" t="str">
        <f>IF(Inventory_Table[[#This Row],[Stock_Quantity]]&lt;=Inventory_Table[[#This Row],[Reorder_Level]],"REORDER","OK")</f>
        <v>REORDER</v>
      </c>
      <c r="U530" t="s">
        <v>3838</v>
      </c>
      <c r="V530" s="14">
        <f ca="1">TODAY()-Inventory_Table[[#This Row],[Last_Order_Date]]</f>
        <v>489</v>
      </c>
    </row>
    <row r="531" spans="1:22" x14ac:dyDescent="0.35">
      <c r="A531" t="s">
        <v>527</v>
      </c>
      <c r="B531" t="s">
        <v>65</v>
      </c>
      <c r="C531" t="s">
        <v>254</v>
      </c>
      <c r="D531" t="s">
        <v>2308</v>
      </c>
      <c r="E531" t="s">
        <v>68</v>
      </c>
      <c r="F531" t="s">
        <v>2309</v>
      </c>
      <c r="G531" t="s">
        <v>2310</v>
      </c>
      <c r="H531" s="1">
        <v>46351</v>
      </c>
      <c r="I531" s="6">
        <v>45524</v>
      </c>
      <c r="J531" s="6">
        <v>46236</v>
      </c>
      <c r="K531">
        <v>64</v>
      </c>
      <c r="L531">
        <v>97</v>
      </c>
      <c r="M531">
        <v>91</v>
      </c>
      <c r="N531" s="8">
        <v>3</v>
      </c>
      <c r="O531">
        <v>48</v>
      </c>
      <c r="P531">
        <v>100</v>
      </c>
      <c r="Q531" s="3">
        <v>0.36</v>
      </c>
      <c r="R531">
        <f>Inventory_Table[[#This Row],[Stock_Quantity]]*Inventory_Table[[#This Row],[Unit_Price]]</f>
        <v>192</v>
      </c>
      <c r="S531">
        <f>Inventory_Table[[#This Row],[Sales_Volume]]*Inventory_Table[[#This Row],[Unit_Price]]</f>
        <v>144</v>
      </c>
      <c r="T531" t="str">
        <f>IF(Inventory_Table[[#This Row],[Stock_Quantity]]&lt;=Inventory_Table[[#This Row],[Reorder_Level]],"REORDER","OK")</f>
        <v>REORDER</v>
      </c>
      <c r="U531" t="s">
        <v>3836</v>
      </c>
      <c r="V531" s="14">
        <f ca="1">TODAY()-Inventory_Table[[#This Row],[Last_Order_Date]]</f>
        <v>652</v>
      </c>
    </row>
    <row r="532" spans="1:22" x14ac:dyDescent="0.35">
      <c r="A532" t="s">
        <v>423</v>
      </c>
      <c r="B532" t="s">
        <v>65</v>
      </c>
      <c r="C532" t="s">
        <v>2311</v>
      </c>
      <c r="D532" t="s">
        <v>2312</v>
      </c>
      <c r="E532" t="s">
        <v>68</v>
      </c>
      <c r="F532" t="s">
        <v>2313</v>
      </c>
      <c r="G532" t="s">
        <v>2314</v>
      </c>
      <c r="H532" s="1">
        <v>46351</v>
      </c>
      <c r="I532" s="6">
        <v>45396</v>
      </c>
      <c r="J532" s="6">
        <v>46244</v>
      </c>
      <c r="K532">
        <v>98</v>
      </c>
      <c r="L532">
        <v>30</v>
      </c>
      <c r="M532">
        <v>39</v>
      </c>
      <c r="N532" s="8">
        <v>10</v>
      </c>
      <c r="O532">
        <v>31</v>
      </c>
      <c r="P532">
        <v>26</v>
      </c>
      <c r="Q532" s="3">
        <v>-1.08</v>
      </c>
      <c r="R532">
        <f>Inventory_Table[[#This Row],[Stock_Quantity]]*Inventory_Table[[#This Row],[Unit_Price]]</f>
        <v>980</v>
      </c>
      <c r="S532">
        <f>Inventory_Table[[#This Row],[Sales_Volume]]*Inventory_Table[[#This Row],[Unit_Price]]</f>
        <v>310</v>
      </c>
      <c r="T532" t="str">
        <f>IF(Inventory_Table[[#This Row],[Stock_Quantity]]&lt;=Inventory_Table[[#This Row],[Reorder_Level]],"REORDER","OK")</f>
        <v>OK</v>
      </c>
      <c r="U532" t="s">
        <v>3836</v>
      </c>
      <c r="V532" s="14">
        <f ca="1">TODAY()-Inventory_Table[[#This Row],[Last_Order_Date]]</f>
        <v>780</v>
      </c>
    </row>
    <row r="533" spans="1:22" x14ac:dyDescent="0.35">
      <c r="A533" t="s">
        <v>217</v>
      </c>
      <c r="B533" t="s">
        <v>65</v>
      </c>
      <c r="C533" t="s">
        <v>1580</v>
      </c>
      <c r="D533" t="s">
        <v>2315</v>
      </c>
      <c r="E533" t="s">
        <v>68</v>
      </c>
      <c r="F533" t="s">
        <v>2316</v>
      </c>
      <c r="G533" t="s">
        <v>2317</v>
      </c>
      <c r="H533" s="1">
        <v>46352</v>
      </c>
      <c r="I533" s="6">
        <v>45541</v>
      </c>
      <c r="J533" s="6">
        <v>46286</v>
      </c>
      <c r="K533">
        <v>95</v>
      </c>
      <c r="L533">
        <v>93</v>
      </c>
      <c r="M533">
        <v>16</v>
      </c>
      <c r="N533" s="8">
        <v>4.5</v>
      </c>
      <c r="O533">
        <v>60</v>
      </c>
      <c r="P533">
        <v>19</v>
      </c>
      <c r="Q533" s="3">
        <v>0.16</v>
      </c>
      <c r="R533">
        <f>Inventory_Table[[#This Row],[Stock_Quantity]]*Inventory_Table[[#This Row],[Unit_Price]]</f>
        <v>427.5</v>
      </c>
      <c r="S533">
        <f>Inventory_Table[[#This Row],[Sales_Volume]]*Inventory_Table[[#This Row],[Unit_Price]]</f>
        <v>270</v>
      </c>
      <c r="T533" t="str">
        <f>IF(Inventory_Table[[#This Row],[Stock_Quantity]]&lt;=Inventory_Table[[#This Row],[Reorder_Level]],"REORDER","OK")</f>
        <v>OK</v>
      </c>
      <c r="U533" t="s">
        <v>3836</v>
      </c>
      <c r="V533" s="14">
        <f ca="1">TODAY()-Inventory_Table[[#This Row],[Last_Order_Date]]</f>
        <v>635</v>
      </c>
    </row>
    <row r="534" spans="1:22" x14ac:dyDescent="0.35">
      <c r="A534" t="s">
        <v>26</v>
      </c>
      <c r="B534" t="s">
        <v>27</v>
      </c>
      <c r="C534" t="s">
        <v>838</v>
      </c>
      <c r="D534" t="s">
        <v>2318</v>
      </c>
      <c r="E534" t="s">
        <v>21</v>
      </c>
      <c r="F534" t="s">
        <v>2319</v>
      </c>
      <c r="G534" t="s">
        <v>2320</v>
      </c>
      <c r="H534" s="1">
        <v>46352</v>
      </c>
      <c r="I534" s="6">
        <v>45545</v>
      </c>
      <c r="J534" s="6">
        <v>46237</v>
      </c>
      <c r="K534">
        <v>70</v>
      </c>
      <c r="L534">
        <v>96</v>
      </c>
      <c r="M534">
        <v>21</v>
      </c>
      <c r="N534" s="8">
        <v>2</v>
      </c>
      <c r="O534">
        <v>100</v>
      </c>
      <c r="P534">
        <v>15</v>
      </c>
      <c r="Q534" s="3">
        <v>0.68</v>
      </c>
      <c r="R534">
        <f>Inventory_Table[[#This Row],[Stock_Quantity]]*Inventory_Table[[#This Row],[Unit_Price]]</f>
        <v>140</v>
      </c>
      <c r="S534">
        <f>Inventory_Table[[#This Row],[Sales_Volume]]*Inventory_Table[[#This Row],[Unit_Price]]</f>
        <v>200</v>
      </c>
      <c r="T534" t="str">
        <f>IF(Inventory_Table[[#This Row],[Stock_Quantity]]&lt;=Inventory_Table[[#This Row],[Reorder_Level]],"REORDER","OK")</f>
        <v>REORDER</v>
      </c>
      <c r="U534" t="s">
        <v>3836</v>
      </c>
      <c r="V534" s="14">
        <f ca="1">TODAY()-Inventory_Table[[#This Row],[Last_Order_Date]]</f>
        <v>631</v>
      </c>
    </row>
    <row r="535" spans="1:22" x14ac:dyDescent="0.35">
      <c r="A535" t="s">
        <v>1527</v>
      </c>
      <c r="B535" t="s">
        <v>18</v>
      </c>
      <c r="C535" t="s">
        <v>654</v>
      </c>
      <c r="D535" t="s">
        <v>2321</v>
      </c>
      <c r="E535" t="s">
        <v>68</v>
      </c>
      <c r="F535" t="s">
        <v>2322</v>
      </c>
      <c r="G535" t="s">
        <v>2323</v>
      </c>
      <c r="H535" s="1">
        <v>46352</v>
      </c>
      <c r="I535" s="6">
        <v>45639</v>
      </c>
      <c r="J535" s="6">
        <v>46357</v>
      </c>
      <c r="K535">
        <v>20</v>
      </c>
      <c r="L535">
        <v>91</v>
      </c>
      <c r="M535">
        <v>12</v>
      </c>
      <c r="N535" s="8">
        <v>4.5</v>
      </c>
      <c r="O535">
        <v>35</v>
      </c>
      <c r="P535">
        <v>50</v>
      </c>
      <c r="Q535" s="3">
        <v>0.85</v>
      </c>
      <c r="R535">
        <f>Inventory_Table[[#This Row],[Stock_Quantity]]*Inventory_Table[[#This Row],[Unit_Price]]</f>
        <v>90</v>
      </c>
      <c r="S535">
        <f>Inventory_Table[[#This Row],[Sales_Volume]]*Inventory_Table[[#This Row],[Unit_Price]]</f>
        <v>157.5</v>
      </c>
      <c r="T535" t="str">
        <f>IF(Inventory_Table[[#This Row],[Stock_Quantity]]&lt;=Inventory_Table[[#This Row],[Reorder_Level]],"REORDER","OK")</f>
        <v>REORDER</v>
      </c>
      <c r="U535" t="s">
        <v>3836</v>
      </c>
      <c r="V535" s="14">
        <f ca="1">TODAY()-Inventory_Table[[#This Row],[Last_Order_Date]]</f>
        <v>537</v>
      </c>
    </row>
    <row r="536" spans="1:22" x14ac:dyDescent="0.35">
      <c r="A536" t="s">
        <v>356</v>
      </c>
      <c r="B536" t="s">
        <v>18</v>
      </c>
      <c r="C536" t="s">
        <v>804</v>
      </c>
      <c r="D536" t="s">
        <v>2324</v>
      </c>
      <c r="E536" t="s">
        <v>21</v>
      </c>
      <c r="F536" t="s">
        <v>2325</v>
      </c>
      <c r="G536" t="s">
        <v>2326</v>
      </c>
      <c r="H536" s="1">
        <v>46352</v>
      </c>
      <c r="I536" s="6">
        <v>45509</v>
      </c>
      <c r="J536" s="6">
        <v>46199</v>
      </c>
      <c r="K536">
        <v>18</v>
      </c>
      <c r="L536">
        <v>7</v>
      </c>
      <c r="M536">
        <v>58</v>
      </c>
      <c r="N536" s="8">
        <v>3.5</v>
      </c>
      <c r="O536">
        <v>88</v>
      </c>
      <c r="P536">
        <v>96</v>
      </c>
      <c r="Q536" s="3">
        <v>-0.43</v>
      </c>
      <c r="R536">
        <f>Inventory_Table[[#This Row],[Stock_Quantity]]*Inventory_Table[[#This Row],[Unit_Price]]</f>
        <v>63</v>
      </c>
      <c r="S536">
        <f>Inventory_Table[[#This Row],[Sales_Volume]]*Inventory_Table[[#This Row],[Unit_Price]]</f>
        <v>308</v>
      </c>
      <c r="T536" t="str">
        <f>IF(Inventory_Table[[#This Row],[Stock_Quantity]]&lt;=Inventory_Table[[#This Row],[Reorder_Level]],"REORDER","OK")</f>
        <v>OK</v>
      </c>
      <c r="U536" t="s">
        <v>3837</v>
      </c>
      <c r="V536" s="14">
        <f ca="1">TODAY()-Inventory_Table[[#This Row],[Last_Order_Date]]</f>
        <v>667</v>
      </c>
    </row>
    <row r="537" spans="1:22" x14ac:dyDescent="0.35">
      <c r="A537" t="s">
        <v>741</v>
      </c>
      <c r="B537" t="s">
        <v>27</v>
      </c>
      <c r="C537" t="s">
        <v>1377</v>
      </c>
      <c r="D537" t="s">
        <v>2327</v>
      </c>
      <c r="E537" t="s">
        <v>21</v>
      </c>
      <c r="F537" t="s">
        <v>2328</v>
      </c>
      <c r="G537" t="s">
        <v>2329</v>
      </c>
      <c r="H537" s="1">
        <v>46352</v>
      </c>
      <c r="I537" s="6">
        <v>45519</v>
      </c>
      <c r="J537" s="6">
        <v>46120</v>
      </c>
      <c r="K537">
        <v>54</v>
      </c>
      <c r="L537">
        <v>86</v>
      </c>
      <c r="M537">
        <v>69</v>
      </c>
      <c r="N537" s="8">
        <v>5</v>
      </c>
      <c r="O537">
        <v>29</v>
      </c>
      <c r="P537">
        <v>8</v>
      </c>
      <c r="Q537" s="3">
        <v>-0.09</v>
      </c>
      <c r="R537">
        <f>Inventory_Table[[#This Row],[Stock_Quantity]]*Inventory_Table[[#This Row],[Unit_Price]]</f>
        <v>270</v>
      </c>
      <c r="S537">
        <f>Inventory_Table[[#This Row],[Sales_Volume]]*Inventory_Table[[#This Row],[Unit_Price]]</f>
        <v>145</v>
      </c>
      <c r="T537" t="str">
        <f>IF(Inventory_Table[[#This Row],[Stock_Quantity]]&lt;=Inventory_Table[[#This Row],[Reorder_Level]],"REORDER","OK")</f>
        <v>REORDER</v>
      </c>
      <c r="U537" t="s">
        <v>3838</v>
      </c>
      <c r="V537" s="14">
        <f ca="1">TODAY()-Inventory_Table[[#This Row],[Last_Order_Date]]</f>
        <v>657</v>
      </c>
    </row>
    <row r="538" spans="1:22" x14ac:dyDescent="0.35">
      <c r="A538" t="s">
        <v>1527</v>
      </c>
      <c r="B538" t="s">
        <v>18</v>
      </c>
      <c r="C538" t="s">
        <v>625</v>
      </c>
      <c r="D538" t="s">
        <v>2330</v>
      </c>
      <c r="E538" t="s">
        <v>21</v>
      </c>
      <c r="F538" t="s">
        <v>2331</v>
      </c>
      <c r="G538" t="s">
        <v>2332</v>
      </c>
      <c r="H538" s="1">
        <v>46352</v>
      </c>
      <c r="I538" s="6">
        <v>45352</v>
      </c>
      <c r="J538" s="6">
        <v>46261</v>
      </c>
      <c r="K538">
        <v>19</v>
      </c>
      <c r="L538">
        <v>28</v>
      </c>
      <c r="M538">
        <v>83</v>
      </c>
      <c r="N538" s="8">
        <v>4.5</v>
      </c>
      <c r="O538">
        <v>91</v>
      </c>
      <c r="P538">
        <v>73</v>
      </c>
      <c r="Q538" s="3">
        <v>0.72</v>
      </c>
      <c r="R538">
        <f>Inventory_Table[[#This Row],[Stock_Quantity]]*Inventory_Table[[#This Row],[Unit_Price]]</f>
        <v>85.5</v>
      </c>
      <c r="S538">
        <f>Inventory_Table[[#This Row],[Sales_Volume]]*Inventory_Table[[#This Row],[Unit_Price]]</f>
        <v>409.5</v>
      </c>
      <c r="T538" t="str">
        <f>IF(Inventory_Table[[#This Row],[Stock_Quantity]]&lt;=Inventory_Table[[#This Row],[Reorder_Level]],"REORDER","OK")</f>
        <v>REORDER</v>
      </c>
      <c r="U538" t="s">
        <v>3836</v>
      </c>
      <c r="V538" s="14">
        <f ca="1">TODAY()-Inventory_Table[[#This Row],[Last_Order_Date]]</f>
        <v>824</v>
      </c>
    </row>
    <row r="539" spans="1:22" x14ac:dyDescent="0.35">
      <c r="A539" t="s">
        <v>142</v>
      </c>
      <c r="B539" t="s">
        <v>36</v>
      </c>
      <c r="C539" t="s">
        <v>963</v>
      </c>
      <c r="D539" t="s">
        <v>2333</v>
      </c>
      <c r="E539" t="s">
        <v>68</v>
      </c>
      <c r="F539" t="s">
        <v>2334</v>
      </c>
      <c r="G539" t="s">
        <v>2335</v>
      </c>
      <c r="H539" s="1">
        <v>46353</v>
      </c>
      <c r="I539" s="6">
        <v>45675</v>
      </c>
      <c r="J539" s="6">
        <v>46393</v>
      </c>
      <c r="K539">
        <v>66</v>
      </c>
      <c r="L539">
        <v>40</v>
      </c>
      <c r="M539">
        <v>8</v>
      </c>
      <c r="N539" s="8">
        <v>6</v>
      </c>
      <c r="O539">
        <v>43</v>
      </c>
      <c r="P539">
        <v>49</v>
      </c>
      <c r="Q539" s="3">
        <v>0.2</v>
      </c>
      <c r="R539">
        <f>Inventory_Table[[#This Row],[Stock_Quantity]]*Inventory_Table[[#This Row],[Unit_Price]]</f>
        <v>396</v>
      </c>
      <c r="S539">
        <f>Inventory_Table[[#This Row],[Sales_Volume]]*Inventory_Table[[#This Row],[Unit_Price]]</f>
        <v>258</v>
      </c>
      <c r="T539" t="str">
        <f>IF(Inventory_Table[[#This Row],[Stock_Quantity]]&lt;=Inventory_Table[[#This Row],[Reorder_Level]],"REORDER","OK")</f>
        <v>OK</v>
      </c>
      <c r="U539" t="s">
        <v>3836</v>
      </c>
      <c r="V539" s="14">
        <f ca="1">TODAY()-Inventory_Table[[#This Row],[Last_Order_Date]]</f>
        <v>501</v>
      </c>
    </row>
    <row r="540" spans="1:22" x14ac:dyDescent="0.35">
      <c r="A540" t="s">
        <v>496</v>
      </c>
      <c r="B540" t="s">
        <v>18</v>
      </c>
      <c r="C540" t="s">
        <v>2336</v>
      </c>
      <c r="D540" t="s">
        <v>2337</v>
      </c>
      <c r="E540" t="s">
        <v>21</v>
      </c>
      <c r="F540" t="s">
        <v>2338</v>
      </c>
      <c r="G540" t="s">
        <v>2339</v>
      </c>
      <c r="H540" s="1">
        <v>46353</v>
      </c>
      <c r="I540" s="6">
        <v>45412</v>
      </c>
      <c r="J540" s="6">
        <v>46195</v>
      </c>
      <c r="K540">
        <v>88</v>
      </c>
      <c r="L540">
        <v>27</v>
      </c>
      <c r="M540">
        <v>92</v>
      </c>
      <c r="N540" s="8">
        <v>5.5</v>
      </c>
      <c r="O540">
        <v>57</v>
      </c>
      <c r="P540">
        <v>37</v>
      </c>
      <c r="Q540" s="3">
        <v>-0.14000000000000001</v>
      </c>
      <c r="R540">
        <f>Inventory_Table[[#This Row],[Stock_Quantity]]*Inventory_Table[[#This Row],[Unit_Price]]</f>
        <v>484</v>
      </c>
      <c r="S540">
        <f>Inventory_Table[[#This Row],[Sales_Volume]]*Inventory_Table[[#This Row],[Unit_Price]]</f>
        <v>313.5</v>
      </c>
      <c r="T540" t="str">
        <f>IF(Inventory_Table[[#This Row],[Stock_Quantity]]&lt;=Inventory_Table[[#This Row],[Reorder_Level]],"REORDER","OK")</f>
        <v>OK</v>
      </c>
      <c r="U540" t="s">
        <v>3837</v>
      </c>
      <c r="V540" s="14">
        <f ca="1">TODAY()-Inventory_Table[[#This Row],[Last_Order_Date]]</f>
        <v>764</v>
      </c>
    </row>
    <row r="541" spans="1:22" x14ac:dyDescent="0.35">
      <c r="A541" t="s">
        <v>194</v>
      </c>
      <c r="B541" t="s">
        <v>114</v>
      </c>
      <c r="C541" t="s">
        <v>2340</v>
      </c>
      <c r="D541" t="s">
        <v>2341</v>
      </c>
      <c r="E541" t="s">
        <v>21</v>
      </c>
      <c r="F541" t="s">
        <v>2342</v>
      </c>
      <c r="G541" t="s">
        <v>2343</v>
      </c>
      <c r="H541" s="1">
        <v>46353</v>
      </c>
      <c r="I541" s="6">
        <v>45348</v>
      </c>
      <c r="J541" s="6">
        <v>46210</v>
      </c>
      <c r="K541">
        <v>71</v>
      </c>
      <c r="L541">
        <v>97</v>
      </c>
      <c r="M541">
        <v>44</v>
      </c>
      <c r="N541" s="8">
        <v>4</v>
      </c>
      <c r="O541">
        <v>58</v>
      </c>
      <c r="P541">
        <v>14</v>
      </c>
      <c r="Q541" s="3">
        <v>0.35</v>
      </c>
      <c r="R541">
        <f>Inventory_Table[[#This Row],[Stock_Quantity]]*Inventory_Table[[#This Row],[Unit_Price]]</f>
        <v>284</v>
      </c>
      <c r="S541">
        <f>Inventory_Table[[#This Row],[Sales_Volume]]*Inventory_Table[[#This Row],[Unit_Price]]</f>
        <v>232</v>
      </c>
      <c r="T541" t="str">
        <f>IF(Inventory_Table[[#This Row],[Stock_Quantity]]&lt;=Inventory_Table[[#This Row],[Reorder_Level]],"REORDER","OK")</f>
        <v>REORDER</v>
      </c>
      <c r="U541" t="s">
        <v>3836</v>
      </c>
      <c r="V541" s="14">
        <f ca="1">TODAY()-Inventory_Table[[#This Row],[Last_Order_Date]]</f>
        <v>828</v>
      </c>
    </row>
    <row r="542" spans="1:22" x14ac:dyDescent="0.35">
      <c r="A542" t="s">
        <v>376</v>
      </c>
      <c r="B542" t="s">
        <v>18</v>
      </c>
      <c r="C542" t="s">
        <v>2344</v>
      </c>
      <c r="D542" t="s">
        <v>2345</v>
      </c>
      <c r="E542" t="s">
        <v>68</v>
      </c>
      <c r="F542" t="s">
        <v>2346</v>
      </c>
      <c r="G542" t="s">
        <v>2347</v>
      </c>
      <c r="H542" s="1">
        <v>46353</v>
      </c>
      <c r="I542" s="6">
        <v>45530</v>
      </c>
      <c r="J542" s="6">
        <v>46197</v>
      </c>
      <c r="K542">
        <v>39</v>
      </c>
      <c r="L542">
        <v>37</v>
      </c>
      <c r="M542">
        <v>48</v>
      </c>
      <c r="N542" s="8">
        <v>2</v>
      </c>
      <c r="O542">
        <v>25</v>
      </c>
      <c r="P542">
        <v>19</v>
      </c>
      <c r="Q542" s="3">
        <v>0.76</v>
      </c>
      <c r="R542">
        <f>Inventory_Table[[#This Row],[Stock_Quantity]]*Inventory_Table[[#This Row],[Unit_Price]]</f>
        <v>78</v>
      </c>
      <c r="S542">
        <f>Inventory_Table[[#This Row],[Sales_Volume]]*Inventory_Table[[#This Row],[Unit_Price]]</f>
        <v>50</v>
      </c>
      <c r="T542" t="str">
        <f>IF(Inventory_Table[[#This Row],[Stock_Quantity]]&lt;=Inventory_Table[[#This Row],[Reorder_Level]],"REORDER","OK")</f>
        <v>OK</v>
      </c>
      <c r="U542" t="s">
        <v>3837</v>
      </c>
      <c r="V542" s="14">
        <f ca="1">TODAY()-Inventory_Table[[#This Row],[Last_Order_Date]]</f>
        <v>646</v>
      </c>
    </row>
    <row r="543" spans="1:22" x14ac:dyDescent="0.35">
      <c r="A543" t="s">
        <v>408</v>
      </c>
      <c r="B543" t="s">
        <v>18</v>
      </c>
      <c r="C543" t="s">
        <v>2348</v>
      </c>
      <c r="D543" t="s">
        <v>2349</v>
      </c>
      <c r="E543" t="s">
        <v>21</v>
      </c>
      <c r="F543" t="s">
        <v>2350</v>
      </c>
      <c r="G543" t="s">
        <v>2351</v>
      </c>
      <c r="H543" s="1">
        <v>46354</v>
      </c>
      <c r="I543" s="6">
        <v>45684</v>
      </c>
      <c r="J543" s="6">
        <v>46438</v>
      </c>
      <c r="K543">
        <v>20</v>
      </c>
      <c r="L543">
        <v>42</v>
      </c>
      <c r="M543">
        <v>21</v>
      </c>
      <c r="N543" s="8">
        <v>3.85</v>
      </c>
      <c r="O543">
        <v>61</v>
      </c>
      <c r="P543">
        <v>25</v>
      </c>
      <c r="Q543" s="3">
        <v>0.24</v>
      </c>
      <c r="R543">
        <f>Inventory_Table[[#This Row],[Stock_Quantity]]*Inventory_Table[[#This Row],[Unit_Price]]</f>
        <v>77</v>
      </c>
      <c r="S543">
        <f>Inventory_Table[[#This Row],[Sales_Volume]]*Inventory_Table[[#This Row],[Unit_Price]]</f>
        <v>234.85</v>
      </c>
      <c r="T543" t="str">
        <f>IF(Inventory_Table[[#This Row],[Stock_Quantity]]&lt;=Inventory_Table[[#This Row],[Reorder_Level]],"REORDER","OK")</f>
        <v>REORDER</v>
      </c>
      <c r="U543" t="s">
        <v>3836</v>
      </c>
      <c r="V543" s="14">
        <f ca="1">TODAY()-Inventory_Table[[#This Row],[Last_Order_Date]]</f>
        <v>492</v>
      </c>
    </row>
    <row r="544" spans="1:22" x14ac:dyDescent="0.35">
      <c r="A544" t="s">
        <v>708</v>
      </c>
      <c r="B544" t="s">
        <v>163</v>
      </c>
      <c r="C544" t="s">
        <v>357</v>
      </c>
      <c r="D544" t="s">
        <v>2352</v>
      </c>
      <c r="E544" t="s">
        <v>21</v>
      </c>
      <c r="F544" t="s">
        <v>2353</v>
      </c>
      <c r="G544" t="s">
        <v>2354</v>
      </c>
      <c r="H544" s="1">
        <v>46354</v>
      </c>
      <c r="I544" s="6">
        <v>45559</v>
      </c>
      <c r="J544" s="6">
        <v>46264</v>
      </c>
      <c r="K544">
        <v>33</v>
      </c>
      <c r="L544">
        <v>22</v>
      </c>
      <c r="M544">
        <v>94</v>
      </c>
      <c r="N544" s="8">
        <v>15</v>
      </c>
      <c r="O544">
        <v>96</v>
      </c>
      <c r="P544">
        <v>56</v>
      </c>
      <c r="Q544" s="3">
        <v>0.59</v>
      </c>
      <c r="R544">
        <f>Inventory_Table[[#This Row],[Stock_Quantity]]*Inventory_Table[[#This Row],[Unit_Price]]</f>
        <v>495</v>
      </c>
      <c r="S544">
        <f>Inventory_Table[[#This Row],[Sales_Volume]]*Inventory_Table[[#This Row],[Unit_Price]]</f>
        <v>1440</v>
      </c>
      <c r="T544" t="str">
        <f>IF(Inventory_Table[[#This Row],[Stock_Quantity]]&lt;=Inventory_Table[[#This Row],[Reorder_Level]],"REORDER","OK")</f>
        <v>OK</v>
      </c>
      <c r="U544" t="s">
        <v>3836</v>
      </c>
      <c r="V544" s="14">
        <f ca="1">TODAY()-Inventory_Table[[#This Row],[Last_Order_Date]]</f>
        <v>617</v>
      </c>
    </row>
    <row r="545" spans="1:22" x14ac:dyDescent="0.35">
      <c r="A545" t="s">
        <v>247</v>
      </c>
      <c r="B545" t="s">
        <v>18</v>
      </c>
      <c r="C545" t="s">
        <v>1822</v>
      </c>
      <c r="D545" t="s">
        <v>2355</v>
      </c>
      <c r="E545" t="s">
        <v>30</v>
      </c>
      <c r="F545" t="s">
        <v>2356</v>
      </c>
      <c r="G545" t="s">
        <v>2357</v>
      </c>
      <c r="H545" s="1">
        <v>46355</v>
      </c>
      <c r="I545" s="6">
        <v>45695</v>
      </c>
      <c r="J545" s="6">
        <v>46391</v>
      </c>
      <c r="K545">
        <v>29</v>
      </c>
      <c r="L545">
        <v>83</v>
      </c>
      <c r="M545">
        <v>91</v>
      </c>
      <c r="N545" s="8">
        <v>2</v>
      </c>
      <c r="O545">
        <v>81</v>
      </c>
      <c r="P545">
        <v>53</v>
      </c>
      <c r="Q545" s="3">
        <v>0.42</v>
      </c>
      <c r="R545">
        <f>Inventory_Table[[#This Row],[Stock_Quantity]]*Inventory_Table[[#This Row],[Unit_Price]]</f>
        <v>58</v>
      </c>
      <c r="S545">
        <f>Inventory_Table[[#This Row],[Sales_Volume]]*Inventory_Table[[#This Row],[Unit_Price]]</f>
        <v>162</v>
      </c>
      <c r="T545" t="str">
        <f>IF(Inventory_Table[[#This Row],[Stock_Quantity]]&lt;=Inventory_Table[[#This Row],[Reorder_Level]],"REORDER","OK")</f>
        <v>REORDER</v>
      </c>
      <c r="U545" t="s">
        <v>3836</v>
      </c>
      <c r="V545" s="14">
        <f ca="1">TODAY()-Inventory_Table[[#This Row],[Last_Order_Date]]</f>
        <v>481</v>
      </c>
    </row>
    <row r="546" spans="1:22" x14ac:dyDescent="0.35">
      <c r="A546" t="s">
        <v>418</v>
      </c>
      <c r="B546" t="s">
        <v>65</v>
      </c>
      <c r="C546" t="s">
        <v>2054</v>
      </c>
      <c r="D546" t="s">
        <v>2358</v>
      </c>
      <c r="E546" t="s">
        <v>30</v>
      </c>
      <c r="F546" t="s">
        <v>2359</v>
      </c>
      <c r="G546" t="s">
        <v>2360</v>
      </c>
      <c r="H546" s="1">
        <v>46355</v>
      </c>
      <c r="I546" s="6">
        <v>45627</v>
      </c>
      <c r="J546" s="6">
        <v>46407</v>
      </c>
      <c r="K546">
        <v>92</v>
      </c>
      <c r="L546">
        <v>48</v>
      </c>
      <c r="M546">
        <v>22</v>
      </c>
      <c r="N546" s="8">
        <v>6.25</v>
      </c>
      <c r="O546">
        <v>38</v>
      </c>
      <c r="P546">
        <v>61</v>
      </c>
      <c r="Q546" s="3">
        <v>0.35</v>
      </c>
      <c r="R546">
        <f>Inventory_Table[[#This Row],[Stock_Quantity]]*Inventory_Table[[#This Row],[Unit_Price]]</f>
        <v>575</v>
      </c>
      <c r="S546">
        <f>Inventory_Table[[#This Row],[Sales_Volume]]*Inventory_Table[[#This Row],[Unit_Price]]</f>
        <v>237.5</v>
      </c>
      <c r="T546" t="str">
        <f>IF(Inventory_Table[[#This Row],[Stock_Quantity]]&lt;=Inventory_Table[[#This Row],[Reorder_Level]],"REORDER","OK")</f>
        <v>OK</v>
      </c>
      <c r="U546" t="s">
        <v>3836</v>
      </c>
      <c r="V546" s="14">
        <f ca="1">TODAY()-Inventory_Table[[#This Row],[Last_Order_Date]]</f>
        <v>549</v>
      </c>
    </row>
    <row r="547" spans="1:22" x14ac:dyDescent="0.35">
      <c r="A547" t="s">
        <v>350</v>
      </c>
      <c r="B547" t="s">
        <v>36</v>
      </c>
      <c r="C547" t="s">
        <v>2002</v>
      </c>
      <c r="D547" t="s">
        <v>2362</v>
      </c>
      <c r="E547" t="s">
        <v>30</v>
      </c>
      <c r="F547" t="s">
        <v>2363</v>
      </c>
      <c r="G547" t="s">
        <v>2364</v>
      </c>
      <c r="H547" s="1">
        <v>46356</v>
      </c>
      <c r="I547" s="6">
        <v>45521</v>
      </c>
      <c r="J547" s="6">
        <v>46214</v>
      </c>
      <c r="K547">
        <v>70</v>
      </c>
      <c r="L547">
        <v>92</v>
      </c>
      <c r="M547">
        <v>74</v>
      </c>
      <c r="N547" s="8">
        <v>1</v>
      </c>
      <c r="O547">
        <v>95</v>
      </c>
      <c r="P547">
        <v>26</v>
      </c>
      <c r="Q547" s="3">
        <v>-0.61</v>
      </c>
      <c r="R547">
        <f>Inventory_Table[[#This Row],[Stock_Quantity]]*Inventory_Table[[#This Row],[Unit_Price]]</f>
        <v>70</v>
      </c>
      <c r="S547">
        <f>Inventory_Table[[#This Row],[Sales_Volume]]*Inventory_Table[[#This Row],[Unit_Price]]</f>
        <v>95</v>
      </c>
      <c r="T547" t="str">
        <f>IF(Inventory_Table[[#This Row],[Stock_Quantity]]&lt;=Inventory_Table[[#This Row],[Reorder_Level]],"REORDER","OK")</f>
        <v>REORDER</v>
      </c>
      <c r="U547" t="s">
        <v>3836</v>
      </c>
      <c r="V547" s="14">
        <f ca="1">TODAY()-Inventory_Table[[#This Row],[Last_Order_Date]]</f>
        <v>655</v>
      </c>
    </row>
    <row r="548" spans="1:22" x14ac:dyDescent="0.35">
      <c r="A548" t="s">
        <v>35</v>
      </c>
      <c r="B548" t="s">
        <v>36</v>
      </c>
      <c r="C548" t="s">
        <v>254</v>
      </c>
      <c r="D548" t="s">
        <v>2365</v>
      </c>
      <c r="E548" t="s">
        <v>30</v>
      </c>
      <c r="F548" t="s">
        <v>2366</v>
      </c>
      <c r="G548" t="s">
        <v>2367</v>
      </c>
      <c r="H548" s="1">
        <v>46356</v>
      </c>
      <c r="I548" s="6">
        <v>45625</v>
      </c>
      <c r="J548" s="6">
        <v>46124</v>
      </c>
      <c r="K548">
        <v>65</v>
      </c>
      <c r="L548">
        <v>54</v>
      </c>
      <c r="M548">
        <v>29</v>
      </c>
      <c r="N548" s="8">
        <v>12</v>
      </c>
      <c r="O548">
        <v>69</v>
      </c>
      <c r="P548">
        <v>79</v>
      </c>
      <c r="Q548" s="3">
        <v>0.73</v>
      </c>
      <c r="R548">
        <f>Inventory_Table[[#This Row],[Stock_Quantity]]*Inventory_Table[[#This Row],[Unit_Price]]</f>
        <v>780</v>
      </c>
      <c r="S548">
        <f>Inventory_Table[[#This Row],[Sales_Volume]]*Inventory_Table[[#This Row],[Unit_Price]]</f>
        <v>828</v>
      </c>
      <c r="T548" t="str">
        <f>IF(Inventory_Table[[#This Row],[Stock_Quantity]]&lt;=Inventory_Table[[#This Row],[Reorder_Level]],"REORDER","OK")</f>
        <v>OK</v>
      </c>
      <c r="U548" t="s">
        <v>3838</v>
      </c>
      <c r="V548" s="14">
        <f ca="1">TODAY()-Inventory_Table[[#This Row],[Last_Order_Date]]</f>
        <v>551</v>
      </c>
    </row>
    <row r="549" spans="1:22" x14ac:dyDescent="0.35">
      <c r="A549" t="s">
        <v>685</v>
      </c>
      <c r="B549" t="s">
        <v>114</v>
      </c>
      <c r="C549" t="s">
        <v>1794</v>
      </c>
      <c r="D549" t="s">
        <v>2368</v>
      </c>
      <c r="E549" t="s">
        <v>21</v>
      </c>
      <c r="F549" t="s">
        <v>2369</v>
      </c>
      <c r="G549" t="s">
        <v>2370</v>
      </c>
      <c r="H549" s="1">
        <v>46369</v>
      </c>
      <c r="I549" s="6">
        <v>45697</v>
      </c>
      <c r="J549" s="6">
        <v>46221</v>
      </c>
      <c r="K549">
        <v>26</v>
      </c>
      <c r="L549">
        <v>79</v>
      </c>
      <c r="M549">
        <v>31</v>
      </c>
      <c r="N549" s="8">
        <v>3</v>
      </c>
      <c r="O549">
        <v>47</v>
      </c>
      <c r="P549">
        <v>41</v>
      </c>
      <c r="Q549" s="3">
        <v>-0.14000000000000001</v>
      </c>
      <c r="R549">
        <f>Inventory_Table[[#This Row],[Stock_Quantity]]*Inventory_Table[[#This Row],[Unit_Price]]</f>
        <v>78</v>
      </c>
      <c r="S549">
        <f>Inventory_Table[[#This Row],[Sales_Volume]]*Inventory_Table[[#This Row],[Unit_Price]]</f>
        <v>141</v>
      </c>
      <c r="T549" t="str">
        <f>IF(Inventory_Table[[#This Row],[Stock_Quantity]]&lt;=Inventory_Table[[#This Row],[Reorder_Level]],"REORDER","OK")</f>
        <v>REORDER</v>
      </c>
      <c r="U549" t="s">
        <v>3836</v>
      </c>
      <c r="V549" s="14">
        <f ca="1">TODAY()-Inventory_Table[[#This Row],[Last_Order_Date]]</f>
        <v>479</v>
      </c>
    </row>
    <row r="550" spans="1:22" x14ac:dyDescent="0.35">
      <c r="A550" t="s">
        <v>1008</v>
      </c>
      <c r="B550" t="s">
        <v>18</v>
      </c>
      <c r="C550" t="s">
        <v>2371</v>
      </c>
      <c r="D550" t="s">
        <v>2372</v>
      </c>
      <c r="E550" t="s">
        <v>30</v>
      </c>
      <c r="F550" t="s">
        <v>2373</v>
      </c>
      <c r="G550" t="s">
        <v>2374</v>
      </c>
      <c r="H550" s="1">
        <v>46369</v>
      </c>
      <c r="I550" s="6">
        <v>45684</v>
      </c>
      <c r="J550" s="6">
        <v>46253</v>
      </c>
      <c r="K550">
        <v>99</v>
      </c>
      <c r="L550">
        <v>1</v>
      </c>
      <c r="M550">
        <v>4</v>
      </c>
      <c r="N550" s="8">
        <v>3</v>
      </c>
      <c r="O550">
        <v>50</v>
      </c>
      <c r="P550">
        <v>53</v>
      </c>
      <c r="Q550" s="3">
        <v>0.13</v>
      </c>
      <c r="R550">
        <f>Inventory_Table[[#This Row],[Stock_Quantity]]*Inventory_Table[[#This Row],[Unit_Price]]</f>
        <v>297</v>
      </c>
      <c r="S550">
        <f>Inventory_Table[[#This Row],[Sales_Volume]]*Inventory_Table[[#This Row],[Unit_Price]]</f>
        <v>150</v>
      </c>
      <c r="T550" t="str">
        <f>IF(Inventory_Table[[#This Row],[Stock_Quantity]]&lt;=Inventory_Table[[#This Row],[Reorder_Level]],"REORDER","OK")</f>
        <v>OK</v>
      </c>
      <c r="U550" t="s">
        <v>3836</v>
      </c>
      <c r="V550" s="14">
        <f ca="1">TODAY()-Inventory_Table[[#This Row],[Last_Order_Date]]</f>
        <v>492</v>
      </c>
    </row>
    <row r="551" spans="1:22" x14ac:dyDescent="0.35">
      <c r="A551" t="s">
        <v>1030</v>
      </c>
      <c r="B551" t="s">
        <v>114</v>
      </c>
      <c r="C551" t="s">
        <v>630</v>
      </c>
      <c r="D551" t="s">
        <v>2375</v>
      </c>
      <c r="E551" t="s">
        <v>68</v>
      </c>
      <c r="F551" t="s">
        <v>2376</v>
      </c>
      <c r="G551" t="s">
        <v>2377</v>
      </c>
      <c r="H551" s="1">
        <v>46369</v>
      </c>
      <c r="I551" s="6">
        <v>45669</v>
      </c>
      <c r="J551" s="6">
        <v>46352</v>
      </c>
      <c r="K551">
        <v>47</v>
      </c>
      <c r="L551">
        <v>26</v>
      </c>
      <c r="M551">
        <v>40</v>
      </c>
      <c r="N551" s="8">
        <v>3.25</v>
      </c>
      <c r="O551">
        <v>30</v>
      </c>
      <c r="P551">
        <v>72</v>
      </c>
      <c r="Q551" s="3">
        <v>-0.06</v>
      </c>
      <c r="R551">
        <f>Inventory_Table[[#This Row],[Stock_Quantity]]*Inventory_Table[[#This Row],[Unit_Price]]</f>
        <v>152.75</v>
      </c>
      <c r="S551">
        <f>Inventory_Table[[#This Row],[Sales_Volume]]*Inventory_Table[[#This Row],[Unit_Price]]</f>
        <v>97.5</v>
      </c>
      <c r="T551" t="str">
        <f>IF(Inventory_Table[[#This Row],[Stock_Quantity]]&lt;=Inventory_Table[[#This Row],[Reorder_Level]],"REORDER","OK")</f>
        <v>OK</v>
      </c>
      <c r="U551" t="s">
        <v>3836</v>
      </c>
      <c r="V551" s="14">
        <f ca="1">TODAY()-Inventory_Table[[#This Row],[Last_Order_Date]]</f>
        <v>507</v>
      </c>
    </row>
    <row r="552" spans="1:22" x14ac:dyDescent="0.35">
      <c r="A552" t="s">
        <v>1157</v>
      </c>
      <c r="B552" t="s">
        <v>18</v>
      </c>
      <c r="C552" t="s">
        <v>1238</v>
      </c>
      <c r="D552" t="s">
        <v>2378</v>
      </c>
      <c r="E552" t="s">
        <v>68</v>
      </c>
      <c r="F552" t="s">
        <v>2379</v>
      </c>
      <c r="G552" t="s">
        <v>2380</v>
      </c>
      <c r="H552" s="1">
        <v>46370</v>
      </c>
      <c r="I552" s="6">
        <v>45502</v>
      </c>
      <c r="J552" s="6">
        <v>46322</v>
      </c>
      <c r="K552">
        <v>28</v>
      </c>
      <c r="L552">
        <v>40</v>
      </c>
      <c r="M552">
        <v>27</v>
      </c>
      <c r="N552" s="8">
        <v>1.2</v>
      </c>
      <c r="O552">
        <v>30</v>
      </c>
      <c r="P552">
        <v>56</v>
      </c>
      <c r="Q552" s="3">
        <v>-1.4</v>
      </c>
      <c r="R552">
        <f>Inventory_Table[[#This Row],[Stock_Quantity]]*Inventory_Table[[#This Row],[Unit_Price]]</f>
        <v>33.6</v>
      </c>
      <c r="S552">
        <f>Inventory_Table[[#This Row],[Sales_Volume]]*Inventory_Table[[#This Row],[Unit_Price]]</f>
        <v>36</v>
      </c>
      <c r="T552" t="str">
        <f>IF(Inventory_Table[[#This Row],[Stock_Quantity]]&lt;=Inventory_Table[[#This Row],[Reorder_Level]],"REORDER","OK")</f>
        <v>REORDER</v>
      </c>
      <c r="U552" t="s">
        <v>3836</v>
      </c>
      <c r="V552" s="14">
        <f ca="1">TODAY()-Inventory_Table[[#This Row],[Last_Order_Date]]</f>
        <v>674</v>
      </c>
    </row>
    <row r="553" spans="1:22" x14ac:dyDescent="0.35">
      <c r="A553" t="s">
        <v>350</v>
      </c>
      <c r="B553" t="s">
        <v>36</v>
      </c>
      <c r="C553" t="s">
        <v>2381</v>
      </c>
      <c r="D553" t="s">
        <v>2382</v>
      </c>
      <c r="E553" t="s">
        <v>21</v>
      </c>
      <c r="F553" t="s">
        <v>2383</v>
      </c>
      <c r="G553" t="s">
        <v>2384</v>
      </c>
      <c r="H553" s="1">
        <v>46370</v>
      </c>
      <c r="I553" s="6">
        <v>45625</v>
      </c>
      <c r="J553" s="6">
        <v>46236</v>
      </c>
      <c r="K553">
        <v>44</v>
      </c>
      <c r="L553">
        <v>75</v>
      </c>
      <c r="M553">
        <v>72</v>
      </c>
      <c r="N553" s="8">
        <v>1</v>
      </c>
      <c r="O553">
        <v>96</v>
      </c>
      <c r="P553">
        <v>38</v>
      </c>
      <c r="Q553" s="3">
        <v>-0.87</v>
      </c>
      <c r="R553">
        <f>Inventory_Table[[#This Row],[Stock_Quantity]]*Inventory_Table[[#This Row],[Unit_Price]]</f>
        <v>44</v>
      </c>
      <c r="S553">
        <f>Inventory_Table[[#This Row],[Sales_Volume]]*Inventory_Table[[#This Row],[Unit_Price]]</f>
        <v>96</v>
      </c>
      <c r="T553" t="str">
        <f>IF(Inventory_Table[[#This Row],[Stock_Quantity]]&lt;=Inventory_Table[[#This Row],[Reorder_Level]],"REORDER","OK")</f>
        <v>REORDER</v>
      </c>
      <c r="U553" t="s">
        <v>3836</v>
      </c>
      <c r="V553" s="14">
        <f ca="1">TODAY()-Inventory_Table[[#This Row],[Last_Order_Date]]</f>
        <v>551</v>
      </c>
    </row>
    <row r="554" spans="1:22" x14ac:dyDescent="0.35">
      <c r="A554" t="s">
        <v>1021</v>
      </c>
      <c r="B554" t="s">
        <v>36</v>
      </c>
      <c r="C554" t="s">
        <v>2385</v>
      </c>
      <c r="D554" t="s">
        <v>2386</v>
      </c>
      <c r="E554" t="s">
        <v>30</v>
      </c>
      <c r="F554" t="s">
        <v>2387</v>
      </c>
      <c r="G554" t="s">
        <v>2388</v>
      </c>
      <c r="H554" s="1">
        <v>46371</v>
      </c>
      <c r="I554" s="6">
        <v>45626</v>
      </c>
      <c r="J554" s="6">
        <v>46366</v>
      </c>
      <c r="K554">
        <v>89</v>
      </c>
      <c r="L554">
        <v>42</v>
      </c>
      <c r="M554">
        <v>76</v>
      </c>
      <c r="N554" s="8">
        <v>5</v>
      </c>
      <c r="O554">
        <v>94</v>
      </c>
      <c r="P554">
        <v>81</v>
      </c>
      <c r="Q554" s="3">
        <v>0.6</v>
      </c>
      <c r="R554">
        <f>Inventory_Table[[#This Row],[Stock_Quantity]]*Inventory_Table[[#This Row],[Unit_Price]]</f>
        <v>445</v>
      </c>
      <c r="S554">
        <f>Inventory_Table[[#This Row],[Sales_Volume]]*Inventory_Table[[#This Row],[Unit_Price]]</f>
        <v>470</v>
      </c>
      <c r="T554" t="str">
        <f>IF(Inventory_Table[[#This Row],[Stock_Quantity]]&lt;=Inventory_Table[[#This Row],[Reorder_Level]],"REORDER","OK")</f>
        <v>OK</v>
      </c>
      <c r="U554" t="s">
        <v>3836</v>
      </c>
      <c r="V554" s="14">
        <f ca="1">TODAY()-Inventory_Table[[#This Row],[Last_Order_Date]]</f>
        <v>550</v>
      </c>
    </row>
    <row r="555" spans="1:22" x14ac:dyDescent="0.35">
      <c r="A555" t="s">
        <v>856</v>
      </c>
      <c r="B555" t="s">
        <v>18</v>
      </c>
      <c r="C555" t="s">
        <v>1153</v>
      </c>
      <c r="D555" t="s">
        <v>2389</v>
      </c>
      <c r="E555" t="s">
        <v>21</v>
      </c>
      <c r="F555" t="s">
        <v>2390</v>
      </c>
      <c r="G555" t="s">
        <v>2391</v>
      </c>
      <c r="H555" s="1">
        <v>46371</v>
      </c>
      <c r="I555" s="6">
        <v>45656</v>
      </c>
      <c r="J555" s="6">
        <v>46258</v>
      </c>
      <c r="K555">
        <v>100</v>
      </c>
      <c r="L555">
        <v>64</v>
      </c>
      <c r="M555">
        <v>62</v>
      </c>
      <c r="N555" s="8">
        <v>2.5</v>
      </c>
      <c r="O555">
        <v>84</v>
      </c>
      <c r="P555">
        <v>44</v>
      </c>
      <c r="Q555" s="3">
        <v>0.14000000000000001</v>
      </c>
      <c r="R555">
        <f>Inventory_Table[[#This Row],[Stock_Quantity]]*Inventory_Table[[#This Row],[Unit_Price]]</f>
        <v>250</v>
      </c>
      <c r="S555">
        <f>Inventory_Table[[#This Row],[Sales_Volume]]*Inventory_Table[[#This Row],[Unit_Price]]</f>
        <v>210</v>
      </c>
      <c r="T555" t="str">
        <f>IF(Inventory_Table[[#This Row],[Stock_Quantity]]&lt;=Inventory_Table[[#This Row],[Reorder_Level]],"REORDER","OK")</f>
        <v>OK</v>
      </c>
      <c r="U555" t="s">
        <v>3836</v>
      </c>
      <c r="V555" s="14">
        <f ca="1">TODAY()-Inventory_Table[[#This Row],[Last_Order_Date]]</f>
        <v>520</v>
      </c>
    </row>
    <row r="556" spans="1:22" x14ac:dyDescent="0.35">
      <c r="A556" t="s">
        <v>1415</v>
      </c>
      <c r="B556" t="s">
        <v>114</v>
      </c>
      <c r="C556" t="s">
        <v>399</v>
      </c>
      <c r="D556" t="s">
        <v>2392</v>
      </c>
      <c r="E556" t="s">
        <v>21</v>
      </c>
      <c r="F556" t="s">
        <v>2393</v>
      </c>
      <c r="G556" t="s">
        <v>2394</v>
      </c>
      <c r="H556" s="1">
        <v>46372</v>
      </c>
      <c r="I556" s="6">
        <v>45441</v>
      </c>
      <c r="J556" s="6">
        <v>46304</v>
      </c>
      <c r="K556">
        <v>62</v>
      </c>
      <c r="L556">
        <v>49</v>
      </c>
      <c r="M556">
        <v>38</v>
      </c>
      <c r="N556" s="8">
        <v>2.5</v>
      </c>
      <c r="O556">
        <v>42</v>
      </c>
      <c r="P556">
        <v>44</v>
      </c>
      <c r="Q556" s="3">
        <v>0.48</v>
      </c>
      <c r="R556">
        <f>Inventory_Table[[#This Row],[Stock_Quantity]]*Inventory_Table[[#This Row],[Unit_Price]]</f>
        <v>155</v>
      </c>
      <c r="S556">
        <f>Inventory_Table[[#This Row],[Sales_Volume]]*Inventory_Table[[#This Row],[Unit_Price]]</f>
        <v>105</v>
      </c>
      <c r="T556" t="str">
        <f>IF(Inventory_Table[[#This Row],[Stock_Quantity]]&lt;=Inventory_Table[[#This Row],[Reorder_Level]],"REORDER","OK")</f>
        <v>OK</v>
      </c>
      <c r="U556" t="s">
        <v>3836</v>
      </c>
      <c r="V556" s="14">
        <f ca="1">TODAY()-Inventory_Table[[#This Row],[Last_Order_Date]]</f>
        <v>735</v>
      </c>
    </row>
    <row r="557" spans="1:22" x14ac:dyDescent="0.35">
      <c r="A557" t="s">
        <v>314</v>
      </c>
      <c r="B557" t="s">
        <v>18</v>
      </c>
      <c r="C557" t="s">
        <v>533</v>
      </c>
      <c r="D557" t="s">
        <v>2395</v>
      </c>
      <c r="E557" t="s">
        <v>30</v>
      </c>
      <c r="F557" t="s">
        <v>2396</v>
      </c>
      <c r="G557" t="s">
        <v>2397</v>
      </c>
      <c r="H557" s="1">
        <v>46372</v>
      </c>
      <c r="I557" s="6">
        <v>45357</v>
      </c>
      <c r="J557" s="6">
        <v>46228</v>
      </c>
      <c r="K557">
        <v>100</v>
      </c>
      <c r="L557">
        <v>7</v>
      </c>
      <c r="M557">
        <v>14</v>
      </c>
      <c r="N557" s="8">
        <v>2</v>
      </c>
      <c r="O557">
        <v>26</v>
      </c>
      <c r="P557">
        <v>33</v>
      </c>
      <c r="Q557" s="3">
        <v>-0.05</v>
      </c>
      <c r="R557">
        <f>Inventory_Table[[#This Row],[Stock_Quantity]]*Inventory_Table[[#This Row],[Unit_Price]]</f>
        <v>200</v>
      </c>
      <c r="S557">
        <f>Inventory_Table[[#This Row],[Sales_Volume]]*Inventory_Table[[#This Row],[Unit_Price]]</f>
        <v>52</v>
      </c>
      <c r="T557" t="str">
        <f>IF(Inventory_Table[[#This Row],[Stock_Quantity]]&lt;=Inventory_Table[[#This Row],[Reorder_Level]],"REORDER","OK")</f>
        <v>OK</v>
      </c>
      <c r="U557" t="s">
        <v>3836</v>
      </c>
      <c r="V557" s="14">
        <f ca="1">TODAY()-Inventory_Table[[#This Row],[Last_Order_Date]]</f>
        <v>819</v>
      </c>
    </row>
    <row r="558" spans="1:22" x14ac:dyDescent="0.35">
      <c r="A558" t="s">
        <v>135</v>
      </c>
      <c r="B558" t="s">
        <v>36</v>
      </c>
      <c r="C558" t="s">
        <v>1950</v>
      </c>
      <c r="D558" t="s">
        <v>2398</v>
      </c>
      <c r="E558" t="s">
        <v>30</v>
      </c>
      <c r="F558" t="s">
        <v>2399</v>
      </c>
      <c r="G558" t="s">
        <v>2400</v>
      </c>
      <c r="H558" s="1">
        <v>46373</v>
      </c>
      <c r="I558" s="6">
        <v>45647</v>
      </c>
      <c r="J558" s="6">
        <v>46158</v>
      </c>
      <c r="K558">
        <v>42</v>
      </c>
      <c r="L558">
        <v>94</v>
      </c>
      <c r="M558">
        <v>79</v>
      </c>
      <c r="N558" s="8">
        <v>2.5</v>
      </c>
      <c r="O558">
        <v>61</v>
      </c>
      <c r="P558">
        <v>92</v>
      </c>
      <c r="Q558" s="3">
        <v>-0.27</v>
      </c>
      <c r="R558">
        <f>Inventory_Table[[#This Row],[Stock_Quantity]]*Inventory_Table[[#This Row],[Unit_Price]]</f>
        <v>105</v>
      </c>
      <c r="S558">
        <f>Inventory_Table[[#This Row],[Sales_Volume]]*Inventory_Table[[#This Row],[Unit_Price]]</f>
        <v>152.5</v>
      </c>
      <c r="T558" t="str">
        <f>IF(Inventory_Table[[#This Row],[Stock_Quantity]]&lt;=Inventory_Table[[#This Row],[Reorder_Level]],"REORDER","OK")</f>
        <v>REORDER</v>
      </c>
      <c r="U558" t="s">
        <v>3838</v>
      </c>
      <c r="V558" s="14">
        <f ca="1">TODAY()-Inventory_Table[[#This Row],[Last_Order_Date]]</f>
        <v>529</v>
      </c>
    </row>
    <row r="559" spans="1:22" x14ac:dyDescent="0.35">
      <c r="A559" t="s">
        <v>671</v>
      </c>
      <c r="B559" t="s">
        <v>65</v>
      </c>
      <c r="C559" t="s">
        <v>714</v>
      </c>
      <c r="D559" t="s">
        <v>2401</v>
      </c>
      <c r="E559" t="s">
        <v>21</v>
      </c>
      <c r="F559" t="s">
        <v>2402</v>
      </c>
      <c r="G559" t="s">
        <v>2403</v>
      </c>
      <c r="H559" s="1">
        <v>46374</v>
      </c>
      <c r="I559" s="6">
        <v>45436</v>
      </c>
      <c r="J559" s="6">
        <v>46394</v>
      </c>
      <c r="K559">
        <v>62</v>
      </c>
      <c r="L559">
        <v>81</v>
      </c>
      <c r="M559">
        <v>91</v>
      </c>
      <c r="N559" s="8">
        <v>1.6</v>
      </c>
      <c r="O559">
        <v>100</v>
      </c>
      <c r="P559">
        <v>42</v>
      </c>
      <c r="Q559" s="3">
        <v>-0.51</v>
      </c>
      <c r="R559">
        <f>Inventory_Table[[#This Row],[Stock_Quantity]]*Inventory_Table[[#This Row],[Unit_Price]]</f>
        <v>99.2</v>
      </c>
      <c r="S559">
        <f>Inventory_Table[[#This Row],[Sales_Volume]]*Inventory_Table[[#This Row],[Unit_Price]]</f>
        <v>160</v>
      </c>
      <c r="T559" t="str">
        <f>IF(Inventory_Table[[#This Row],[Stock_Quantity]]&lt;=Inventory_Table[[#This Row],[Reorder_Level]],"REORDER","OK")</f>
        <v>REORDER</v>
      </c>
      <c r="U559" t="s">
        <v>3836</v>
      </c>
      <c r="V559" s="14">
        <f ca="1">TODAY()-Inventory_Table[[#This Row],[Last_Order_Date]]</f>
        <v>740</v>
      </c>
    </row>
    <row r="560" spans="1:22" x14ac:dyDescent="0.35">
      <c r="A560" t="s">
        <v>557</v>
      </c>
      <c r="B560" t="s">
        <v>18</v>
      </c>
      <c r="C560" t="s">
        <v>660</v>
      </c>
      <c r="D560" t="s">
        <v>2405</v>
      </c>
      <c r="E560" t="s">
        <v>21</v>
      </c>
      <c r="F560" t="s">
        <v>2406</v>
      </c>
      <c r="G560" t="s">
        <v>2407</v>
      </c>
      <c r="H560" s="1">
        <v>46374</v>
      </c>
      <c r="I560" s="6">
        <v>45712</v>
      </c>
      <c r="J560" s="6">
        <v>46415</v>
      </c>
      <c r="K560">
        <v>19</v>
      </c>
      <c r="L560">
        <v>47</v>
      </c>
      <c r="M560">
        <v>25</v>
      </c>
      <c r="N560" s="8">
        <v>5</v>
      </c>
      <c r="O560">
        <v>96</v>
      </c>
      <c r="P560">
        <v>37</v>
      </c>
      <c r="Q560" s="3">
        <v>0.57999999999999996</v>
      </c>
      <c r="R560">
        <f>Inventory_Table[[#This Row],[Stock_Quantity]]*Inventory_Table[[#This Row],[Unit_Price]]</f>
        <v>95</v>
      </c>
      <c r="S560">
        <f>Inventory_Table[[#This Row],[Sales_Volume]]*Inventory_Table[[#This Row],[Unit_Price]]</f>
        <v>480</v>
      </c>
      <c r="T560" t="str">
        <f>IF(Inventory_Table[[#This Row],[Stock_Quantity]]&lt;=Inventory_Table[[#This Row],[Reorder_Level]],"REORDER","OK")</f>
        <v>REORDER</v>
      </c>
      <c r="U560" t="s">
        <v>3836</v>
      </c>
      <c r="V560" s="14">
        <f ca="1">TODAY()-Inventory_Table[[#This Row],[Last_Order_Date]]</f>
        <v>464</v>
      </c>
    </row>
    <row r="561" spans="1:22" x14ac:dyDescent="0.35">
      <c r="A561" t="s">
        <v>1196</v>
      </c>
      <c r="B561" t="s">
        <v>75</v>
      </c>
      <c r="C561" t="s">
        <v>1987</v>
      </c>
      <c r="D561" t="s">
        <v>2408</v>
      </c>
      <c r="E561" t="s">
        <v>30</v>
      </c>
      <c r="F561" t="s">
        <v>2409</v>
      </c>
      <c r="G561" t="s">
        <v>2410</v>
      </c>
      <c r="H561" s="1">
        <v>46374</v>
      </c>
      <c r="I561" s="6">
        <v>45447</v>
      </c>
      <c r="J561" s="6">
        <v>46128</v>
      </c>
      <c r="K561">
        <v>52</v>
      </c>
      <c r="L561">
        <v>46</v>
      </c>
      <c r="M561">
        <v>12</v>
      </c>
      <c r="N561" s="8">
        <v>15</v>
      </c>
      <c r="O561">
        <v>43</v>
      </c>
      <c r="P561">
        <v>34</v>
      </c>
      <c r="Q561" s="3">
        <v>0.61</v>
      </c>
      <c r="R561">
        <f>Inventory_Table[[#This Row],[Stock_Quantity]]*Inventory_Table[[#This Row],[Unit_Price]]</f>
        <v>780</v>
      </c>
      <c r="S561">
        <f>Inventory_Table[[#This Row],[Sales_Volume]]*Inventory_Table[[#This Row],[Unit_Price]]</f>
        <v>645</v>
      </c>
      <c r="T561" t="str">
        <f>IF(Inventory_Table[[#This Row],[Stock_Quantity]]&lt;=Inventory_Table[[#This Row],[Reorder_Level]],"REORDER","OK")</f>
        <v>OK</v>
      </c>
      <c r="U561" t="s">
        <v>3838</v>
      </c>
      <c r="V561" s="14">
        <f ca="1">TODAY()-Inventory_Table[[#This Row],[Last_Order_Date]]</f>
        <v>729</v>
      </c>
    </row>
    <row r="562" spans="1:22" x14ac:dyDescent="0.35">
      <c r="A562" t="s">
        <v>194</v>
      </c>
      <c r="B562" t="s">
        <v>114</v>
      </c>
      <c r="C562" t="s">
        <v>592</v>
      </c>
      <c r="D562" t="s">
        <v>2411</v>
      </c>
      <c r="E562" t="s">
        <v>21</v>
      </c>
      <c r="F562" t="s">
        <v>2412</v>
      </c>
      <c r="G562" t="s">
        <v>2413</v>
      </c>
      <c r="H562" s="1">
        <v>46375</v>
      </c>
      <c r="I562" s="6">
        <v>45559</v>
      </c>
      <c r="J562" s="6">
        <v>46346</v>
      </c>
      <c r="K562">
        <v>30</v>
      </c>
      <c r="L562">
        <v>85</v>
      </c>
      <c r="M562">
        <v>21</v>
      </c>
      <c r="N562" s="8">
        <v>4.5</v>
      </c>
      <c r="O562">
        <v>32</v>
      </c>
      <c r="P562">
        <v>83</v>
      </c>
      <c r="Q562" s="3">
        <v>0.21</v>
      </c>
      <c r="R562">
        <f>Inventory_Table[[#This Row],[Stock_Quantity]]*Inventory_Table[[#This Row],[Unit_Price]]</f>
        <v>135</v>
      </c>
      <c r="S562">
        <f>Inventory_Table[[#This Row],[Sales_Volume]]*Inventory_Table[[#This Row],[Unit_Price]]</f>
        <v>144</v>
      </c>
      <c r="T562" t="str">
        <f>IF(Inventory_Table[[#This Row],[Stock_Quantity]]&lt;=Inventory_Table[[#This Row],[Reorder_Level]],"REORDER","OK")</f>
        <v>REORDER</v>
      </c>
      <c r="U562" t="s">
        <v>3836</v>
      </c>
      <c r="V562" s="14">
        <f ca="1">TODAY()-Inventory_Table[[#This Row],[Last_Order_Date]]</f>
        <v>617</v>
      </c>
    </row>
    <row r="563" spans="1:22" x14ac:dyDescent="0.35">
      <c r="A563" t="s">
        <v>183</v>
      </c>
      <c r="B563" t="s">
        <v>18</v>
      </c>
      <c r="C563" t="s">
        <v>953</v>
      </c>
      <c r="D563" t="s">
        <v>2414</v>
      </c>
      <c r="E563" t="s">
        <v>68</v>
      </c>
      <c r="F563" t="s">
        <v>2415</v>
      </c>
      <c r="G563" t="s">
        <v>2416</v>
      </c>
      <c r="H563" s="1">
        <v>46375</v>
      </c>
      <c r="I563" s="6">
        <v>45615</v>
      </c>
      <c r="J563" s="6">
        <v>46143</v>
      </c>
      <c r="K563">
        <v>77</v>
      </c>
      <c r="L563">
        <v>52</v>
      </c>
      <c r="M563">
        <v>28</v>
      </c>
      <c r="N563" s="8">
        <v>4</v>
      </c>
      <c r="O563">
        <v>48</v>
      </c>
      <c r="P563">
        <v>43</v>
      </c>
      <c r="Q563" s="3">
        <v>-1.59</v>
      </c>
      <c r="R563">
        <f>Inventory_Table[[#This Row],[Stock_Quantity]]*Inventory_Table[[#This Row],[Unit_Price]]</f>
        <v>308</v>
      </c>
      <c r="S563">
        <f>Inventory_Table[[#This Row],[Sales_Volume]]*Inventory_Table[[#This Row],[Unit_Price]]</f>
        <v>192</v>
      </c>
      <c r="T563" t="str">
        <f>IF(Inventory_Table[[#This Row],[Stock_Quantity]]&lt;=Inventory_Table[[#This Row],[Reorder_Level]],"REORDER","OK")</f>
        <v>OK</v>
      </c>
      <c r="U563" t="s">
        <v>3838</v>
      </c>
      <c r="V563" s="14">
        <f ca="1">TODAY()-Inventory_Table[[#This Row],[Last_Order_Date]]</f>
        <v>561</v>
      </c>
    </row>
    <row r="564" spans="1:22" x14ac:dyDescent="0.35">
      <c r="A564" t="s">
        <v>142</v>
      </c>
      <c r="B564" t="s">
        <v>36</v>
      </c>
      <c r="C564" t="s">
        <v>2417</v>
      </c>
      <c r="D564" t="s">
        <v>2418</v>
      </c>
      <c r="E564" t="s">
        <v>21</v>
      </c>
      <c r="F564" t="s">
        <v>2419</v>
      </c>
      <c r="G564" t="s">
        <v>2420</v>
      </c>
      <c r="H564" s="1">
        <v>46375</v>
      </c>
      <c r="I564" s="6">
        <v>45503</v>
      </c>
      <c r="J564" s="6">
        <v>46415</v>
      </c>
      <c r="K564">
        <v>96</v>
      </c>
      <c r="L564">
        <v>80</v>
      </c>
      <c r="M564">
        <v>20</v>
      </c>
      <c r="N564" s="8">
        <v>6.1</v>
      </c>
      <c r="O564">
        <v>94</v>
      </c>
      <c r="P564">
        <v>49</v>
      </c>
      <c r="Q564" s="3">
        <v>0.1</v>
      </c>
      <c r="R564">
        <f>Inventory_Table[[#This Row],[Stock_Quantity]]*Inventory_Table[[#This Row],[Unit_Price]]</f>
        <v>585.59999999999991</v>
      </c>
      <c r="S564">
        <f>Inventory_Table[[#This Row],[Sales_Volume]]*Inventory_Table[[#This Row],[Unit_Price]]</f>
        <v>573.4</v>
      </c>
      <c r="T564" t="str">
        <f>IF(Inventory_Table[[#This Row],[Stock_Quantity]]&lt;=Inventory_Table[[#This Row],[Reorder_Level]],"REORDER","OK")</f>
        <v>OK</v>
      </c>
      <c r="U564" t="s">
        <v>3836</v>
      </c>
      <c r="V564" s="14">
        <f ca="1">TODAY()-Inventory_Table[[#This Row],[Last_Order_Date]]</f>
        <v>673</v>
      </c>
    </row>
    <row r="565" spans="1:22" x14ac:dyDescent="0.35">
      <c r="A565" t="s">
        <v>842</v>
      </c>
      <c r="B565" t="s">
        <v>75</v>
      </c>
      <c r="C565" t="s">
        <v>218</v>
      </c>
      <c r="D565" t="s">
        <v>2422</v>
      </c>
      <c r="E565" t="s">
        <v>30</v>
      </c>
      <c r="F565" t="s">
        <v>2423</v>
      </c>
      <c r="G565" t="s">
        <v>2424</v>
      </c>
      <c r="H565" s="1">
        <v>46375</v>
      </c>
      <c r="I565" s="6">
        <v>45396</v>
      </c>
      <c r="J565" s="6">
        <v>46211</v>
      </c>
      <c r="K565">
        <v>67</v>
      </c>
      <c r="L565">
        <v>71</v>
      </c>
      <c r="M565">
        <v>4</v>
      </c>
      <c r="N565" s="8">
        <v>9</v>
      </c>
      <c r="O565">
        <v>76</v>
      </c>
      <c r="P565">
        <v>34</v>
      </c>
      <c r="Q565" s="3">
        <v>0.48</v>
      </c>
      <c r="R565">
        <f>Inventory_Table[[#This Row],[Stock_Quantity]]*Inventory_Table[[#This Row],[Unit_Price]]</f>
        <v>603</v>
      </c>
      <c r="S565">
        <f>Inventory_Table[[#This Row],[Sales_Volume]]*Inventory_Table[[#This Row],[Unit_Price]]</f>
        <v>684</v>
      </c>
      <c r="T565" t="str">
        <f>IF(Inventory_Table[[#This Row],[Stock_Quantity]]&lt;=Inventory_Table[[#This Row],[Reorder_Level]],"REORDER","OK")</f>
        <v>REORDER</v>
      </c>
      <c r="U565" t="s">
        <v>3836</v>
      </c>
      <c r="V565" s="14">
        <f ca="1">TODAY()-Inventory_Table[[#This Row],[Last_Order_Date]]</f>
        <v>780</v>
      </c>
    </row>
    <row r="566" spans="1:22" x14ac:dyDescent="0.35">
      <c r="A566" t="s">
        <v>74</v>
      </c>
      <c r="B566" t="s">
        <v>75</v>
      </c>
      <c r="C566" t="s">
        <v>1628</v>
      </c>
      <c r="D566" t="s">
        <v>2425</v>
      </c>
      <c r="E566" t="s">
        <v>30</v>
      </c>
      <c r="F566" t="s">
        <v>2426</v>
      </c>
      <c r="G566" t="s">
        <v>2427</v>
      </c>
      <c r="H566" s="1">
        <v>46375</v>
      </c>
      <c r="I566" s="6">
        <v>45482</v>
      </c>
      <c r="J566" s="6">
        <v>46294</v>
      </c>
      <c r="K566">
        <v>86</v>
      </c>
      <c r="L566">
        <v>55</v>
      </c>
      <c r="M566">
        <v>96</v>
      </c>
      <c r="N566" s="8">
        <v>10</v>
      </c>
      <c r="O566">
        <v>37</v>
      </c>
      <c r="P566">
        <v>53</v>
      </c>
      <c r="Q566" s="3">
        <v>0.55000000000000004</v>
      </c>
      <c r="R566">
        <f>Inventory_Table[[#This Row],[Stock_Quantity]]*Inventory_Table[[#This Row],[Unit_Price]]</f>
        <v>860</v>
      </c>
      <c r="S566">
        <f>Inventory_Table[[#This Row],[Sales_Volume]]*Inventory_Table[[#This Row],[Unit_Price]]</f>
        <v>370</v>
      </c>
      <c r="T566" t="str">
        <f>IF(Inventory_Table[[#This Row],[Stock_Quantity]]&lt;=Inventory_Table[[#This Row],[Reorder_Level]],"REORDER","OK")</f>
        <v>OK</v>
      </c>
      <c r="U566" t="s">
        <v>3836</v>
      </c>
      <c r="V566" s="14">
        <f ca="1">TODAY()-Inventory_Table[[#This Row],[Last_Order_Date]]</f>
        <v>694</v>
      </c>
    </row>
    <row r="567" spans="1:22" x14ac:dyDescent="0.35">
      <c r="A567" t="s">
        <v>35</v>
      </c>
      <c r="B567" t="s">
        <v>36</v>
      </c>
      <c r="C567" t="s">
        <v>1559</v>
      </c>
      <c r="D567" t="s">
        <v>2428</v>
      </c>
      <c r="E567" t="s">
        <v>68</v>
      </c>
      <c r="F567" t="s">
        <v>2429</v>
      </c>
      <c r="G567" t="s">
        <v>2430</v>
      </c>
      <c r="H567" s="1">
        <v>46377</v>
      </c>
      <c r="I567" s="6">
        <v>45670</v>
      </c>
      <c r="J567" s="6">
        <v>46295</v>
      </c>
      <c r="K567">
        <v>63</v>
      </c>
      <c r="L567">
        <v>4</v>
      </c>
      <c r="M567">
        <v>85</v>
      </c>
      <c r="N567" s="8">
        <v>12</v>
      </c>
      <c r="O567">
        <v>59</v>
      </c>
      <c r="P567">
        <v>71</v>
      </c>
      <c r="Q567" s="3">
        <v>-0.43</v>
      </c>
      <c r="R567">
        <f>Inventory_Table[[#This Row],[Stock_Quantity]]*Inventory_Table[[#This Row],[Unit_Price]]</f>
        <v>756</v>
      </c>
      <c r="S567">
        <f>Inventory_Table[[#This Row],[Sales_Volume]]*Inventory_Table[[#This Row],[Unit_Price]]</f>
        <v>708</v>
      </c>
      <c r="T567" t="str">
        <f>IF(Inventory_Table[[#This Row],[Stock_Quantity]]&lt;=Inventory_Table[[#This Row],[Reorder_Level]],"REORDER","OK")</f>
        <v>OK</v>
      </c>
      <c r="U567" t="s">
        <v>3836</v>
      </c>
      <c r="V567" s="14">
        <f ca="1">TODAY()-Inventory_Table[[#This Row],[Last_Order_Date]]</f>
        <v>506</v>
      </c>
    </row>
    <row r="568" spans="1:22" x14ac:dyDescent="0.35">
      <c r="A568" t="s">
        <v>113</v>
      </c>
      <c r="B568" t="s">
        <v>114</v>
      </c>
      <c r="C568" t="s">
        <v>538</v>
      </c>
      <c r="D568" t="s">
        <v>2431</v>
      </c>
      <c r="E568" t="s">
        <v>68</v>
      </c>
      <c r="F568" t="s">
        <v>2432</v>
      </c>
      <c r="G568" t="s">
        <v>2433</v>
      </c>
      <c r="H568" s="1">
        <v>46377</v>
      </c>
      <c r="I568" s="6">
        <v>45391</v>
      </c>
      <c r="J568" s="6">
        <v>46195</v>
      </c>
      <c r="K568">
        <v>39</v>
      </c>
      <c r="L568">
        <v>16</v>
      </c>
      <c r="M568">
        <v>57</v>
      </c>
      <c r="N568" s="8">
        <v>4</v>
      </c>
      <c r="O568">
        <v>98</v>
      </c>
      <c r="P568">
        <v>12</v>
      </c>
      <c r="Q568" s="3">
        <v>-0.2</v>
      </c>
      <c r="R568">
        <f>Inventory_Table[[#This Row],[Stock_Quantity]]*Inventory_Table[[#This Row],[Unit_Price]]</f>
        <v>156</v>
      </c>
      <c r="S568">
        <f>Inventory_Table[[#This Row],[Sales_Volume]]*Inventory_Table[[#This Row],[Unit_Price]]</f>
        <v>392</v>
      </c>
      <c r="T568" t="str">
        <f>IF(Inventory_Table[[#This Row],[Stock_Quantity]]&lt;=Inventory_Table[[#This Row],[Reorder_Level]],"REORDER","OK")</f>
        <v>OK</v>
      </c>
      <c r="U568" t="s">
        <v>3837</v>
      </c>
      <c r="V568" s="14">
        <f ca="1">TODAY()-Inventory_Table[[#This Row],[Last_Order_Date]]</f>
        <v>785</v>
      </c>
    </row>
    <row r="569" spans="1:22" x14ac:dyDescent="0.35">
      <c r="A569" t="s">
        <v>435</v>
      </c>
      <c r="B569" t="s">
        <v>18</v>
      </c>
      <c r="C569" t="s">
        <v>2434</v>
      </c>
      <c r="D569" t="s">
        <v>2435</v>
      </c>
      <c r="E569" t="s">
        <v>30</v>
      </c>
      <c r="F569" t="s">
        <v>2436</v>
      </c>
      <c r="G569" t="s">
        <v>2437</v>
      </c>
      <c r="H569" s="1">
        <v>46377</v>
      </c>
      <c r="I569" s="6">
        <v>45538</v>
      </c>
      <c r="J569" s="6">
        <v>46403</v>
      </c>
      <c r="K569">
        <v>43</v>
      </c>
      <c r="L569">
        <v>65</v>
      </c>
      <c r="M569">
        <v>66</v>
      </c>
      <c r="N569" s="8">
        <v>6</v>
      </c>
      <c r="O569">
        <v>78</v>
      </c>
      <c r="P569">
        <v>73</v>
      </c>
      <c r="Q569" s="3">
        <v>0.88</v>
      </c>
      <c r="R569">
        <f>Inventory_Table[[#This Row],[Stock_Quantity]]*Inventory_Table[[#This Row],[Unit_Price]]</f>
        <v>258</v>
      </c>
      <c r="S569">
        <f>Inventory_Table[[#This Row],[Sales_Volume]]*Inventory_Table[[#This Row],[Unit_Price]]</f>
        <v>468</v>
      </c>
      <c r="T569" t="str">
        <f>IF(Inventory_Table[[#This Row],[Stock_Quantity]]&lt;=Inventory_Table[[#This Row],[Reorder_Level]],"REORDER","OK")</f>
        <v>REORDER</v>
      </c>
      <c r="U569" t="s">
        <v>3836</v>
      </c>
      <c r="V569" s="14">
        <f ca="1">TODAY()-Inventory_Table[[#This Row],[Last_Order_Date]]</f>
        <v>638</v>
      </c>
    </row>
    <row r="570" spans="1:22" x14ac:dyDescent="0.35">
      <c r="A570" t="s">
        <v>532</v>
      </c>
      <c r="B570" t="s">
        <v>75</v>
      </c>
      <c r="C570" t="s">
        <v>1632</v>
      </c>
      <c r="D570" t="s">
        <v>2438</v>
      </c>
      <c r="E570" t="s">
        <v>30</v>
      </c>
      <c r="F570" t="s">
        <v>2439</v>
      </c>
      <c r="G570" t="s">
        <v>2440</v>
      </c>
      <c r="H570" s="1">
        <v>46377</v>
      </c>
      <c r="I570" s="6">
        <v>45422</v>
      </c>
      <c r="J570" s="6">
        <v>46146</v>
      </c>
      <c r="K570">
        <v>37</v>
      </c>
      <c r="L570">
        <v>33</v>
      </c>
      <c r="M570">
        <v>80</v>
      </c>
      <c r="N570" s="8">
        <v>18</v>
      </c>
      <c r="O570">
        <v>27</v>
      </c>
      <c r="P570">
        <v>73</v>
      </c>
      <c r="Q570" s="3">
        <v>0.06</v>
      </c>
      <c r="R570">
        <f>Inventory_Table[[#This Row],[Stock_Quantity]]*Inventory_Table[[#This Row],[Unit_Price]]</f>
        <v>666</v>
      </c>
      <c r="S570">
        <f>Inventory_Table[[#This Row],[Sales_Volume]]*Inventory_Table[[#This Row],[Unit_Price]]</f>
        <v>486</v>
      </c>
      <c r="T570" t="str">
        <f>IF(Inventory_Table[[#This Row],[Stock_Quantity]]&lt;=Inventory_Table[[#This Row],[Reorder_Level]],"REORDER","OK")</f>
        <v>OK</v>
      </c>
      <c r="U570" t="s">
        <v>3838</v>
      </c>
      <c r="V570" s="14">
        <f ca="1">TODAY()-Inventory_Table[[#This Row],[Last_Order_Date]]</f>
        <v>754</v>
      </c>
    </row>
    <row r="571" spans="1:22" x14ac:dyDescent="0.35">
      <c r="A571" t="s">
        <v>1341</v>
      </c>
      <c r="B571" t="s">
        <v>18</v>
      </c>
      <c r="C571" t="s">
        <v>641</v>
      </c>
      <c r="D571" t="s">
        <v>2441</v>
      </c>
      <c r="E571" t="s">
        <v>21</v>
      </c>
      <c r="F571" t="s">
        <v>2442</v>
      </c>
      <c r="G571" t="s">
        <v>2443</v>
      </c>
      <c r="H571" s="1">
        <v>46378</v>
      </c>
      <c r="I571" s="6">
        <v>45542</v>
      </c>
      <c r="J571" s="6">
        <v>46284</v>
      </c>
      <c r="K571">
        <v>61</v>
      </c>
      <c r="L571">
        <v>90</v>
      </c>
      <c r="M571">
        <v>26</v>
      </c>
      <c r="N571" s="8">
        <v>2.5</v>
      </c>
      <c r="O571">
        <v>79</v>
      </c>
      <c r="P571">
        <v>84</v>
      </c>
      <c r="Q571" s="3">
        <v>-1.7</v>
      </c>
      <c r="R571">
        <f>Inventory_Table[[#This Row],[Stock_Quantity]]*Inventory_Table[[#This Row],[Unit_Price]]</f>
        <v>152.5</v>
      </c>
      <c r="S571">
        <f>Inventory_Table[[#This Row],[Sales_Volume]]*Inventory_Table[[#This Row],[Unit_Price]]</f>
        <v>197.5</v>
      </c>
      <c r="T571" t="str">
        <f>IF(Inventory_Table[[#This Row],[Stock_Quantity]]&lt;=Inventory_Table[[#This Row],[Reorder_Level]],"REORDER","OK")</f>
        <v>REORDER</v>
      </c>
      <c r="U571" t="s">
        <v>3836</v>
      </c>
      <c r="V571" s="14">
        <f ca="1">TODAY()-Inventory_Table[[#This Row],[Last_Order_Date]]</f>
        <v>634</v>
      </c>
    </row>
    <row r="572" spans="1:22" x14ac:dyDescent="0.35">
      <c r="A572" t="s">
        <v>1234</v>
      </c>
      <c r="B572" t="s">
        <v>27</v>
      </c>
      <c r="C572" t="s">
        <v>787</v>
      </c>
      <c r="D572" t="s">
        <v>2444</v>
      </c>
      <c r="E572" t="s">
        <v>21</v>
      </c>
      <c r="F572" t="s">
        <v>2445</v>
      </c>
      <c r="G572" t="s">
        <v>2446</v>
      </c>
      <c r="H572" s="1">
        <v>46378</v>
      </c>
      <c r="I572" s="6">
        <v>45414</v>
      </c>
      <c r="J572" s="6">
        <v>46362</v>
      </c>
      <c r="K572">
        <v>28</v>
      </c>
      <c r="L572">
        <v>32</v>
      </c>
      <c r="M572">
        <v>71</v>
      </c>
      <c r="N572" s="8">
        <v>2.5</v>
      </c>
      <c r="O572">
        <v>32</v>
      </c>
      <c r="P572">
        <v>49</v>
      </c>
      <c r="Q572" s="3">
        <v>-0.06</v>
      </c>
      <c r="R572">
        <f>Inventory_Table[[#This Row],[Stock_Quantity]]*Inventory_Table[[#This Row],[Unit_Price]]</f>
        <v>70</v>
      </c>
      <c r="S572">
        <f>Inventory_Table[[#This Row],[Sales_Volume]]*Inventory_Table[[#This Row],[Unit_Price]]</f>
        <v>80</v>
      </c>
      <c r="T572" t="str">
        <f>IF(Inventory_Table[[#This Row],[Stock_Quantity]]&lt;=Inventory_Table[[#This Row],[Reorder_Level]],"REORDER","OK")</f>
        <v>REORDER</v>
      </c>
      <c r="U572" t="s">
        <v>3836</v>
      </c>
      <c r="V572" s="14">
        <f ca="1">TODAY()-Inventory_Table[[#This Row],[Last_Order_Date]]</f>
        <v>762</v>
      </c>
    </row>
    <row r="573" spans="1:22" x14ac:dyDescent="0.35">
      <c r="A573" t="s">
        <v>350</v>
      </c>
      <c r="B573" t="s">
        <v>36</v>
      </c>
      <c r="C573" t="s">
        <v>1653</v>
      </c>
      <c r="D573" t="s">
        <v>2447</v>
      </c>
      <c r="E573" t="s">
        <v>68</v>
      </c>
      <c r="F573" t="s">
        <v>2448</v>
      </c>
      <c r="G573" t="s">
        <v>2449</v>
      </c>
      <c r="H573" s="1">
        <v>46379</v>
      </c>
      <c r="I573" s="6">
        <v>45700</v>
      </c>
      <c r="J573" s="6">
        <v>46138</v>
      </c>
      <c r="K573">
        <v>63</v>
      </c>
      <c r="L573">
        <v>38</v>
      </c>
      <c r="M573">
        <v>77</v>
      </c>
      <c r="N573" s="8">
        <v>1</v>
      </c>
      <c r="O573">
        <v>23</v>
      </c>
      <c r="P573">
        <v>18</v>
      </c>
      <c r="Q573" s="3">
        <v>-0.53</v>
      </c>
      <c r="R573">
        <f>Inventory_Table[[#This Row],[Stock_Quantity]]*Inventory_Table[[#This Row],[Unit_Price]]</f>
        <v>63</v>
      </c>
      <c r="S573">
        <f>Inventory_Table[[#This Row],[Sales_Volume]]*Inventory_Table[[#This Row],[Unit_Price]]</f>
        <v>23</v>
      </c>
      <c r="T573" t="str">
        <f>IF(Inventory_Table[[#This Row],[Stock_Quantity]]&lt;=Inventory_Table[[#This Row],[Reorder_Level]],"REORDER","OK")</f>
        <v>OK</v>
      </c>
      <c r="U573" t="s">
        <v>3838</v>
      </c>
      <c r="V573" s="14">
        <f ca="1">TODAY()-Inventory_Table[[#This Row],[Last_Order_Date]]</f>
        <v>476</v>
      </c>
    </row>
    <row r="574" spans="1:22" x14ac:dyDescent="0.35">
      <c r="A574" t="s">
        <v>450</v>
      </c>
      <c r="B574" t="s">
        <v>18</v>
      </c>
      <c r="C574" t="s">
        <v>2450</v>
      </c>
      <c r="D574" t="s">
        <v>2451</v>
      </c>
      <c r="E574" t="s">
        <v>21</v>
      </c>
      <c r="F574" t="s">
        <v>2452</v>
      </c>
      <c r="G574" t="s">
        <v>2453</v>
      </c>
      <c r="H574" s="1">
        <v>46379</v>
      </c>
      <c r="I574" s="6">
        <v>45622</v>
      </c>
      <c r="J574" s="6">
        <v>46286</v>
      </c>
      <c r="K574">
        <v>69</v>
      </c>
      <c r="L574">
        <v>21</v>
      </c>
      <c r="M574">
        <v>68</v>
      </c>
      <c r="N574" s="8">
        <v>66.55</v>
      </c>
      <c r="O574">
        <v>36</v>
      </c>
      <c r="P574">
        <v>35</v>
      </c>
      <c r="Q574" s="3">
        <v>0.22</v>
      </c>
      <c r="R574">
        <f>Inventory_Table[[#This Row],[Stock_Quantity]]*Inventory_Table[[#This Row],[Unit_Price]]</f>
        <v>4591.95</v>
      </c>
      <c r="S574">
        <f>Inventory_Table[[#This Row],[Sales_Volume]]*Inventory_Table[[#This Row],[Unit_Price]]</f>
        <v>2395.7999999999997</v>
      </c>
      <c r="T574" t="str">
        <f>IF(Inventory_Table[[#This Row],[Stock_Quantity]]&lt;=Inventory_Table[[#This Row],[Reorder_Level]],"REORDER","OK")</f>
        <v>OK</v>
      </c>
      <c r="U574" t="s">
        <v>3836</v>
      </c>
      <c r="V574" s="14">
        <f ca="1">TODAY()-Inventory_Table[[#This Row],[Last_Order_Date]]</f>
        <v>554</v>
      </c>
    </row>
    <row r="575" spans="1:22" x14ac:dyDescent="0.35">
      <c r="A575" t="s">
        <v>532</v>
      </c>
      <c r="B575" t="s">
        <v>75</v>
      </c>
      <c r="C575" t="s">
        <v>2203</v>
      </c>
      <c r="D575" t="s">
        <v>2455</v>
      </c>
      <c r="E575" t="s">
        <v>21</v>
      </c>
      <c r="F575" t="s">
        <v>2456</v>
      </c>
      <c r="G575" t="s">
        <v>2457</v>
      </c>
      <c r="H575" s="1">
        <v>46380</v>
      </c>
      <c r="I575" s="6">
        <v>45522</v>
      </c>
      <c r="J575" s="6">
        <v>46116</v>
      </c>
      <c r="K575">
        <v>92</v>
      </c>
      <c r="L575">
        <v>68</v>
      </c>
      <c r="M575">
        <v>79</v>
      </c>
      <c r="N575" s="8">
        <v>18</v>
      </c>
      <c r="O575">
        <v>40</v>
      </c>
      <c r="P575">
        <v>57</v>
      </c>
      <c r="Q575" s="3">
        <v>0.03</v>
      </c>
      <c r="R575">
        <f>Inventory_Table[[#This Row],[Stock_Quantity]]*Inventory_Table[[#This Row],[Unit_Price]]</f>
        <v>1656</v>
      </c>
      <c r="S575">
        <f>Inventory_Table[[#This Row],[Sales_Volume]]*Inventory_Table[[#This Row],[Unit_Price]]</f>
        <v>720</v>
      </c>
      <c r="T575" t="str">
        <f>IF(Inventory_Table[[#This Row],[Stock_Quantity]]&lt;=Inventory_Table[[#This Row],[Reorder_Level]],"REORDER","OK")</f>
        <v>OK</v>
      </c>
      <c r="U575" t="s">
        <v>3838</v>
      </c>
      <c r="V575" s="14">
        <f ca="1">TODAY()-Inventory_Table[[#This Row],[Last_Order_Date]]</f>
        <v>654</v>
      </c>
    </row>
    <row r="576" spans="1:22" x14ac:dyDescent="0.35">
      <c r="A576" t="s">
        <v>640</v>
      </c>
      <c r="B576" t="s">
        <v>163</v>
      </c>
      <c r="C576" t="s">
        <v>115</v>
      </c>
      <c r="D576" t="s">
        <v>2459</v>
      </c>
      <c r="E576" t="s">
        <v>21</v>
      </c>
      <c r="F576" t="s">
        <v>2460</v>
      </c>
      <c r="G576" t="s">
        <v>2461</v>
      </c>
      <c r="H576" s="1">
        <v>46380</v>
      </c>
      <c r="I576" s="6">
        <v>45397</v>
      </c>
      <c r="J576" s="6">
        <v>46232</v>
      </c>
      <c r="K576">
        <v>19</v>
      </c>
      <c r="L576">
        <v>78</v>
      </c>
      <c r="M576">
        <v>90</v>
      </c>
      <c r="N576" s="8">
        <v>5</v>
      </c>
      <c r="O576">
        <v>72</v>
      </c>
      <c r="P576">
        <v>84</v>
      </c>
      <c r="Q576" s="3">
        <v>-0.43</v>
      </c>
      <c r="R576">
        <f>Inventory_Table[[#This Row],[Stock_Quantity]]*Inventory_Table[[#This Row],[Unit_Price]]</f>
        <v>95</v>
      </c>
      <c r="S576">
        <f>Inventory_Table[[#This Row],[Sales_Volume]]*Inventory_Table[[#This Row],[Unit_Price]]</f>
        <v>360</v>
      </c>
      <c r="T576" t="str">
        <f>IF(Inventory_Table[[#This Row],[Stock_Quantity]]&lt;=Inventory_Table[[#This Row],[Reorder_Level]],"REORDER","OK")</f>
        <v>REORDER</v>
      </c>
      <c r="U576" t="s">
        <v>3836</v>
      </c>
      <c r="V576" s="14">
        <f ca="1">TODAY()-Inventory_Table[[#This Row],[Last_Order_Date]]</f>
        <v>779</v>
      </c>
    </row>
    <row r="577" spans="1:22" x14ac:dyDescent="0.35">
      <c r="A577" t="s">
        <v>129</v>
      </c>
      <c r="B577" t="s">
        <v>18</v>
      </c>
      <c r="C577" t="s">
        <v>1632</v>
      </c>
      <c r="D577" t="s">
        <v>2462</v>
      </c>
      <c r="E577" t="s">
        <v>30</v>
      </c>
      <c r="F577" t="s">
        <v>2463</v>
      </c>
      <c r="G577" t="s">
        <v>2464</v>
      </c>
      <c r="H577" s="1">
        <v>46380</v>
      </c>
      <c r="I577" s="6">
        <v>45582</v>
      </c>
      <c r="J577" s="6">
        <v>46166</v>
      </c>
      <c r="K577">
        <v>84</v>
      </c>
      <c r="L577">
        <v>74</v>
      </c>
      <c r="M577">
        <v>48</v>
      </c>
      <c r="N577" s="8">
        <v>4.5</v>
      </c>
      <c r="O577">
        <v>64</v>
      </c>
      <c r="P577">
        <v>32</v>
      </c>
      <c r="Q577" s="3">
        <v>-0.17</v>
      </c>
      <c r="R577">
        <f>Inventory_Table[[#This Row],[Stock_Quantity]]*Inventory_Table[[#This Row],[Unit_Price]]</f>
        <v>378</v>
      </c>
      <c r="S577">
        <f>Inventory_Table[[#This Row],[Sales_Volume]]*Inventory_Table[[#This Row],[Unit_Price]]</f>
        <v>288</v>
      </c>
      <c r="T577" t="str">
        <f>IF(Inventory_Table[[#This Row],[Stock_Quantity]]&lt;=Inventory_Table[[#This Row],[Reorder_Level]],"REORDER","OK")</f>
        <v>OK</v>
      </c>
      <c r="U577" t="s">
        <v>3838</v>
      </c>
      <c r="V577" s="14">
        <f ca="1">TODAY()-Inventory_Table[[#This Row],[Last_Order_Date]]</f>
        <v>594</v>
      </c>
    </row>
    <row r="578" spans="1:22" x14ac:dyDescent="0.35">
      <c r="A578" t="s">
        <v>247</v>
      </c>
      <c r="B578" t="s">
        <v>18</v>
      </c>
      <c r="C578" t="s">
        <v>302</v>
      </c>
      <c r="D578" t="s">
        <v>2465</v>
      </c>
      <c r="E578" t="s">
        <v>30</v>
      </c>
      <c r="F578" t="s">
        <v>2466</v>
      </c>
      <c r="G578" t="s">
        <v>2467</v>
      </c>
      <c r="H578" s="1">
        <v>46380</v>
      </c>
      <c r="I578" s="6">
        <v>45423</v>
      </c>
      <c r="J578" s="6">
        <v>46085</v>
      </c>
      <c r="K578">
        <v>14</v>
      </c>
      <c r="L578">
        <v>75</v>
      </c>
      <c r="M578">
        <v>19</v>
      </c>
      <c r="N578" s="8">
        <v>1.9</v>
      </c>
      <c r="O578">
        <v>100</v>
      </c>
      <c r="P578">
        <v>84</v>
      </c>
      <c r="Q578" s="3">
        <v>0.5</v>
      </c>
      <c r="R578">
        <f>Inventory_Table[[#This Row],[Stock_Quantity]]*Inventory_Table[[#This Row],[Unit_Price]]</f>
        <v>26.599999999999998</v>
      </c>
      <c r="S578">
        <f>Inventory_Table[[#This Row],[Sales_Volume]]*Inventory_Table[[#This Row],[Unit_Price]]</f>
        <v>190</v>
      </c>
      <c r="T578" t="str">
        <f>IF(Inventory_Table[[#This Row],[Stock_Quantity]]&lt;=Inventory_Table[[#This Row],[Reorder_Level]],"REORDER","OK")</f>
        <v>REORDER</v>
      </c>
      <c r="U578" t="s">
        <v>3838</v>
      </c>
      <c r="V578" s="14">
        <f ca="1">TODAY()-Inventory_Table[[#This Row],[Last_Order_Date]]</f>
        <v>753</v>
      </c>
    </row>
    <row r="579" spans="1:22" x14ac:dyDescent="0.35">
      <c r="A579" t="s">
        <v>1320</v>
      </c>
      <c r="B579" t="s">
        <v>18</v>
      </c>
      <c r="C579" t="s">
        <v>2450</v>
      </c>
      <c r="D579" t="s">
        <v>2468</v>
      </c>
      <c r="E579" t="s">
        <v>68</v>
      </c>
      <c r="F579" t="s">
        <v>2469</v>
      </c>
      <c r="G579" t="s">
        <v>2470</v>
      </c>
      <c r="H579" s="1">
        <v>46381</v>
      </c>
      <c r="I579" s="6">
        <v>45485</v>
      </c>
      <c r="J579" s="6">
        <v>46201</v>
      </c>
      <c r="K579">
        <v>30</v>
      </c>
      <c r="L579">
        <v>25</v>
      </c>
      <c r="M579">
        <v>11</v>
      </c>
      <c r="N579" s="8">
        <v>8</v>
      </c>
      <c r="O579">
        <v>42</v>
      </c>
      <c r="P579">
        <v>76</v>
      </c>
      <c r="Q579" s="3">
        <v>0.16</v>
      </c>
      <c r="R579">
        <f>Inventory_Table[[#This Row],[Stock_Quantity]]*Inventory_Table[[#This Row],[Unit_Price]]</f>
        <v>240</v>
      </c>
      <c r="S579">
        <f>Inventory_Table[[#This Row],[Sales_Volume]]*Inventory_Table[[#This Row],[Unit_Price]]</f>
        <v>336</v>
      </c>
      <c r="T579" t="str">
        <f>IF(Inventory_Table[[#This Row],[Stock_Quantity]]&lt;=Inventory_Table[[#This Row],[Reorder_Level]],"REORDER","OK")</f>
        <v>OK</v>
      </c>
      <c r="U579" t="s">
        <v>3837</v>
      </c>
      <c r="V579" s="14">
        <f ca="1">TODAY()-Inventory_Table[[#This Row],[Last_Order_Date]]</f>
        <v>691</v>
      </c>
    </row>
    <row r="580" spans="1:22" x14ac:dyDescent="0.35">
      <c r="A580" t="s">
        <v>58</v>
      </c>
      <c r="B580" t="s">
        <v>18</v>
      </c>
      <c r="C580" t="s">
        <v>2471</v>
      </c>
      <c r="D580" t="s">
        <v>2472</v>
      </c>
      <c r="E580" t="s">
        <v>30</v>
      </c>
      <c r="F580" t="s">
        <v>2473</v>
      </c>
      <c r="G580" t="s">
        <v>2474</v>
      </c>
      <c r="H580" s="1">
        <v>46382</v>
      </c>
      <c r="I580" s="6">
        <v>45433</v>
      </c>
      <c r="J580" s="6">
        <v>46127</v>
      </c>
      <c r="K580">
        <v>63</v>
      </c>
      <c r="L580">
        <v>60</v>
      </c>
      <c r="M580">
        <v>54</v>
      </c>
      <c r="N580" s="8">
        <v>2.5</v>
      </c>
      <c r="O580">
        <v>33</v>
      </c>
      <c r="P580">
        <v>31</v>
      </c>
      <c r="Q580" s="3">
        <v>-0.81</v>
      </c>
      <c r="R580">
        <f>Inventory_Table[[#This Row],[Stock_Quantity]]*Inventory_Table[[#This Row],[Unit_Price]]</f>
        <v>157.5</v>
      </c>
      <c r="S580">
        <f>Inventory_Table[[#This Row],[Sales_Volume]]*Inventory_Table[[#This Row],[Unit_Price]]</f>
        <v>82.5</v>
      </c>
      <c r="T580" t="str">
        <f>IF(Inventory_Table[[#This Row],[Stock_Quantity]]&lt;=Inventory_Table[[#This Row],[Reorder_Level]],"REORDER","OK")</f>
        <v>OK</v>
      </c>
      <c r="U580" t="s">
        <v>3838</v>
      </c>
      <c r="V580" s="14">
        <f ca="1">TODAY()-Inventory_Table[[#This Row],[Last_Order_Date]]</f>
        <v>743</v>
      </c>
    </row>
    <row r="581" spans="1:22" x14ac:dyDescent="0.35">
      <c r="A581" t="s">
        <v>653</v>
      </c>
      <c r="B581" t="s">
        <v>163</v>
      </c>
      <c r="C581" t="s">
        <v>2475</v>
      </c>
      <c r="D581" t="s">
        <v>2476</v>
      </c>
      <c r="E581" t="s">
        <v>68</v>
      </c>
      <c r="F581" t="s">
        <v>2477</v>
      </c>
      <c r="G581" t="s">
        <v>2478</v>
      </c>
      <c r="H581" s="1">
        <v>46382</v>
      </c>
      <c r="I581" s="6">
        <v>45470</v>
      </c>
      <c r="J581" s="6">
        <v>46345</v>
      </c>
      <c r="K581">
        <v>60</v>
      </c>
      <c r="L581">
        <v>27</v>
      </c>
      <c r="M581">
        <v>58</v>
      </c>
      <c r="N581" s="8">
        <v>25.3</v>
      </c>
      <c r="O581">
        <v>43</v>
      </c>
      <c r="P581">
        <v>91</v>
      </c>
      <c r="Q581" s="3">
        <v>0.06</v>
      </c>
      <c r="R581">
        <f>Inventory_Table[[#This Row],[Stock_Quantity]]*Inventory_Table[[#This Row],[Unit_Price]]</f>
        <v>1518</v>
      </c>
      <c r="S581">
        <f>Inventory_Table[[#This Row],[Sales_Volume]]*Inventory_Table[[#This Row],[Unit_Price]]</f>
        <v>1087.9000000000001</v>
      </c>
      <c r="T581" t="str">
        <f>IF(Inventory_Table[[#This Row],[Stock_Quantity]]&lt;=Inventory_Table[[#This Row],[Reorder_Level]],"REORDER","OK")</f>
        <v>OK</v>
      </c>
      <c r="U581" t="s">
        <v>3836</v>
      </c>
      <c r="V581" s="14">
        <f ca="1">TODAY()-Inventory_Table[[#This Row],[Last_Order_Date]]</f>
        <v>706</v>
      </c>
    </row>
    <row r="582" spans="1:22" x14ac:dyDescent="0.35">
      <c r="A582" t="s">
        <v>532</v>
      </c>
      <c r="B582" t="s">
        <v>75</v>
      </c>
      <c r="C582" t="s">
        <v>666</v>
      </c>
      <c r="D582" t="s">
        <v>2480</v>
      </c>
      <c r="E582" t="s">
        <v>30</v>
      </c>
      <c r="F582" t="s">
        <v>2481</v>
      </c>
      <c r="G582" t="s">
        <v>2482</v>
      </c>
      <c r="H582" s="1">
        <v>46382</v>
      </c>
      <c r="I582" s="6">
        <v>45349</v>
      </c>
      <c r="J582" s="6">
        <v>46141</v>
      </c>
      <c r="K582">
        <v>16</v>
      </c>
      <c r="L582">
        <v>34</v>
      </c>
      <c r="M582">
        <v>89</v>
      </c>
      <c r="N582" s="8">
        <v>18</v>
      </c>
      <c r="O582">
        <v>35</v>
      </c>
      <c r="P582">
        <v>52</v>
      </c>
      <c r="Q582" s="3">
        <v>-1.1200000000000001</v>
      </c>
      <c r="R582">
        <f>Inventory_Table[[#This Row],[Stock_Quantity]]*Inventory_Table[[#This Row],[Unit_Price]]</f>
        <v>288</v>
      </c>
      <c r="S582">
        <f>Inventory_Table[[#This Row],[Sales_Volume]]*Inventory_Table[[#This Row],[Unit_Price]]</f>
        <v>630</v>
      </c>
      <c r="T582" t="str">
        <f>IF(Inventory_Table[[#This Row],[Stock_Quantity]]&lt;=Inventory_Table[[#This Row],[Reorder_Level]],"REORDER","OK")</f>
        <v>REORDER</v>
      </c>
      <c r="U582" t="s">
        <v>3838</v>
      </c>
      <c r="V582" s="14">
        <f ca="1">TODAY()-Inventory_Table[[#This Row],[Last_Order_Date]]</f>
        <v>827</v>
      </c>
    </row>
    <row r="583" spans="1:22" x14ac:dyDescent="0.35">
      <c r="A583" t="s">
        <v>665</v>
      </c>
      <c r="B583" t="s">
        <v>65</v>
      </c>
      <c r="C583" t="s">
        <v>19</v>
      </c>
      <c r="D583" t="s">
        <v>2483</v>
      </c>
      <c r="E583" t="s">
        <v>21</v>
      </c>
      <c r="F583" t="s">
        <v>2484</v>
      </c>
      <c r="G583" t="s">
        <v>2485</v>
      </c>
      <c r="H583" s="1">
        <v>46382</v>
      </c>
      <c r="I583" s="6">
        <v>45630</v>
      </c>
      <c r="J583" s="6">
        <v>46355</v>
      </c>
      <c r="K583">
        <v>18</v>
      </c>
      <c r="L583">
        <v>86</v>
      </c>
      <c r="M583">
        <v>20</v>
      </c>
      <c r="N583" s="8">
        <v>1.8</v>
      </c>
      <c r="O583">
        <v>64</v>
      </c>
      <c r="P583">
        <v>34</v>
      </c>
      <c r="Q583" s="3">
        <v>-0.49</v>
      </c>
      <c r="R583">
        <f>Inventory_Table[[#This Row],[Stock_Quantity]]*Inventory_Table[[#This Row],[Unit_Price]]</f>
        <v>32.4</v>
      </c>
      <c r="S583">
        <f>Inventory_Table[[#This Row],[Sales_Volume]]*Inventory_Table[[#This Row],[Unit_Price]]</f>
        <v>115.2</v>
      </c>
      <c r="T583" t="str">
        <f>IF(Inventory_Table[[#This Row],[Stock_Quantity]]&lt;=Inventory_Table[[#This Row],[Reorder_Level]],"REORDER","OK")</f>
        <v>REORDER</v>
      </c>
      <c r="U583" t="s">
        <v>3836</v>
      </c>
      <c r="V583" s="14">
        <f ca="1">TODAY()-Inventory_Table[[#This Row],[Last_Order_Date]]</f>
        <v>546</v>
      </c>
    </row>
    <row r="584" spans="1:22" x14ac:dyDescent="0.35">
      <c r="A584" t="s">
        <v>222</v>
      </c>
      <c r="B584" t="s">
        <v>65</v>
      </c>
      <c r="C584" t="s">
        <v>2023</v>
      </c>
      <c r="D584" t="s">
        <v>2486</v>
      </c>
      <c r="E584" t="s">
        <v>21</v>
      </c>
      <c r="F584" t="s">
        <v>2487</v>
      </c>
      <c r="G584" t="s">
        <v>2488</v>
      </c>
      <c r="H584" s="1">
        <v>46382</v>
      </c>
      <c r="I584" s="6">
        <v>45644</v>
      </c>
      <c r="J584" s="6">
        <v>46208</v>
      </c>
      <c r="K584">
        <v>64</v>
      </c>
      <c r="L584">
        <v>11</v>
      </c>
      <c r="M584">
        <v>97</v>
      </c>
      <c r="N584" s="8">
        <v>1.5</v>
      </c>
      <c r="O584">
        <v>33</v>
      </c>
      <c r="P584">
        <v>83</v>
      </c>
      <c r="Q584" s="3">
        <v>0.47</v>
      </c>
      <c r="R584">
        <f>Inventory_Table[[#This Row],[Stock_Quantity]]*Inventory_Table[[#This Row],[Unit_Price]]</f>
        <v>96</v>
      </c>
      <c r="S584">
        <f>Inventory_Table[[#This Row],[Sales_Volume]]*Inventory_Table[[#This Row],[Unit_Price]]</f>
        <v>49.5</v>
      </c>
      <c r="T584" t="str">
        <f>IF(Inventory_Table[[#This Row],[Stock_Quantity]]&lt;=Inventory_Table[[#This Row],[Reorder_Level]],"REORDER","OK")</f>
        <v>OK</v>
      </c>
      <c r="U584" t="s">
        <v>3836</v>
      </c>
      <c r="V584" s="14">
        <f ca="1">TODAY()-Inventory_Table[[#This Row],[Last_Order_Date]]</f>
        <v>532</v>
      </c>
    </row>
    <row r="585" spans="1:22" x14ac:dyDescent="0.35">
      <c r="A585" t="s">
        <v>376</v>
      </c>
      <c r="B585" t="s">
        <v>18</v>
      </c>
      <c r="C585" t="s">
        <v>2489</v>
      </c>
      <c r="D585" t="s">
        <v>2490</v>
      </c>
      <c r="E585" t="s">
        <v>30</v>
      </c>
      <c r="F585" t="s">
        <v>2491</v>
      </c>
      <c r="G585" t="s">
        <v>2492</v>
      </c>
      <c r="H585" s="1">
        <v>46382</v>
      </c>
      <c r="I585" s="6">
        <v>45387</v>
      </c>
      <c r="J585" s="6">
        <v>46241</v>
      </c>
      <c r="K585">
        <v>74</v>
      </c>
      <c r="L585">
        <v>4</v>
      </c>
      <c r="M585">
        <v>39</v>
      </c>
      <c r="N585" s="8">
        <v>2</v>
      </c>
      <c r="O585">
        <v>97</v>
      </c>
      <c r="P585">
        <v>24</v>
      </c>
      <c r="Q585" s="3">
        <v>-1.52</v>
      </c>
      <c r="R585">
        <f>Inventory_Table[[#This Row],[Stock_Quantity]]*Inventory_Table[[#This Row],[Unit_Price]]</f>
        <v>148</v>
      </c>
      <c r="S585">
        <f>Inventory_Table[[#This Row],[Sales_Volume]]*Inventory_Table[[#This Row],[Unit_Price]]</f>
        <v>194</v>
      </c>
      <c r="T585" t="str">
        <f>IF(Inventory_Table[[#This Row],[Stock_Quantity]]&lt;=Inventory_Table[[#This Row],[Reorder_Level]],"REORDER","OK")</f>
        <v>OK</v>
      </c>
      <c r="U585" t="s">
        <v>3836</v>
      </c>
      <c r="V585" s="14">
        <f ca="1">TODAY()-Inventory_Table[[#This Row],[Last_Order_Date]]</f>
        <v>789</v>
      </c>
    </row>
    <row r="586" spans="1:22" x14ac:dyDescent="0.35">
      <c r="A586" t="s">
        <v>43</v>
      </c>
      <c r="B586" t="s">
        <v>18</v>
      </c>
      <c r="C586" t="s">
        <v>2172</v>
      </c>
      <c r="D586" t="s">
        <v>2493</v>
      </c>
      <c r="E586" t="s">
        <v>30</v>
      </c>
      <c r="F586" t="s">
        <v>2494</v>
      </c>
      <c r="G586" t="s">
        <v>2495</v>
      </c>
      <c r="H586" s="1">
        <v>46383</v>
      </c>
      <c r="I586" s="6">
        <v>45633</v>
      </c>
      <c r="J586" s="6">
        <v>46335</v>
      </c>
      <c r="K586">
        <v>92</v>
      </c>
      <c r="L586">
        <v>39</v>
      </c>
      <c r="M586">
        <v>50</v>
      </c>
      <c r="N586" s="8">
        <v>1.6</v>
      </c>
      <c r="O586">
        <v>30</v>
      </c>
      <c r="P586">
        <v>41</v>
      </c>
      <c r="Q586" s="3">
        <v>0.75</v>
      </c>
      <c r="R586">
        <f>Inventory_Table[[#This Row],[Stock_Quantity]]*Inventory_Table[[#This Row],[Unit_Price]]</f>
        <v>147.20000000000002</v>
      </c>
      <c r="S586">
        <f>Inventory_Table[[#This Row],[Sales_Volume]]*Inventory_Table[[#This Row],[Unit_Price]]</f>
        <v>48</v>
      </c>
      <c r="T586" t="str">
        <f>IF(Inventory_Table[[#This Row],[Stock_Quantity]]&lt;=Inventory_Table[[#This Row],[Reorder_Level]],"REORDER","OK")</f>
        <v>OK</v>
      </c>
      <c r="U586" t="s">
        <v>3836</v>
      </c>
      <c r="V586" s="14">
        <f ca="1">TODAY()-Inventory_Table[[#This Row],[Last_Order_Date]]</f>
        <v>543</v>
      </c>
    </row>
    <row r="587" spans="1:22" x14ac:dyDescent="0.35">
      <c r="A587" t="s">
        <v>162</v>
      </c>
      <c r="B587" t="s">
        <v>163</v>
      </c>
      <c r="C587" t="s">
        <v>2475</v>
      </c>
      <c r="D587" t="s">
        <v>2496</v>
      </c>
      <c r="E587" t="s">
        <v>68</v>
      </c>
      <c r="F587" t="s">
        <v>2497</v>
      </c>
      <c r="G587" t="s">
        <v>2498</v>
      </c>
      <c r="H587" s="1">
        <v>46383</v>
      </c>
      <c r="I587" s="6">
        <v>45438</v>
      </c>
      <c r="J587" s="6">
        <v>46412</v>
      </c>
      <c r="K587">
        <v>45</v>
      </c>
      <c r="L587">
        <v>36</v>
      </c>
      <c r="M587">
        <v>97</v>
      </c>
      <c r="N587" s="8">
        <v>20</v>
      </c>
      <c r="O587">
        <v>36</v>
      </c>
      <c r="P587">
        <v>6</v>
      </c>
      <c r="Q587" s="3">
        <v>-0.37</v>
      </c>
      <c r="R587">
        <f>Inventory_Table[[#This Row],[Stock_Quantity]]*Inventory_Table[[#This Row],[Unit_Price]]</f>
        <v>900</v>
      </c>
      <c r="S587">
        <f>Inventory_Table[[#This Row],[Sales_Volume]]*Inventory_Table[[#This Row],[Unit_Price]]</f>
        <v>720</v>
      </c>
      <c r="T587" t="str">
        <f>IF(Inventory_Table[[#This Row],[Stock_Quantity]]&lt;=Inventory_Table[[#This Row],[Reorder_Level]],"REORDER","OK")</f>
        <v>OK</v>
      </c>
      <c r="U587" t="s">
        <v>3836</v>
      </c>
      <c r="V587" s="14">
        <f ca="1">TODAY()-Inventory_Table[[#This Row],[Last_Order_Date]]</f>
        <v>738</v>
      </c>
    </row>
    <row r="588" spans="1:22" x14ac:dyDescent="0.35">
      <c r="A588" t="s">
        <v>1623</v>
      </c>
      <c r="B588" t="s">
        <v>36</v>
      </c>
      <c r="C588" t="s">
        <v>1570</v>
      </c>
      <c r="D588" t="s">
        <v>2499</v>
      </c>
      <c r="E588" t="s">
        <v>68</v>
      </c>
      <c r="F588" t="s">
        <v>2500</v>
      </c>
      <c r="G588" t="s">
        <v>2501</v>
      </c>
      <c r="H588" s="1">
        <v>46383</v>
      </c>
      <c r="I588" s="6">
        <v>45670</v>
      </c>
      <c r="J588" s="6">
        <v>46248</v>
      </c>
      <c r="K588">
        <v>74</v>
      </c>
      <c r="L588">
        <v>62</v>
      </c>
      <c r="M588">
        <v>6</v>
      </c>
      <c r="N588" s="8">
        <v>4</v>
      </c>
      <c r="O588">
        <v>65</v>
      </c>
      <c r="P588">
        <v>96</v>
      </c>
      <c r="Q588" s="3">
        <v>0.83</v>
      </c>
      <c r="R588">
        <f>Inventory_Table[[#This Row],[Stock_Quantity]]*Inventory_Table[[#This Row],[Unit_Price]]</f>
        <v>296</v>
      </c>
      <c r="S588">
        <f>Inventory_Table[[#This Row],[Sales_Volume]]*Inventory_Table[[#This Row],[Unit_Price]]</f>
        <v>260</v>
      </c>
      <c r="T588" t="str">
        <f>IF(Inventory_Table[[#This Row],[Stock_Quantity]]&lt;=Inventory_Table[[#This Row],[Reorder_Level]],"REORDER","OK")</f>
        <v>OK</v>
      </c>
      <c r="U588" t="s">
        <v>3836</v>
      </c>
      <c r="V588" s="14">
        <f ca="1">TODAY()-Inventory_Table[[#This Row],[Last_Order_Date]]</f>
        <v>506</v>
      </c>
    </row>
    <row r="589" spans="1:22" x14ac:dyDescent="0.35">
      <c r="A589" t="s">
        <v>786</v>
      </c>
      <c r="B589" t="s">
        <v>65</v>
      </c>
      <c r="C589" t="s">
        <v>2122</v>
      </c>
      <c r="D589" t="s">
        <v>2502</v>
      </c>
      <c r="E589" t="s">
        <v>68</v>
      </c>
      <c r="F589" t="s">
        <v>2503</v>
      </c>
      <c r="G589" t="s">
        <v>2504</v>
      </c>
      <c r="H589" s="1">
        <v>46383</v>
      </c>
      <c r="I589" s="6">
        <v>45708</v>
      </c>
      <c r="J589" s="6">
        <v>46325</v>
      </c>
      <c r="K589">
        <v>88</v>
      </c>
      <c r="L589">
        <v>34</v>
      </c>
      <c r="M589">
        <v>94</v>
      </c>
      <c r="N589" s="8">
        <v>2.4</v>
      </c>
      <c r="O589">
        <v>95</v>
      </c>
      <c r="P589">
        <v>63</v>
      </c>
      <c r="Q589" s="3">
        <v>-0.48</v>
      </c>
      <c r="R589">
        <f>Inventory_Table[[#This Row],[Stock_Quantity]]*Inventory_Table[[#This Row],[Unit_Price]]</f>
        <v>211.2</v>
      </c>
      <c r="S589">
        <f>Inventory_Table[[#This Row],[Sales_Volume]]*Inventory_Table[[#This Row],[Unit_Price]]</f>
        <v>228</v>
      </c>
      <c r="T589" t="str">
        <f>IF(Inventory_Table[[#This Row],[Stock_Quantity]]&lt;=Inventory_Table[[#This Row],[Reorder_Level]],"REORDER","OK")</f>
        <v>OK</v>
      </c>
      <c r="U589" t="s">
        <v>3836</v>
      </c>
      <c r="V589" s="14">
        <f ca="1">TODAY()-Inventory_Table[[#This Row],[Last_Order_Date]]</f>
        <v>468</v>
      </c>
    </row>
    <row r="590" spans="1:22" x14ac:dyDescent="0.35">
      <c r="A590" t="s">
        <v>653</v>
      </c>
      <c r="B590" t="s">
        <v>163</v>
      </c>
      <c r="C590" t="s">
        <v>1109</v>
      </c>
      <c r="D590" t="s">
        <v>2505</v>
      </c>
      <c r="E590" t="s">
        <v>68</v>
      </c>
      <c r="F590" t="s">
        <v>2506</v>
      </c>
      <c r="G590" t="s">
        <v>2507</v>
      </c>
      <c r="H590" s="1">
        <v>46384</v>
      </c>
      <c r="I590" s="6">
        <v>45490</v>
      </c>
      <c r="J590" s="6">
        <v>46361</v>
      </c>
      <c r="K590">
        <v>50</v>
      </c>
      <c r="L590">
        <v>100</v>
      </c>
      <c r="M590">
        <v>91</v>
      </c>
      <c r="N590" s="8">
        <v>25.5</v>
      </c>
      <c r="O590">
        <v>29</v>
      </c>
      <c r="P590">
        <v>31</v>
      </c>
      <c r="Q590" s="3">
        <v>0.34</v>
      </c>
      <c r="R590">
        <f>Inventory_Table[[#This Row],[Stock_Quantity]]*Inventory_Table[[#This Row],[Unit_Price]]</f>
        <v>1275</v>
      </c>
      <c r="S590">
        <f>Inventory_Table[[#This Row],[Sales_Volume]]*Inventory_Table[[#This Row],[Unit_Price]]</f>
        <v>739.5</v>
      </c>
      <c r="T590" t="str">
        <f>IF(Inventory_Table[[#This Row],[Stock_Quantity]]&lt;=Inventory_Table[[#This Row],[Reorder_Level]],"REORDER","OK")</f>
        <v>REORDER</v>
      </c>
      <c r="U590" t="s">
        <v>3836</v>
      </c>
      <c r="V590" s="14">
        <f ca="1">TODAY()-Inventory_Table[[#This Row],[Last_Order_Date]]</f>
        <v>686</v>
      </c>
    </row>
    <row r="591" spans="1:22" x14ac:dyDescent="0.35">
      <c r="A591" t="s">
        <v>1371</v>
      </c>
      <c r="B591" t="s">
        <v>36</v>
      </c>
      <c r="C591" t="s">
        <v>2509</v>
      </c>
      <c r="D591" t="s">
        <v>2510</v>
      </c>
      <c r="E591" t="s">
        <v>30</v>
      </c>
      <c r="F591" t="s">
        <v>2511</v>
      </c>
      <c r="G591" t="s">
        <v>2512</v>
      </c>
      <c r="H591" s="1">
        <v>46385</v>
      </c>
      <c r="I591" s="6">
        <v>45649</v>
      </c>
      <c r="J591" s="6">
        <v>46273</v>
      </c>
      <c r="K591">
        <v>10</v>
      </c>
      <c r="L591">
        <v>17</v>
      </c>
      <c r="M591">
        <v>70</v>
      </c>
      <c r="N591" s="8">
        <v>0.2</v>
      </c>
      <c r="O591">
        <v>100</v>
      </c>
      <c r="P591">
        <v>63</v>
      </c>
      <c r="Q591" s="3">
        <v>-7.0000000000000007E-2</v>
      </c>
      <c r="R591">
        <f>Inventory_Table[[#This Row],[Stock_Quantity]]*Inventory_Table[[#This Row],[Unit_Price]]</f>
        <v>2</v>
      </c>
      <c r="S591">
        <f>Inventory_Table[[#This Row],[Sales_Volume]]*Inventory_Table[[#This Row],[Unit_Price]]</f>
        <v>20</v>
      </c>
      <c r="T591" t="str">
        <f>IF(Inventory_Table[[#This Row],[Stock_Quantity]]&lt;=Inventory_Table[[#This Row],[Reorder_Level]],"REORDER","OK")</f>
        <v>REORDER</v>
      </c>
      <c r="U591" t="s">
        <v>3836</v>
      </c>
      <c r="V591" s="14">
        <f ca="1">TODAY()-Inventory_Table[[#This Row],[Last_Order_Date]]</f>
        <v>527</v>
      </c>
    </row>
    <row r="592" spans="1:22" x14ac:dyDescent="0.35">
      <c r="A592" t="s">
        <v>708</v>
      </c>
      <c r="B592" t="s">
        <v>163</v>
      </c>
      <c r="C592" t="s">
        <v>1851</v>
      </c>
      <c r="D592" t="s">
        <v>2513</v>
      </c>
      <c r="E592" t="s">
        <v>30</v>
      </c>
      <c r="F592" t="s">
        <v>2514</v>
      </c>
      <c r="G592" t="s">
        <v>2515</v>
      </c>
      <c r="H592" s="1">
        <v>46385</v>
      </c>
      <c r="I592" s="6">
        <v>45435</v>
      </c>
      <c r="J592" s="6">
        <v>46251</v>
      </c>
      <c r="K592">
        <v>87</v>
      </c>
      <c r="L592">
        <v>91</v>
      </c>
      <c r="M592">
        <v>23</v>
      </c>
      <c r="N592" s="8">
        <v>14.9</v>
      </c>
      <c r="O592">
        <v>90</v>
      </c>
      <c r="P592">
        <v>75</v>
      </c>
      <c r="Q592" s="3">
        <v>0.37</v>
      </c>
      <c r="R592">
        <f>Inventory_Table[[#This Row],[Stock_Quantity]]*Inventory_Table[[#This Row],[Unit_Price]]</f>
        <v>1296.3</v>
      </c>
      <c r="S592">
        <f>Inventory_Table[[#This Row],[Sales_Volume]]*Inventory_Table[[#This Row],[Unit_Price]]</f>
        <v>1341</v>
      </c>
      <c r="T592" t="str">
        <f>IF(Inventory_Table[[#This Row],[Stock_Quantity]]&lt;=Inventory_Table[[#This Row],[Reorder_Level]],"REORDER","OK")</f>
        <v>REORDER</v>
      </c>
      <c r="U592" t="s">
        <v>3836</v>
      </c>
      <c r="V592" s="14">
        <f ca="1">TODAY()-Inventory_Table[[#This Row],[Last_Order_Date]]</f>
        <v>741</v>
      </c>
    </row>
    <row r="593" spans="1:22" x14ac:dyDescent="0.35">
      <c r="A593" t="s">
        <v>718</v>
      </c>
      <c r="B593" t="s">
        <v>65</v>
      </c>
      <c r="C593" t="s">
        <v>2517</v>
      </c>
      <c r="D593" t="s">
        <v>2518</v>
      </c>
      <c r="E593" t="s">
        <v>21</v>
      </c>
      <c r="F593" t="s">
        <v>2519</v>
      </c>
      <c r="G593" t="s">
        <v>2520</v>
      </c>
      <c r="H593" s="1">
        <v>46385</v>
      </c>
      <c r="I593" s="6">
        <v>45372</v>
      </c>
      <c r="J593" s="6">
        <v>46240</v>
      </c>
      <c r="K593">
        <v>38</v>
      </c>
      <c r="L593">
        <v>82</v>
      </c>
      <c r="M593">
        <v>17</v>
      </c>
      <c r="N593" s="8">
        <v>2</v>
      </c>
      <c r="O593">
        <v>52</v>
      </c>
      <c r="P593">
        <v>47</v>
      </c>
      <c r="Q593" s="3">
        <v>0.17</v>
      </c>
      <c r="R593">
        <f>Inventory_Table[[#This Row],[Stock_Quantity]]*Inventory_Table[[#This Row],[Unit_Price]]</f>
        <v>76</v>
      </c>
      <c r="S593">
        <f>Inventory_Table[[#This Row],[Sales_Volume]]*Inventory_Table[[#This Row],[Unit_Price]]</f>
        <v>104</v>
      </c>
      <c r="T593" t="str">
        <f>IF(Inventory_Table[[#This Row],[Stock_Quantity]]&lt;=Inventory_Table[[#This Row],[Reorder_Level]],"REORDER","OK")</f>
        <v>REORDER</v>
      </c>
      <c r="U593" t="s">
        <v>3836</v>
      </c>
      <c r="V593" s="14">
        <f ca="1">TODAY()-Inventory_Table[[#This Row],[Last_Order_Date]]</f>
        <v>804</v>
      </c>
    </row>
    <row r="594" spans="1:22" x14ac:dyDescent="0.35">
      <c r="A594" t="s">
        <v>200</v>
      </c>
      <c r="B594" t="s">
        <v>163</v>
      </c>
      <c r="C594" t="s">
        <v>451</v>
      </c>
      <c r="D594" t="s">
        <v>2521</v>
      </c>
      <c r="E594" t="s">
        <v>68</v>
      </c>
      <c r="F594" t="s">
        <v>2522</v>
      </c>
      <c r="G594" t="s">
        <v>2523</v>
      </c>
      <c r="H594" s="1">
        <v>46386</v>
      </c>
      <c r="I594" s="6">
        <v>45367</v>
      </c>
      <c r="J594" s="6">
        <v>46291</v>
      </c>
      <c r="K594">
        <v>61</v>
      </c>
      <c r="L594">
        <v>31</v>
      </c>
      <c r="M594">
        <v>100</v>
      </c>
      <c r="N594" s="8">
        <v>12.5</v>
      </c>
      <c r="O594">
        <v>95</v>
      </c>
      <c r="P594">
        <v>61</v>
      </c>
      <c r="Q594" s="3">
        <v>0.1</v>
      </c>
      <c r="R594">
        <f>Inventory_Table[[#This Row],[Stock_Quantity]]*Inventory_Table[[#This Row],[Unit_Price]]</f>
        <v>762.5</v>
      </c>
      <c r="S594">
        <f>Inventory_Table[[#This Row],[Sales_Volume]]*Inventory_Table[[#This Row],[Unit_Price]]</f>
        <v>1187.5</v>
      </c>
      <c r="T594" t="str">
        <f>IF(Inventory_Table[[#This Row],[Stock_Quantity]]&lt;=Inventory_Table[[#This Row],[Reorder_Level]],"REORDER","OK")</f>
        <v>OK</v>
      </c>
      <c r="U594" t="s">
        <v>3836</v>
      </c>
      <c r="V594" s="14">
        <f ca="1">TODAY()-Inventory_Table[[#This Row],[Last_Order_Date]]</f>
        <v>809</v>
      </c>
    </row>
    <row r="595" spans="1:22" x14ac:dyDescent="0.35">
      <c r="A595" t="s">
        <v>106</v>
      </c>
      <c r="B595" t="s">
        <v>18</v>
      </c>
      <c r="C595" t="s">
        <v>857</v>
      </c>
      <c r="D595" t="s">
        <v>2525</v>
      </c>
      <c r="E595" t="s">
        <v>30</v>
      </c>
      <c r="F595" t="s">
        <v>2526</v>
      </c>
      <c r="G595" t="s">
        <v>2527</v>
      </c>
      <c r="H595" s="1">
        <v>46386</v>
      </c>
      <c r="I595" s="6">
        <v>45376</v>
      </c>
      <c r="J595" s="6">
        <v>46428</v>
      </c>
      <c r="K595">
        <v>81</v>
      </c>
      <c r="L595">
        <v>35</v>
      </c>
      <c r="M595">
        <v>82</v>
      </c>
      <c r="N595" s="8">
        <v>3</v>
      </c>
      <c r="O595">
        <v>86</v>
      </c>
      <c r="P595">
        <v>71</v>
      </c>
      <c r="Q595" s="3">
        <v>0.36</v>
      </c>
      <c r="R595">
        <f>Inventory_Table[[#This Row],[Stock_Quantity]]*Inventory_Table[[#This Row],[Unit_Price]]</f>
        <v>243</v>
      </c>
      <c r="S595">
        <f>Inventory_Table[[#This Row],[Sales_Volume]]*Inventory_Table[[#This Row],[Unit_Price]]</f>
        <v>258</v>
      </c>
      <c r="T595" t="str">
        <f>IF(Inventory_Table[[#This Row],[Stock_Quantity]]&lt;=Inventory_Table[[#This Row],[Reorder_Level]],"REORDER","OK")</f>
        <v>OK</v>
      </c>
      <c r="U595" t="s">
        <v>3836</v>
      </c>
      <c r="V595" s="14">
        <f ca="1">TODAY()-Inventory_Table[[#This Row],[Last_Order_Date]]</f>
        <v>800</v>
      </c>
    </row>
    <row r="596" spans="1:22" x14ac:dyDescent="0.35">
      <c r="A596" t="s">
        <v>388</v>
      </c>
      <c r="B596" t="s">
        <v>75</v>
      </c>
      <c r="C596" t="s">
        <v>1628</v>
      </c>
      <c r="D596" t="s">
        <v>2528</v>
      </c>
      <c r="E596" t="s">
        <v>21</v>
      </c>
      <c r="F596" t="s">
        <v>2529</v>
      </c>
      <c r="G596" t="s">
        <v>2530</v>
      </c>
      <c r="H596" s="1">
        <v>46387</v>
      </c>
      <c r="I596" s="6">
        <v>45359</v>
      </c>
      <c r="J596" s="6">
        <v>46258</v>
      </c>
      <c r="K596">
        <v>89</v>
      </c>
      <c r="L596">
        <v>34</v>
      </c>
      <c r="M596">
        <v>15</v>
      </c>
      <c r="N596" s="8">
        <v>6</v>
      </c>
      <c r="O596">
        <v>60</v>
      </c>
      <c r="P596">
        <v>2</v>
      </c>
      <c r="Q596" s="3">
        <v>0.17</v>
      </c>
      <c r="R596">
        <f>Inventory_Table[[#This Row],[Stock_Quantity]]*Inventory_Table[[#This Row],[Unit_Price]]</f>
        <v>534</v>
      </c>
      <c r="S596">
        <f>Inventory_Table[[#This Row],[Sales_Volume]]*Inventory_Table[[#This Row],[Unit_Price]]</f>
        <v>360</v>
      </c>
      <c r="T596" t="str">
        <f>IF(Inventory_Table[[#This Row],[Stock_Quantity]]&lt;=Inventory_Table[[#This Row],[Reorder_Level]],"REORDER","OK")</f>
        <v>OK</v>
      </c>
      <c r="U596" t="s">
        <v>3836</v>
      </c>
      <c r="V596" s="14">
        <f ca="1">TODAY()-Inventory_Table[[#This Row],[Last_Order_Date]]</f>
        <v>817</v>
      </c>
    </row>
    <row r="597" spans="1:22" x14ac:dyDescent="0.35">
      <c r="A597" t="s">
        <v>129</v>
      </c>
      <c r="B597" t="s">
        <v>18</v>
      </c>
      <c r="C597" t="s">
        <v>2531</v>
      </c>
      <c r="D597" t="s">
        <v>2532</v>
      </c>
      <c r="E597" t="s">
        <v>68</v>
      </c>
      <c r="F597" t="s">
        <v>2533</v>
      </c>
      <c r="G597" t="s">
        <v>2534</v>
      </c>
      <c r="H597" s="1">
        <v>46387</v>
      </c>
      <c r="I597" s="6">
        <v>45399</v>
      </c>
      <c r="J597" s="6">
        <v>46393</v>
      </c>
      <c r="K597">
        <v>58</v>
      </c>
      <c r="L597">
        <v>55</v>
      </c>
      <c r="M597">
        <v>5</v>
      </c>
      <c r="N597" s="8">
        <v>4.45</v>
      </c>
      <c r="O597">
        <v>62</v>
      </c>
      <c r="P597">
        <v>89</v>
      </c>
      <c r="Q597" s="3">
        <v>0.97</v>
      </c>
      <c r="R597">
        <f>Inventory_Table[[#This Row],[Stock_Quantity]]*Inventory_Table[[#This Row],[Unit_Price]]</f>
        <v>258.10000000000002</v>
      </c>
      <c r="S597">
        <f>Inventory_Table[[#This Row],[Sales_Volume]]*Inventory_Table[[#This Row],[Unit_Price]]</f>
        <v>275.90000000000003</v>
      </c>
      <c r="T597" t="str">
        <f>IF(Inventory_Table[[#This Row],[Stock_Quantity]]&lt;=Inventory_Table[[#This Row],[Reorder_Level]],"REORDER","OK")</f>
        <v>OK</v>
      </c>
      <c r="U597" t="s">
        <v>3836</v>
      </c>
      <c r="V597" s="14">
        <f ca="1">TODAY()-Inventory_Table[[#This Row],[Last_Order_Date]]</f>
        <v>777</v>
      </c>
    </row>
    <row r="598" spans="1:22" x14ac:dyDescent="0.35">
      <c r="A598" t="s">
        <v>718</v>
      </c>
      <c r="B598" t="s">
        <v>65</v>
      </c>
      <c r="C598" t="s">
        <v>2535</v>
      </c>
      <c r="D598" t="s">
        <v>2536</v>
      </c>
      <c r="E598" t="s">
        <v>68</v>
      </c>
      <c r="F598" t="s">
        <v>2537</v>
      </c>
      <c r="G598" t="s">
        <v>2538</v>
      </c>
      <c r="H598" s="1">
        <v>46387</v>
      </c>
      <c r="I598" s="6">
        <v>45405</v>
      </c>
      <c r="J598" s="6">
        <v>46124</v>
      </c>
      <c r="K598">
        <v>39</v>
      </c>
      <c r="L598">
        <v>83</v>
      </c>
      <c r="M598">
        <v>21</v>
      </c>
      <c r="N598" s="8">
        <v>2</v>
      </c>
      <c r="O598">
        <v>73</v>
      </c>
      <c r="P598">
        <v>88</v>
      </c>
      <c r="Q598" s="3">
        <v>-0.44</v>
      </c>
      <c r="R598">
        <f>Inventory_Table[[#This Row],[Stock_Quantity]]*Inventory_Table[[#This Row],[Unit_Price]]</f>
        <v>78</v>
      </c>
      <c r="S598">
        <f>Inventory_Table[[#This Row],[Sales_Volume]]*Inventory_Table[[#This Row],[Unit_Price]]</f>
        <v>146</v>
      </c>
      <c r="T598" t="str">
        <f>IF(Inventory_Table[[#This Row],[Stock_Quantity]]&lt;=Inventory_Table[[#This Row],[Reorder_Level]],"REORDER","OK")</f>
        <v>REORDER</v>
      </c>
      <c r="U598" t="s">
        <v>3838</v>
      </c>
      <c r="V598" s="14">
        <f ca="1">TODAY()-Inventory_Table[[#This Row],[Last_Order_Date]]</f>
        <v>771</v>
      </c>
    </row>
    <row r="599" spans="1:22" x14ac:dyDescent="0.35">
      <c r="A599" t="s">
        <v>122</v>
      </c>
      <c r="B599" t="s">
        <v>18</v>
      </c>
      <c r="C599" t="s">
        <v>404</v>
      </c>
      <c r="D599" t="s">
        <v>2539</v>
      </c>
      <c r="E599" t="s">
        <v>68</v>
      </c>
      <c r="F599" t="s">
        <v>2540</v>
      </c>
      <c r="G599" t="s">
        <v>2541</v>
      </c>
      <c r="H599" s="1">
        <v>46387</v>
      </c>
      <c r="I599" s="6">
        <v>45519</v>
      </c>
      <c r="J599" s="6">
        <v>46294</v>
      </c>
      <c r="K599">
        <v>95</v>
      </c>
      <c r="L599">
        <v>6</v>
      </c>
      <c r="M599">
        <v>59</v>
      </c>
      <c r="N599" s="8">
        <v>2.5</v>
      </c>
      <c r="O599">
        <v>49</v>
      </c>
      <c r="P599">
        <v>77</v>
      </c>
      <c r="Q599" s="3">
        <v>-0.21</v>
      </c>
      <c r="R599">
        <f>Inventory_Table[[#This Row],[Stock_Quantity]]*Inventory_Table[[#This Row],[Unit_Price]]</f>
        <v>237.5</v>
      </c>
      <c r="S599">
        <f>Inventory_Table[[#This Row],[Sales_Volume]]*Inventory_Table[[#This Row],[Unit_Price]]</f>
        <v>122.5</v>
      </c>
      <c r="T599" t="str">
        <f>IF(Inventory_Table[[#This Row],[Stock_Quantity]]&lt;=Inventory_Table[[#This Row],[Reorder_Level]],"REORDER","OK")</f>
        <v>OK</v>
      </c>
      <c r="U599" t="s">
        <v>3836</v>
      </c>
      <c r="V599" s="14">
        <f ca="1">TODAY()-Inventory_Table[[#This Row],[Last_Order_Date]]</f>
        <v>657</v>
      </c>
    </row>
    <row r="600" spans="1:22" x14ac:dyDescent="0.35">
      <c r="A600" t="s">
        <v>861</v>
      </c>
      <c r="B600" t="s">
        <v>36</v>
      </c>
      <c r="C600" t="s">
        <v>259</v>
      </c>
      <c r="D600" t="s">
        <v>2542</v>
      </c>
      <c r="E600" t="s">
        <v>68</v>
      </c>
      <c r="F600" t="s">
        <v>2543</v>
      </c>
      <c r="G600" t="s">
        <v>2544</v>
      </c>
      <c r="H600" s="1">
        <v>46431</v>
      </c>
      <c r="I600" s="6">
        <v>45515</v>
      </c>
      <c r="J600" s="6">
        <v>46118</v>
      </c>
      <c r="K600">
        <v>67</v>
      </c>
      <c r="L600">
        <v>79</v>
      </c>
      <c r="M600">
        <v>98</v>
      </c>
      <c r="N600" s="8">
        <v>7</v>
      </c>
      <c r="O600">
        <v>73</v>
      </c>
      <c r="P600">
        <v>36</v>
      </c>
      <c r="Q600" s="3">
        <v>-0.56999999999999995</v>
      </c>
      <c r="R600">
        <f>Inventory_Table[[#This Row],[Stock_Quantity]]*Inventory_Table[[#This Row],[Unit_Price]]</f>
        <v>469</v>
      </c>
      <c r="S600">
        <f>Inventory_Table[[#This Row],[Sales_Volume]]*Inventory_Table[[#This Row],[Unit_Price]]</f>
        <v>511</v>
      </c>
      <c r="T600" t="str">
        <f>IF(Inventory_Table[[#This Row],[Stock_Quantity]]&lt;=Inventory_Table[[#This Row],[Reorder_Level]],"REORDER","OK")</f>
        <v>REORDER</v>
      </c>
      <c r="U600" t="s">
        <v>3838</v>
      </c>
      <c r="V600" s="14">
        <f ca="1">TODAY()-Inventory_Table[[#This Row],[Last_Order_Date]]</f>
        <v>661</v>
      </c>
    </row>
    <row r="601" spans="1:22" x14ac:dyDescent="0.35">
      <c r="A601" t="s">
        <v>376</v>
      </c>
      <c r="B601" t="s">
        <v>18</v>
      </c>
      <c r="C601" t="s">
        <v>2545</v>
      </c>
      <c r="D601" t="s">
        <v>2546</v>
      </c>
      <c r="E601" t="s">
        <v>30</v>
      </c>
      <c r="F601" t="s">
        <v>2547</v>
      </c>
      <c r="G601" t="s">
        <v>2548</v>
      </c>
      <c r="H601" s="1">
        <v>46431</v>
      </c>
      <c r="I601" s="6">
        <v>45507</v>
      </c>
      <c r="J601" s="6">
        <v>46300</v>
      </c>
      <c r="K601">
        <v>50</v>
      </c>
      <c r="L601">
        <v>20</v>
      </c>
      <c r="M601">
        <v>74</v>
      </c>
      <c r="N601" s="8">
        <v>2</v>
      </c>
      <c r="O601">
        <v>30</v>
      </c>
      <c r="P601">
        <v>57</v>
      </c>
      <c r="Q601" s="3">
        <v>0.51</v>
      </c>
      <c r="R601">
        <f>Inventory_Table[[#This Row],[Stock_Quantity]]*Inventory_Table[[#This Row],[Unit_Price]]</f>
        <v>100</v>
      </c>
      <c r="S601">
        <f>Inventory_Table[[#This Row],[Sales_Volume]]*Inventory_Table[[#This Row],[Unit_Price]]</f>
        <v>60</v>
      </c>
      <c r="T601" t="str">
        <f>IF(Inventory_Table[[#This Row],[Stock_Quantity]]&lt;=Inventory_Table[[#This Row],[Reorder_Level]],"REORDER","OK")</f>
        <v>OK</v>
      </c>
      <c r="U601" t="s">
        <v>3836</v>
      </c>
      <c r="V601" s="14">
        <f ca="1">TODAY()-Inventory_Table[[#This Row],[Last_Order_Date]]</f>
        <v>669</v>
      </c>
    </row>
    <row r="602" spans="1:22" x14ac:dyDescent="0.35">
      <c r="A602" t="s">
        <v>413</v>
      </c>
      <c r="B602" t="s">
        <v>65</v>
      </c>
      <c r="C602" t="s">
        <v>1441</v>
      </c>
      <c r="D602" t="s">
        <v>2549</v>
      </c>
      <c r="E602" t="s">
        <v>30</v>
      </c>
      <c r="F602" t="s">
        <v>2550</v>
      </c>
      <c r="G602" t="s">
        <v>2551</v>
      </c>
      <c r="H602" s="1">
        <v>46431</v>
      </c>
      <c r="I602" s="6">
        <v>45573</v>
      </c>
      <c r="J602" s="6">
        <v>46225</v>
      </c>
      <c r="K602">
        <v>10</v>
      </c>
      <c r="L602">
        <v>11</v>
      </c>
      <c r="M602">
        <v>29</v>
      </c>
      <c r="N602" s="8">
        <v>4.3</v>
      </c>
      <c r="O602">
        <v>29</v>
      </c>
      <c r="P602">
        <v>72</v>
      </c>
      <c r="Q602" s="3">
        <v>-0.9</v>
      </c>
      <c r="R602">
        <f>Inventory_Table[[#This Row],[Stock_Quantity]]*Inventory_Table[[#This Row],[Unit_Price]]</f>
        <v>43</v>
      </c>
      <c r="S602">
        <f>Inventory_Table[[#This Row],[Sales_Volume]]*Inventory_Table[[#This Row],[Unit_Price]]</f>
        <v>124.69999999999999</v>
      </c>
      <c r="T602" t="str">
        <f>IF(Inventory_Table[[#This Row],[Stock_Quantity]]&lt;=Inventory_Table[[#This Row],[Reorder_Level]],"REORDER","OK")</f>
        <v>REORDER</v>
      </c>
      <c r="U602" t="s">
        <v>3836</v>
      </c>
      <c r="V602" s="14">
        <f ca="1">TODAY()-Inventory_Table[[#This Row],[Last_Order_Date]]</f>
        <v>603</v>
      </c>
    </row>
    <row r="603" spans="1:22" x14ac:dyDescent="0.35">
      <c r="A603" t="s">
        <v>154</v>
      </c>
      <c r="B603" t="s">
        <v>65</v>
      </c>
      <c r="C603" t="s">
        <v>409</v>
      </c>
      <c r="D603" t="s">
        <v>2552</v>
      </c>
      <c r="E603" t="s">
        <v>30</v>
      </c>
      <c r="F603" t="s">
        <v>2553</v>
      </c>
      <c r="G603" t="s">
        <v>2554</v>
      </c>
      <c r="H603" s="1">
        <v>46431</v>
      </c>
      <c r="I603" s="6">
        <v>45658</v>
      </c>
      <c r="J603" s="6">
        <v>46276</v>
      </c>
      <c r="K603">
        <v>59</v>
      </c>
      <c r="L603">
        <v>73</v>
      </c>
      <c r="M603">
        <v>86</v>
      </c>
      <c r="N603" s="8">
        <v>2.75</v>
      </c>
      <c r="O603">
        <v>32</v>
      </c>
      <c r="P603">
        <v>56</v>
      </c>
      <c r="Q603" s="3">
        <v>-1.48</v>
      </c>
      <c r="R603">
        <f>Inventory_Table[[#This Row],[Stock_Quantity]]*Inventory_Table[[#This Row],[Unit_Price]]</f>
        <v>162.25</v>
      </c>
      <c r="S603">
        <f>Inventory_Table[[#This Row],[Sales_Volume]]*Inventory_Table[[#This Row],[Unit_Price]]</f>
        <v>88</v>
      </c>
      <c r="T603" t="str">
        <f>IF(Inventory_Table[[#This Row],[Stock_Quantity]]&lt;=Inventory_Table[[#This Row],[Reorder_Level]],"REORDER","OK")</f>
        <v>REORDER</v>
      </c>
      <c r="U603" t="s">
        <v>3836</v>
      </c>
      <c r="V603" s="14">
        <f ca="1">TODAY()-Inventory_Table[[#This Row],[Last_Order_Date]]</f>
        <v>518</v>
      </c>
    </row>
    <row r="604" spans="1:22" x14ac:dyDescent="0.35">
      <c r="A604" t="s">
        <v>842</v>
      </c>
      <c r="B604" t="s">
        <v>75</v>
      </c>
      <c r="C604" t="s">
        <v>2555</v>
      </c>
      <c r="D604" t="s">
        <v>2556</v>
      </c>
      <c r="E604" t="s">
        <v>68</v>
      </c>
      <c r="F604" t="s">
        <v>2557</v>
      </c>
      <c r="G604" t="s">
        <v>2558</v>
      </c>
      <c r="H604" s="1">
        <v>46432</v>
      </c>
      <c r="I604" s="6">
        <v>45524</v>
      </c>
      <c r="J604" s="6">
        <v>46231</v>
      </c>
      <c r="K604">
        <v>17</v>
      </c>
      <c r="L604">
        <v>38</v>
      </c>
      <c r="M604">
        <v>93</v>
      </c>
      <c r="N604" s="8">
        <v>9</v>
      </c>
      <c r="O604">
        <v>100</v>
      </c>
      <c r="P604">
        <v>63</v>
      </c>
      <c r="Q604" s="3">
        <v>-0.75</v>
      </c>
      <c r="R604">
        <f>Inventory_Table[[#This Row],[Stock_Quantity]]*Inventory_Table[[#This Row],[Unit_Price]]</f>
        <v>153</v>
      </c>
      <c r="S604">
        <f>Inventory_Table[[#This Row],[Sales_Volume]]*Inventory_Table[[#This Row],[Unit_Price]]</f>
        <v>900</v>
      </c>
      <c r="T604" t="str">
        <f>IF(Inventory_Table[[#This Row],[Stock_Quantity]]&lt;=Inventory_Table[[#This Row],[Reorder_Level]],"REORDER","OK")</f>
        <v>REORDER</v>
      </c>
      <c r="U604" t="s">
        <v>3836</v>
      </c>
      <c r="V604" s="14">
        <f ca="1">TODAY()-Inventory_Table[[#This Row],[Last_Order_Date]]</f>
        <v>652</v>
      </c>
    </row>
    <row r="605" spans="1:22" x14ac:dyDescent="0.35">
      <c r="A605" t="s">
        <v>43</v>
      </c>
      <c r="B605" t="s">
        <v>18</v>
      </c>
      <c r="C605" t="s">
        <v>804</v>
      </c>
      <c r="D605" t="s">
        <v>2559</v>
      </c>
      <c r="E605" t="s">
        <v>68</v>
      </c>
      <c r="F605" t="s">
        <v>2560</v>
      </c>
      <c r="G605" t="s">
        <v>2561</v>
      </c>
      <c r="H605" s="1">
        <v>46432</v>
      </c>
      <c r="I605" s="6">
        <v>45355</v>
      </c>
      <c r="J605" s="6">
        <v>46374</v>
      </c>
      <c r="K605">
        <v>74</v>
      </c>
      <c r="L605">
        <v>37</v>
      </c>
      <c r="M605">
        <v>57</v>
      </c>
      <c r="N605" s="8">
        <v>1.5</v>
      </c>
      <c r="O605">
        <v>91</v>
      </c>
      <c r="P605">
        <v>18</v>
      </c>
      <c r="Q605" s="3">
        <v>0.37</v>
      </c>
      <c r="R605">
        <f>Inventory_Table[[#This Row],[Stock_Quantity]]*Inventory_Table[[#This Row],[Unit_Price]]</f>
        <v>111</v>
      </c>
      <c r="S605">
        <f>Inventory_Table[[#This Row],[Sales_Volume]]*Inventory_Table[[#This Row],[Unit_Price]]</f>
        <v>136.5</v>
      </c>
      <c r="T605" t="str">
        <f>IF(Inventory_Table[[#This Row],[Stock_Quantity]]&lt;=Inventory_Table[[#This Row],[Reorder_Level]],"REORDER","OK")</f>
        <v>OK</v>
      </c>
      <c r="U605" t="s">
        <v>3836</v>
      </c>
      <c r="V605" s="14">
        <f ca="1">TODAY()-Inventory_Table[[#This Row],[Last_Order_Date]]</f>
        <v>821</v>
      </c>
    </row>
    <row r="606" spans="1:22" x14ac:dyDescent="0.35">
      <c r="A606" t="s">
        <v>1900</v>
      </c>
      <c r="B606" t="s">
        <v>75</v>
      </c>
      <c r="C606" t="s">
        <v>2172</v>
      </c>
      <c r="D606" t="s">
        <v>2562</v>
      </c>
      <c r="E606" t="s">
        <v>30</v>
      </c>
      <c r="F606" t="s">
        <v>2563</v>
      </c>
      <c r="G606" t="s">
        <v>2564</v>
      </c>
      <c r="H606" s="1">
        <v>46432</v>
      </c>
      <c r="I606" s="6">
        <v>45515</v>
      </c>
      <c r="J606" s="6">
        <v>46380</v>
      </c>
      <c r="K606">
        <v>91</v>
      </c>
      <c r="L606">
        <v>96</v>
      </c>
      <c r="M606">
        <v>90</v>
      </c>
      <c r="N606" s="8">
        <v>7.5</v>
      </c>
      <c r="O606">
        <v>90</v>
      </c>
      <c r="P606">
        <v>75</v>
      </c>
      <c r="Q606" s="3">
        <v>0.8</v>
      </c>
      <c r="R606">
        <f>Inventory_Table[[#This Row],[Stock_Quantity]]*Inventory_Table[[#This Row],[Unit_Price]]</f>
        <v>682.5</v>
      </c>
      <c r="S606">
        <f>Inventory_Table[[#This Row],[Sales_Volume]]*Inventory_Table[[#This Row],[Unit_Price]]</f>
        <v>675</v>
      </c>
      <c r="T606" t="str">
        <f>IF(Inventory_Table[[#This Row],[Stock_Quantity]]&lt;=Inventory_Table[[#This Row],[Reorder_Level]],"REORDER","OK")</f>
        <v>REORDER</v>
      </c>
      <c r="U606" t="s">
        <v>3836</v>
      </c>
      <c r="V606" s="14">
        <f ca="1">TODAY()-Inventory_Table[[#This Row],[Last_Order_Date]]</f>
        <v>661</v>
      </c>
    </row>
    <row r="607" spans="1:22" x14ac:dyDescent="0.35">
      <c r="A607" t="s">
        <v>371</v>
      </c>
      <c r="B607" t="s">
        <v>75</v>
      </c>
      <c r="C607" t="s">
        <v>2565</v>
      </c>
      <c r="D607" t="s">
        <v>2566</v>
      </c>
      <c r="E607" t="s">
        <v>21</v>
      </c>
      <c r="F607" t="s">
        <v>2567</v>
      </c>
      <c r="G607" t="s">
        <v>2568</v>
      </c>
      <c r="H607" s="1">
        <v>46432</v>
      </c>
      <c r="I607" s="6">
        <v>45662</v>
      </c>
      <c r="J607" s="6">
        <v>46336</v>
      </c>
      <c r="K607">
        <v>89</v>
      </c>
      <c r="L607">
        <v>67</v>
      </c>
      <c r="M607">
        <v>89</v>
      </c>
      <c r="N607" s="8">
        <v>12</v>
      </c>
      <c r="O607">
        <v>96</v>
      </c>
      <c r="P607">
        <v>42</v>
      </c>
      <c r="Q607" s="3">
        <v>0.17</v>
      </c>
      <c r="R607">
        <f>Inventory_Table[[#This Row],[Stock_Quantity]]*Inventory_Table[[#This Row],[Unit_Price]]</f>
        <v>1068</v>
      </c>
      <c r="S607">
        <f>Inventory_Table[[#This Row],[Sales_Volume]]*Inventory_Table[[#This Row],[Unit_Price]]</f>
        <v>1152</v>
      </c>
      <c r="T607" t="str">
        <f>IF(Inventory_Table[[#This Row],[Stock_Quantity]]&lt;=Inventory_Table[[#This Row],[Reorder_Level]],"REORDER","OK")</f>
        <v>OK</v>
      </c>
      <c r="U607" t="s">
        <v>3836</v>
      </c>
      <c r="V607" s="14">
        <f ca="1">TODAY()-Inventory_Table[[#This Row],[Last_Order_Date]]</f>
        <v>514</v>
      </c>
    </row>
    <row r="608" spans="1:22" x14ac:dyDescent="0.35">
      <c r="A608" t="s">
        <v>690</v>
      </c>
      <c r="B608" t="s">
        <v>36</v>
      </c>
      <c r="C608" t="s">
        <v>1391</v>
      </c>
      <c r="D608" t="s">
        <v>2569</v>
      </c>
      <c r="E608" t="s">
        <v>68</v>
      </c>
      <c r="F608" t="s">
        <v>2570</v>
      </c>
      <c r="G608" t="s">
        <v>2571</v>
      </c>
      <c r="H608" s="1">
        <v>46433</v>
      </c>
      <c r="I608" s="6">
        <v>45428</v>
      </c>
      <c r="J608" s="6">
        <v>46318</v>
      </c>
      <c r="K608">
        <v>72</v>
      </c>
      <c r="L608">
        <v>58</v>
      </c>
      <c r="M608">
        <v>52</v>
      </c>
      <c r="N608" s="8">
        <v>2.4</v>
      </c>
      <c r="O608">
        <v>36</v>
      </c>
      <c r="P608">
        <v>14</v>
      </c>
      <c r="Q608" s="3">
        <v>0.56000000000000005</v>
      </c>
      <c r="R608">
        <f>Inventory_Table[[#This Row],[Stock_Quantity]]*Inventory_Table[[#This Row],[Unit_Price]]</f>
        <v>172.79999999999998</v>
      </c>
      <c r="S608">
        <f>Inventory_Table[[#This Row],[Sales_Volume]]*Inventory_Table[[#This Row],[Unit_Price]]</f>
        <v>86.399999999999991</v>
      </c>
      <c r="T608" t="str">
        <f>IF(Inventory_Table[[#This Row],[Stock_Quantity]]&lt;=Inventory_Table[[#This Row],[Reorder_Level]],"REORDER","OK")</f>
        <v>OK</v>
      </c>
      <c r="U608" t="s">
        <v>3836</v>
      </c>
      <c r="V608" s="14">
        <f ca="1">TODAY()-Inventory_Table[[#This Row],[Last_Order_Date]]</f>
        <v>748</v>
      </c>
    </row>
    <row r="609" spans="1:22" x14ac:dyDescent="0.35">
      <c r="A609" t="s">
        <v>222</v>
      </c>
      <c r="B609" t="s">
        <v>65</v>
      </c>
      <c r="C609" t="s">
        <v>2572</v>
      </c>
      <c r="D609" t="s">
        <v>2573</v>
      </c>
      <c r="E609" t="s">
        <v>30</v>
      </c>
      <c r="F609" t="s">
        <v>2574</v>
      </c>
      <c r="G609" t="s">
        <v>2575</v>
      </c>
      <c r="H609" s="1">
        <v>46434</v>
      </c>
      <c r="I609" s="6">
        <v>45530</v>
      </c>
      <c r="J609" s="6">
        <v>46325</v>
      </c>
      <c r="K609">
        <v>25</v>
      </c>
      <c r="L609">
        <v>60</v>
      </c>
      <c r="M609">
        <v>36</v>
      </c>
      <c r="N609" s="8">
        <v>1.5</v>
      </c>
      <c r="O609">
        <v>31</v>
      </c>
      <c r="P609">
        <v>41</v>
      </c>
      <c r="Q609" s="3">
        <v>0.61</v>
      </c>
      <c r="R609">
        <f>Inventory_Table[[#This Row],[Stock_Quantity]]*Inventory_Table[[#This Row],[Unit_Price]]</f>
        <v>37.5</v>
      </c>
      <c r="S609">
        <f>Inventory_Table[[#This Row],[Sales_Volume]]*Inventory_Table[[#This Row],[Unit_Price]]</f>
        <v>46.5</v>
      </c>
      <c r="T609" t="str">
        <f>IF(Inventory_Table[[#This Row],[Stock_Quantity]]&lt;=Inventory_Table[[#This Row],[Reorder_Level]],"REORDER","OK")</f>
        <v>REORDER</v>
      </c>
      <c r="U609" t="s">
        <v>3836</v>
      </c>
      <c r="V609" s="14">
        <f ca="1">TODAY()-Inventory_Table[[#This Row],[Last_Order_Date]]</f>
        <v>646</v>
      </c>
    </row>
    <row r="610" spans="1:22" x14ac:dyDescent="0.35">
      <c r="A610" t="s">
        <v>1191</v>
      </c>
      <c r="B610" t="s">
        <v>75</v>
      </c>
      <c r="C610" t="s">
        <v>1275</v>
      </c>
      <c r="D610" t="s">
        <v>2576</v>
      </c>
      <c r="E610" t="s">
        <v>30</v>
      </c>
      <c r="F610" t="s">
        <v>2577</v>
      </c>
      <c r="G610" t="s">
        <v>2578</v>
      </c>
      <c r="H610" s="1">
        <v>46435</v>
      </c>
      <c r="I610" s="6">
        <v>45489</v>
      </c>
      <c r="J610" s="6">
        <v>46085</v>
      </c>
      <c r="K610">
        <v>40</v>
      </c>
      <c r="L610">
        <v>81</v>
      </c>
      <c r="M610">
        <v>78</v>
      </c>
      <c r="N610" s="8">
        <v>20</v>
      </c>
      <c r="O610">
        <v>39</v>
      </c>
      <c r="P610">
        <v>65</v>
      </c>
      <c r="Q610" s="3">
        <v>-0.32</v>
      </c>
      <c r="R610">
        <f>Inventory_Table[[#This Row],[Stock_Quantity]]*Inventory_Table[[#This Row],[Unit_Price]]</f>
        <v>800</v>
      </c>
      <c r="S610">
        <f>Inventory_Table[[#This Row],[Sales_Volume]]*Inventory_Table[[#This Row],[Unit_Price]]</f>
        <v>780</v>
      </c>
      <c r="T610" t="str">
        <f>IF(Inventory_Table[[#This Row],[Stock_Quantity]]&lt;=Inventory_Table[[#This Row],[Reorder_Level]],"REORDER","OK")</f>
        <v>REORDER</v>
      </c>
      <c r="U610" t="s">
        <v>3838</v>
      </c>
      <c r="V610" s="14">
        <f ca="1">TODAY()-Inventory_Table[[#This Row],[Last_Order_Date]]</f>
        <v>687</v>
      </c>
    </row>
    <row r="611" spans="1:22" x14ac:dyDescent="0.35">
      <c r="A611" t="s">
        <v>247</v>
      </c>
      <c r="B611" t="s">
        <v>18</v>
      </c>
      <c r="C611" t="s">
        <v>1979</v>
      </c>
      <c r="D611" t="s">
        <v>2579</v>
      </c>
      <c r="E611" t="s">
        <v>68</v>
      </c>
      <c r="F611" t="s">
        <v>2580</v>
      </c>
      <c r="G611" t="s">
        <v>2581</v>
      </c>
      <c r="H611" s="1">
        <v>46435</v>
      </c>
      <c r="I611" s="6">
        <v>45656</v>
      </c>
      <c r="J611" s="6">
        <v>46096</v>
      </c>
      <c r="K611">
        <v>75</v>
      </c>
      <c r="L611">
        <v>18</v>
      </c>
      <c r="M611">
        <v>65</v>
      </c>
      <c r="N611" s="8">
        <v>2</v>
      </c>
      <c r="O611">
        <v>32</v>
      </c>
      <c r="P611">
        <v>92</v>
      </c>
      <c r="Q611" s="3">
        <v>-0.67</v>
      </c>
      <c r="R611">
        <f>Inventory_Table[[#This Row],[Stock_Quantity]]*Inventory_Table[[#This Row],[Unit_Price]]</f>
        <v>150</v>
      </c>
      <c r="S611">
        <f>Inventory_Table[[#This Row],[Sales_Volume]]*Inventory_Table[[#This Row],[Unit_Price]]</f>
        <v>64</v>
      </c>
      <c r="T611" t="str">
        <f>IF(Inventory_Table[[#This Row],[Stock_Quantity]]&lt;=Inventory_Table[[#This Row],[Reorder_Level]],"REORDER","OK")</f>
        <v>OK</v>
      </c>
      <c r="U611" t="s">
        <v>3838</v>
      </c>
      <c r="V611" s="14">
        <f ca="1">TODAY()-Inventory_Table[[#This Row],[Last_Order_Date]]</f>
        <v>520</v>
      </c>
    </row>
    <row r="612" spans="1:22" x14ac:dyDescent="0.35">
      <c r="A612" t="s">
        <v>1030</v>
      </c>
      <c r="B612" t="s">
        <v>114</v>
      </c>
      <c r="C612" t="s">
        <v>284</v>
      </c>
      <c r="D612" t="s">
        <v>2582</v>
      </c>
      <c r="E612" t="s">
        <v>21</v>
      </c>
      <c r="F612" t="s">
        <v>2583</v>
      </c>
      <c r="G612" t="s">
        <v>2584</v>
      </c>
      <c r="H612" s="1">
        <v>46436</v>
      </c>
      <c r="I612" s="6">
        <v>45561</v>
      </c>
      <c r="J612" s="6">
        <v>46193</v>
      </c>
      <c r="K612">
        <v>85</v>
      </c>
      <c r="L612">
        <v>57</v>
      </c>
      <c r="M612">
        <v>25</v>
      </c>
      <c r="N612" s="8">
        <v>3.5</v>
      </c>
      <c r="O612">
        <v>30</v>
      </c>
      <c r="P612">
        <v>42</v>
      </c>
      <c r="Q612" s="3">
        <v>-1.88</v>
      </c>
      <c r="R612">
        <f>Inventory_Table[[#This Row],[Stock_Quantity]]*Inventory_Table[[#This Row],[Unit_Price]]</f>
        <v>297.5</v>
      </c>
      <c r="S612">
        <f>Inventory_Table[[#This Row],[Sales_Volume]]*Inventory_Table[[#This Row],[Unit_Price]]</f>
        <v>105</v>
      </c>
      <c r="T612" t="str">
        <f>IF(Inventory_Table[[#This Row],[Stock_Quantity]]&lt;=Inventory_Table[[#This Row],[Reorder_Level]],"REORDER","OK")</f>
        <v>OK</v>
      </c>
      <c r="U612" t="s">
        <v>3837</v>
      </c>
      <c r="V612" s="14">
        <f ca="1">TODAY()-Inventory_Table[[#This Row],[Last_Order_Date]]</f>
        <v>615</v>
      </c>
    </row>
    <row r="613" spans="1:22" x14ac:dyDescent="0.35">
      <c r="A613" t="s">
        <v>26</v>
      </c>
      <c r="B613" t="s">
        <v>27</v>
      </c>
      <c r="C613" t="s">
        <v>1238</v>
      </c>
      <c r="D613" t="s">
        <v>2585</v>
      </c>
      <c r="E613" t="s">
        <v>30</v>
      </c>
      <c r="F613" t="s">
        <v>2586</v>
      </c>
      <c r="G613" t="s">
        <v>2587</v>
      </c>
      <c r="H613" s="1">
        <v>46436</v>
      </c>
      <c r="I613" s="6">
        <v>45503</v>
      </c>
      <c r="J613" s="6">
        <v>46097</v>
      </c>
      <c r="K613">
        <v>41</v>
      </c>
      <c r="L613">
        <v>66</v>
      </c>
      <c r="M613">
        <v>50</v>
      </c>
      <c r="N613" s="8">
        <v>2</v>
      </c>
      <c r="O613">
        <v>55</v>
      </c>
      <c r="P613">
        <v>74</v>
      </c>
      <c r="Q613" s="3">
        <v>-0.4</v>
      </c>
      <c r="R613">
        <f>Inventory_Table[[#This Row],[Stock_Quantity]]*Inventory_Table[[#This Row],[Unit_Price]]</f>
        <v>82</v>
      </c>
      <c r="S613">
        <f>Inventory_Table[[#This Row],[Sales_Volume]]*Inventory_Table[[#This Row],[Unit_Price]]</f>
        <v>110</v>
      </c>
      <c r="T613" t="str">
        <f>IF(Inventory_Table[[#This Row],[Stock_Quantity]]&lt;=Inventory_Table[[#This Row],[Reorder_Level]],"REORDER","OK")</f>
        <v>REORDER</v>
      </c>
      <c r="U613" t="s">
        <v>3838</v>
      </c>
      <c r="V613" s="14">
        <f ca="1">TODAY()-Inventory_Table[[#This Row],[Last_Order_Date]]</f>
        <v>673</v>
      </c>
    </row>
    <row r="614" spans="1:22" x14ac:dyDescent="0.35">
      <c r="A614" t="s">
        <v>480</v>
      </c>
      <c r="B614" t="s">
        <v>36</v>
      </c>
      <c r="C614" t="s">
        <v>207</v>
      </c>
      <c r="D614" t="s">
        <v>2588</v>
      </c>
      <c r="E614" t="s">
        <v>21</v>
      </c>
      <c r="F614" t="s">
        <v>2589</v>
      </c>
      <c r="G614" t="s">
        <v>2590</v>
      </c>
      <c r="H614" s="1">
        <v>46437</v>
      </c>
      <c r="I614" s="6">
        <v>45486</v>
      </c>
      <c r="J614" s="6">
        <v>46107</v>
      </c>
      <c r="K614">
        <v>92</v>
      </c>
      <c r="L614">
        <v>99</v>
      </c>
      <c r="M614">
        <v>93</v>
      </c>
      <c r="N614" s="8">
        <v>4</v>
      </c>
      <c r="O614">
        <v>43</v>
      </c>
      <c r="P614">
        <v>90</v>
      </c>
      <c r="Q614" s="3">
        <v>-0.35</v>
      </c>
      <c r="R614">
        <f>Inventory_Table[[#This Row],[Stock_Quantity]]*Inventory_Table[[#This Row],[Unit_Price]]</f>
        <v>368</v>
      </c>
      <c r="S614">
        <f>Inventory_Table[[#This Row],[Sales_Volume]]*Inventory_Table[[#This Row],[Unit_Price]]</f>
        <v>172</v>
      </c>
      <c r="T614" t="str">
        <f>IF(Inventory_Table[[#This Row],[Stock_Quantity]]&lt;=Inventory_Table[[#This Row],[Reorder_Level]],"REORDER","OK")</f>
        <v>REORDER</v>
      </c>
      <c r="U614" t="s">
        <v>3838</v>
      </c>
      <c r="V614" s="14">
        <f ca="1">TODAY()-Inventory_Table[[#This Row],[Last_Order_Date]]</f>
        <v>690</v>
      </c>
    </row>
    <row r="615" spans="1:22" x14ac:dyDescent="0.35">
      <c r="A615" t="s">
        <v>64</v>
      </c>
      <c r="B615" t="s">
        <v>65</v>
      </c>
      <c r="C615" t="s">
        <v>2098</v>
      </c>
      <c r="D615" t="s">
        <v>2591</v>
      </c>
      <c r="E615" t="s">
        <v>21</v>
      </c>
      <c r="F615" t="s">
        <v>2592</v>
      </c>
      <c r="G615" t="s">
        <v>2593</v>
      </c>
      <c r="H615" s="1">
        <v>46437</v>
      </c>
      <c r="I615" s="6">
        <v>45561</v>
      </c>
      <c r="J615" s="6">
        <v>46411</v>
      </c>
      <c r="K615">
        <v>51</v>
      </c>
      <c r="L615">
        <v>55</v>
      </c>
      <c r="M615">
        <v>76</v>
      </c>
      <c r="N615" s="8">
        <v>5</v>
      </c>
      <c r="O615">
        <v>21</v>
      </c>
      <c r="P615">
        <v>13</v>
      </c>
      <c r="Q615" s="3">
        <v>-1.0900000000000001</v>
      </c>
      <c r="R615">
        <f>Inventory_Table[[#This Row],[Stock_Quantity]]*Inventory_Table[[#This Row],[Unit_Price]]</f>
        <v>255</v>
      </c>
      <c r="S615">
        <f>Inventory_Table[[#This Row],[Sales_Volume]]*Inventory_Table[[#This Row],[Unit_Price]]</f>
        <v>105</v>
      </c>
      <c r="T615" t="str">
        <f>IF(Inventory_Table[[#This Row],[Stock_Quantity]]&lt;=Inventory_Table[[#This Row],[Reorder_Level]],"REORDER","OK")</f>
        <v>REORDER</v>
      </c>
      <c r="U615" t="s">
        <v>3836</v>
      </c>
      <c r="V615" s="14">
        <f ca="1">TODAY()-Inventory_Table[[#This Row],[Last_Order_Date]]</f>
        <v>615</v>
      </c>
    </row>
    <row r="616" spans="1:22" x14ac:dyDescent="0.35">
      <c r="A616" t="s">
        <v>671</v>
      </c>
      <c r="B616" t="s">
        <v>65</v>
      </c>
      <c r="C616" t="s">
        <v>178</v>
      </c>
      <c r="D616" t="s">
        <v>2594</v>
      </c>
      <c r="E616" t="s">
        <v>68</v>
      </c>
      <c r="F616" t="s">
        <v>2595</v>
      </c>
      <c r="G616" t="s">
        <v>2596</v>
      </c>
      <c r="H616" s="1">
        <v>46437</v>
      </c>
      <c r="I616" s="6">
        <v>45699</v>
      </c>
      <c r="J616" s="6">
        <v>46315</v>
      </c>
      <c r="K616">
        <v>98</v>
      </c>
      <c r="L616">
        <v>40</v>
      </c>
      <c r="M616">
        <v>93</v>
      </c>
      <c r="N616" s="8">
        <v>1.5</v>
      </c>
      <c r="O616">
        <v>30</v>
      </c>
      <c r="P616">
        <v>53</v>
      </c>
      <c r="Q616" s="3">
        <v>0.38</v>
      </c>
      <c r="R616">
        <f>Inventory_Table[[#This Row],[Stock_Quantity]]*Inventory_Table[[#This Row],[Unit_Price]]</f>
        <v>147</v>
      </c>
      <c r="S616">
        <f>Inventory_Table[[#This Row],[Sales_Volume]]*Inventory_Table[[#This Row],[Unit_Price]]</f>
        <v>45</v>
      </c>
      <c r="T616" t="str">
        <f>IF(Inventory_Table[[#This Row],[Stock_Quantity]]&lt;=Inventory_Table[[#This Row],[Reorder_Level]],"REORDER","OK")</f>
        <v>OK</v>
      </c>
      <c r="U616" t="s">
        <v>3836</v>
      </c>
      <c r="V616" s="14">
        <f ca="1">TODAY()-Inventory_Table[[#This Row],[Last_Order_Date]]</f>
        <v>477</v>
      </c>
    </row>
    <row r="617" spans="1:22" x14ac:dyDescent="0.35">
      <c r="A617" t="s">
        <v>74</v>
      </c>
      <c r="B617" t="s">
        <v>75</v>
      </c>
      <c r="C617" t="s">
        <v>1129</v>
      </c>
      <c r="D617" t="s">
        <v>2597</v>
      </c>
      <c r="E617" t="s">
        <v>21</v>
      </c>
      <c r="F617" t="s">
        <v>2598</v>
      </c>
      <c r="G617" t="s">
        <v>2599</v>
      </c>
      <c r="H617" s="1">
        <v>46437</v>
      </c>
      <c r="I617" s="6">
        <v>45591</v>
      </c>
      <c r="J617" s="6">
        <v>46363</v>
      </c>
      <c r="K617">
        <v>100</v>
      </c>
      <c r="L617">
        <v>99</v>
      </c>
      <c r="M617">
        <v>8</v>
      </c>
      <c r="N617" s="8">
        <v>10</v>
      </c>
      <c r="O617">
        <v>54</v>
      </c>
      <c r="P617">
        <v>92</v>
      </c>
      <c r="Q617" s="3">
        <v>-0.77</v>
      </c>
      <c r="R617">
        <f>Inventory_Table[[#This Row],[Stock_Quantity]]*Inventory_Table[[#This Row],[Unit_Price]]</f>
        <v>1000</v>
      </c>
      <c r="S617">
        <f>Inventory_Table[[#This Row],[Sales_Volume]]*Inventory_Table[[#This Row],[Unit_Price]]</f>
        <v>540</v>
      </c>
      <c r="T617" t="str">
        <f>IF(Inventory_Table[[#This Row],[Stock_Quantity]]&lt;=Inventory_Table[[#This Row],[Reorder_Level]],"REORDER","OK")</f>
        <v>OK</v>
      </c>
      <c r="U617" t="s">
        <v>3836</v>
      </c>
      <c r="V617" s="14">
        <f ca="1">TODAY()-Inventory_Table[[#This Row],[Last_Order_Date]]</f>
        <v>585</v>
      </c>
    </row>
    <row r="618" spans="1:22" x14ac:dyDescent="0.35">
      <c r="A618" t="s">
        <v>1341</v>
      </c>
      <c r="B618" t="s">
        <v>18</v>
      </c>
      <c r="C618" t="s">
        <v>1360</v>
      </c>
      <c r="D618" t="s">
        <v>2600</v>
      </c>
      <c r="E618" t="s">
        <v>30</v>
      </c>
      <c r="F618" t="s">
        <v>2601</v>
      </c>
      <c r="G618" t="s">
        <v>2602</v>
      </c>
      <c r="H618" s="1">
        <v>46437</v>
      </c>
      <c r="I618" s="6">
        <v>45468</v>
      </c>
      <c r="J618" s="6">
        <v>46404</v>
      </c>
      <c r="K618">
        <v>43</v>
      </c>
      <c r="L618">
        <v>21</v>
      </c>
      <c r="M618">
        <v>31</v>
      </c>
      <c r="N618" s="8">
        <v>2.5</v>
      </c>
      <c r="O618">
        <v>22</v>
      </c>
      <c r="P618">
        <v>25</v>
      </c>
      <c r="Q618" s="3">
        <v>-0.7</v>
      </c>
      <c r="R618">
        <f>Inventory_Table[[#This Row],[Stock_Quantity]]*Inventory_Table[[#This Row],[Unit_Price]]</f>
        <v>107.5</v>
      </c>
      <c r="S618">
        <f>Inventory_Table[[#This Row],[Sales_Volume]]*Inventory_Table[[#This Row],[Unit_Price]]</f>
        <v>55</v>
      </c>
      <c r="T618" t="str">
        <f>IF(Inventory_Table[[#This Row],[Stock_Quantity]]&lt;=Inventory_Table[[#This Row],[Reorder_Level]],"REORDER","OK")</f>
        <v>OK</v>
      </c>
      <c r="U618" t="s">
        <v>3836</v>
      </c>
      <c r="V618" s="14">
        <f ca="1">TODAY()-Inventory_Table[[#This Row],[Last_Order_Date]]</f>
        <v>708</v>
      </c>
    </row>
    <row r="619" spans="1:22" x14ac:dyDescent="0.35">
      <c r="A619" t="s">
        <v>1201</v>
      </c>
      <c r="B619" t="s">
        <v>18</v>
      </c>
      <c r="C619" t="s">
        <v>2304</v>
      </c>
      <c r="D619" t="s">
        <v>2603</v>
      </c>
      <c r="E619" t="s">
        <v>68</v>
      </c>
      <c r="F619" t="s">
        <v>2604</v>
      </c>
      <c r="G619" t="s">
        <v>2605</v>
      </c>
      <c r="H619" s="1">
        <v>46438</v>
      </c>
      <c r="I619" s="6">
        <v>45634</v>
      </c>
      <c r="J619" s="6">
        <v>46369</v>
      </c>
      <c r="K619">
        <v>31</v>
      </c>
      <c r="L619">
        <v>54</v>
      </c>
      <c r="M619">
        <v>52</v>
      </c>
      <c r="N619" s="8">
        <v>4</v>
      </c>
      <c r="O619">
        <v>69</v>
      </c>
      <c r="P619">
        <v>77</v>
      </c>
      <c r="Q619" s="3">
        <v>-0.14000000000000001</v>
      </c>
      <c r="R619">
        <f>Inventory_Table[[#This Row],[Stock_Quantity]]*Inventory_Table[[#This Row],[Unit_Price]]</f>
        <v>124</v>
      </c>
      <c r="S619">
        <f>Inventory_Table[[#This Row],[Sales_Volume]]*Inventory_Table[[#This Row],[Unit_Price]]</f>
        <v>276</v>
      </c>
      <c r="T619" t="str">
        <f>IF(Inventory_Table[[#This Row],[Stock_Quantity]]&lt;=Inventory_Table[[#This Row],[Reorder_Level]],"REORDER","OK")</f>
        <v>REORDER</v>
      </c>
      <c r="U619" t="s">
        <v>3836</v>
      </c>
      <c r="V619" s="14">
        <f ca="1">TODAY()-Inventory_Table[[#This Row],[Last_Order_Date]]</f>
        <v>542</v>
      </c>
    </row>
    <row r="620" spans="1:22" x14ac:dyDescent="0.35">
      <c r="A620" t="s">
        <v>228</v>
      </c>
      <c r="B620" t="s">
        <v>18</v>
      </c>
      <c r="C620" t="s">
        <v>102</v>
      </c>
      <c r="D620" t="s">
        <v>2606</v>
      </c>
      <c r="E620" t="s">
        <v>30</v>
      </c>
      <c r="F620" t="s">
        <v>2607</v>
      </c>
      <c r="G620" t="s">
        <v>2608</v>
      </c>
      <c r="H620" s="1">
        <v>46438</v>
      </c>
      <c r="I620" s="6">
        <v>45632</v>
      </c>
      <c r="J620" s="6">
        <v>46249</v>
      </c>
      <c r="K620">
        <v>12</v>
      </c>
      <c r="L620">
        <v>93</v>
      </c>
      <c r="M620">
        <v>29</v>
      </c>
      <c r="N620" s="8">
        <v>1.75</v>
      </c>
      <c r="O620">
        <v>45</v>
      </c>
      <c r="P620">
        <v>12</v>
      </c>
      <c r="Q620" s="3">
        <v>-0.12</v>
      </c>
      <c r="R620">
        <f>Inventory_Table[[#This Row],[Stock_Quantity]]*Inventory_Table[[#This Row],[Unit_Price]]</f>
        <v>21</v>
      </c>
      <c r="S620">
        <f>Inventory_Table[[#This Row],[Sales_Volume]]*Inventory_Table[[#This Row],[Unit_Price]]</f>
        <v>78.75</v>
      </c>
      <c r="T620" t="str">
        <f>IF(Inventory_Table[[#This Row],[Stock_Quantity]]&lt;=Inventory_Table[[#This Row],[Reorder_Level]],"REORDER","OK")</f>
        <v>REORDER</v>
      </c>
      <c r="U620" t="s">
        <v>3836</v>
      </c>
      <c r="V620" s="14">
        <f ca="1">TODAY()-Inventory_Table[[#This Row],[Last_Order_Date]]</f>
        <v>544</v>
      </c>
    </row>
    <row r="621" spans="1:22" x14ac:dyDescent="0.35">
      <c r="A621" t="s">
        <v>596</v>
      </c>
      <c r="B621" t="s">
        <v>18</v>
      </c>
      <c r="C621" t="s">
        <v>544</v>
      </c>
      <c r="D621" t="s">
        <v>2609</v>
      </c>
      <c r="E621" t="s">
        <v>30</v>
      </c>
      <c r="F621" t="s">
        <v>2610</v>
      </c>
      <c r="G621" t="s">
        <v>2611</v>
      </c>
      <c r="H621" s="1">
        <v>46439</v>
      </c>
      <c r="I621" s="6">
        <v>45357</v>
      </c>
      <c r="J621" s="6">
        <v>46194</v>
      </c>
      <c r="K621">
        <v>40</v>
      </c>
      <c r="L621">
        <v>53</v>
      </c>
      <c r="M621">
        <v>7</v>
      </c>
      <c r="N621" s="8">
        <v>4</v>
      </c>
      <c r="O621">
        <v>70</v>
      </c>
      <c r="P621">
        <v>20</v>
      </c>
      <c r="Q621" s="3">
        <v>0.73</v>
      </c>
      <c r="R621">
        <f>Inventory_Table[[#This Row],[Stock_Quantity]]*Inventory_Table[[#This Row],[Unit_Price]]</f>
        <v>160</v>
      </c>
      <c r="S621">
        <f>Inventory_Table[[#This Row],[Sales_Volume]]*Inventory_Table[[#This Row],[Unit_Price]]</f>
        <v>280</v>
      </c>
      <c r="T621" t="str">
        <f>IF(Inventory_Table[[#This Row],[Stock_Quantity]]&lt;=Inventory_Table[[#This Row],[Reorder_Level]],"REORDER","OK")</f>
        <v>REORDER</v>
      </c>
      <c r="U621" t="s">
        <v>3837</v>
      </c>
      <c r="V621" s="14">
        <f ca="1">TODAY()-Inventory_Table[[#This Row],[Last_Order_Date]]</f>
        <v>819</v>
      </c>
    </row>
    <row r="622" spans="1:22" x14ac:dyDescent="0.35">
      <c r="A622" t="s">
        <v>1623</v>
      </c>
      <c r="B622" t="s">
        <v>36</v>
      </c>
      <c r="C622" t="s">
        <v>59</v>
      </c>
      <c r="D622" t="s">
        <v>2613</v>
      </c>
      <c r="E622" t="s">
        <v>30</v>
      </c>
      <c r="F622" t="s">
        <v>2614</v>
      </c>
      <c r="G622" t="s">
        <v>2615</v>
      </c>
      <c r="H622" s="1">
        <v>46439</v>
      </c>
      <c r="I622" s="6">
        <v>45560</v>
      </c>
      <c r="J622" s="6">
        <v>46244</v>
      </c>
      <c r="K622">
        <v>57</v>
      </c>
      <c r="L622">
        <v>62</v>
      </c>
      <c r="M622">
        <v>72</v>
      </c>
      <c r="N622" s="8">
        <v>4</v>
      </c>
      <c r="O622">
        <v>23</v>
      </c>
      <c r="P622">
        <v>4</v>
      </c>
      <c r="Q622" s="3">
        <v>0.71</v>
      </c>
      <c r="R622">
        <f>Inventory_Table[[#This Row],[Stock_Quantity]]*Inventory_Table[[#This Row],[Unit_Price]]</f>
        <v>228</v>
      </c>
      <c r="S622">
        <f>Inventory_Table[[#This Row],[Sales_Volume]]*Inventory_Table[[#This Row],[Unit_Price]]</f>
        <v>92</v>
      </c>
      <c r="T622" t="str">
        <f>IF(Inventory_Table[[#This Row],[Stock_Quantity]]&lt;=Inventory_Table[[#This Row],[Reorder_Level]],"REORDER","OK")</f>
        <v>REORDER</v>
      </c>
      <c r="U622" t="s">
        <v>3836</v>
      </c>
      <c r="V622" s="14">
        <f ca="1">TODAY()-Inventory_Table[[#This Row],[Last_Order_Date]]</f>
        <v>616</v>
      </c>
    </row>
    <row r="623" spans="1:22" x14ac:dyDescent="0.35">
      <c r="A623" t="s">
        <v>188</v>
      </c>
      <c r="B623" t="s">
        <v>65</v>
      </c>
      <c r="C623" t="s">
        <v>2616</v>
      </c>
      <c r="D623" t="s">
        <v>2617</v>
      </c>
      <c r="E623" t="s">
        <v>21</v>
      </c>
      <c r="F623" t="s">
        <v>2618</v>
      </c>
      <c r="G623" t="s">
        <v>2619</v>
      </c>
      <c r="H623" s="1">
        <v>46440</v>
      </c>
      <c r="I623" s="6">
        <v>45459</v>
      </c>
      <c r="J623" s="6">
        <v>46149</v>
      </c>
      <c r="K623">
        <v>24</v>
      </c>
      <c r="L623">
        <v>15</v>
      </c>
      <c r="M623">
        <v>6</v>
      </c>
      <c r="N623" s="8">
        <v>4.75</v>
      </c>
      <c r="O623">
        <v>35</v>
      </c>
      <c r="P623">
        <v>4</v>
      </c>
      <c r="Q623" s="3">
        <v>0.83</v>
      </c>
      <c r="R623">
        <f>Inventory_Table[[#This Row],[Stock_Quantity]]*Inventory_Table[[#This Row],[Unit_Price]]</f>
        <v>114</v>
      </c>
      <c r="S623">
        <f>Inventory_Table[[#This Row],[Sales_Volume]]*Inventory_Table[[#This Row],[Unit_Price]]</f>
        <v>166.25</v>
      </c>
      <c r="T623" t="str">
        <f>IF(Inventory_Table[[#This Row],[Stock_Quantity]]&lt;=Inventory_Table[[#This Row],[Reorder_Level]],"REORDER","OK")</f>
        <v>OK</v>
      </c>
      <c r="U623" t="s">
        <v>3838</v>
      </c>
      <c r="V623" s="14">
        <f ca="1">TODAY()-Inventory_Table[[#This Row],[Last_Order_Date]]</f>
        <v>717</v>
      </c>
    </row>
    <row r="624" spans="1:22" x14ac:dyDescent="0.35">
      <c r="A624" t="s">
        <v>26</v>
      </c>
      <c r="B624" t="s">
        <v>27</v>
      </c>
      <c r="C624" t="s">
        <v>2164</v>
      </c>
      <c r="D624" t="s">
        <v>2620</v>
      </c>
      <c r="E624" t="s">
        <v>30</v>
      </c>
      <c r="F624" t="s">
        <v>2621</v>
      </c>
      <c r="G624" t="s">
        <v>2622</v>
      </c>
      <c r="H624" s="1">
        <v>46441</v>
      </c>
      <c r="I624" s="6">
        <v>45686</v>
      </c>
      <c r="J624" s="6">
        <v>46297</v>
      </c>
      <c r="K624">
        <v>75</v>
      </c>
      <c r="L624">
        <v>61</v>
      </c>
      <c r="M624">
        <v>19</v>
      </c>
      <c r="N624" s="8">
        <v>2</v>
      </c>
      <c r="O624">
        <v>79</v>
      </c>
      <c r="P624">
        <v>69</v>
      </c>
      <c r="Q624" s="3">
        <v>0.89</v>
      </c>
      <c r="R624">
        <f>Inventory_Table[[#This Row],[Stock_Quantity]]*Inventory_Table[[#This Row],[Unit_Price]]</f>
        <v>150</v>
      </c>
      <c r="S624">
        <f>Inventory_Table[[#This Row],[Sales_Volume]]*Inventory_Table[[#This Row],[Unit_Price]]</f>
        <v>158</v>
      </c>
      <c r="T624" t="str">
        <f>IF(Inventory_Table[[#This Row],[Stock_Quantity]]&lt;=Inventory_Table[[#This Row],[Reorder_Level]],"REORDER","OK")</f>
        <v>OK</v>
      </c>
      <c r="U624" t="s">
        <v>3836</v>
      </c>
      <c r="V624" s="14">
        <f ca="1">TODAY()-Inventory_Table[[#This Row],[Last_Order_Date]]</f>
        <v>490</v>
      </c>
    </row>
    <row r="625" spans="1:22" x14ac:dyDescent="0.35">
      <c r="A625" t="s">
        <v>154</v>
      </c>
      <c r="B625" t="s">
        <v>65</v>
      </c>
      <c r="C625" t="s">
        <v>254</v>
      </c>
      <c r="D625" t="s">
        <v>2623</v>
      </c>
      <c r="E625" t="s">
        <v>68</v>
      </c>
      <c r="F625" t="s">
        <v>2624</v>
      </c>
      <c r="G625" t="s">
        <v>2625</v>
      </c>
      <c r="H625" s="1">
        <v>46441</v>
      </c>
      <c r="I625" s="6">
        <v>45360</v>
      </c>
      <c r="J625" s="6">
        <v>46389</v>
      </c>
      <c r="K625">
        <v>60</v>
      </c>
      <c r="L625">
        <v>69</v>
      </c>
      <c r="M625">
        <v>64</v>
      </c>
      <c r="N625" s="8">
        <v>2.75</v>
      </c>
      <c r="O625">
        <v>51</v>
      </c>
      <c r="P625">
        <v>6</v>
      </c>
      <c r="Q625" s="3">
        <v>0.13</v>
      </c>
      <c r="R625">
        <f>Inventory_Table[[#This Row],[Stock_Quantity]]*Inventory_Table[[#This Row],[Unit_Price]]</f>
        <v>165</v>
      </c>
      <c r="S625">
        <f>Inventory_Table[[#This Row],[Sales_Volume]]*Inventory_Table[[#This Row],[Unit_Price]]</f>
        <v>140.25</v>
      </c>
      <c r="T625" t="str">
        <f>IF(Inventory_Table[[#This Row],[Stock_Quantity]]&lt;=Inventory_Table[[#This Row],[Reorder_Level]],"REORDER","OK")</f>
        <v>REORDER</v>
      </c>
      <c r="U625" t="s">
        <v>3836</v>
      </c>
      <c r="V625" s="14">
        <f ca="1">TODAY()-Inventory_Table[[#This Row],[Last_Order_Date]]</f>
        <v>816</v>
      </c>
    </row>
    <row r="626" spans="1:22" x14ac:dyDescent="0.35">
      <c r="A626" t="s">
        <v>793</v>
      </c>
      <c r="B626" t="s">
        <v>75</v>
      </c>
      <c r="C626" t="s">
        <v>1507</v>
      </c>
      <c r="D626" t="s">
        <v>2626</v>
      </c>
      <c r="E626" t="s">
        <v>21</v>
      </c>
      <c r="F626" t="s">
        <v>2627</v>
      </c>
      <c r="G626" t="s">
        <v>2628</v>
      </c>
      <c r="H626" s="1">
        <v>46442</v>
      </c>
      <c r="I626" s="6">
        <v>45363</v>
      </c>
      <c r="J626" s="6">
        <v>46317</v>
      </c>
      <c r="K626">
        <v>56</v>
      </c>
      <c r="L626">
        <v>50</v>
      </c>
      <c r="M626">
        <v>80</v>
      </c>
      <c r="N626" s="8">
        <v>8</v>
      </c>
      <c r="O626">
        <v>99</v>
      </c>
      <c r="P626">
        <v>5</v>
      </c>
      <c r="Q626" s="3">
        <v>0.88</v>
      </c>
      <c r="R626">
        <f>Inventory_Table[[#This Row],[Stock_Quantity]]*Inventory_Table[[#This Row],[Unit_Price]]</f>
        <v>448</v>
      </c>
      <c r="S626">
        <f>Inventory_Table[[#This Row],[Sales_Volume]]*Inventory_Table[[#This Row],[Unit_Price]]</f>
        <v>792</v>
      </c>
      <c r="T626" t="str">
        <f>IF(Inventory_Table[[#This Row],[Stock_Quantity]]&lt;=Inventory_Table[[#This Row],[Reorder_Level]],"REORDER","OK")</f>
        <v>OK</v>
      </c>
      <c r="U626" t="s">
        <v>3836</v>
      </c>
      <c r="V626" s="14">
        <f ca="1">TODAY()-Inventory_Table[[#This Row],[Last_Order_Date]]</f>
        <v>813</v>
      </c>
    </row>
    <row r="627" spans="1:22" x14ac:dyDescent="0.35">
      <c r="A627" t="s">
        <v>1196</v>
      </c>
      <c r="B627" t="s">
        <v>75</v>
      </c>
      <c r="C627" t="s">
        <v>2164</v>
      </c>
      <c r="D627" t="s">
        <v>2629</v>
      </c>
      <c r="E627" t="s">
        <v>21</v>
      </c>
      <c r="F627" t="s">
        <v>2630</v>
      </c>
      <c r="G627" t="s">
        <v>2631</v>
      </c>
      <c r="H627" s="1">
        <v>46442</v>
      </c>
      <c r="I627" s="6">
        <v>45467</v>
      </c>
      <c r="J627" s="6">
        <v>46078</v>
      </c>
      <c r="K627">
        <v>88</v>
      </c>
      <c r="L627">
        <v>40</v>
      </c>
      <c r="M627">
        <v>29</v>
      </c>
      <c r="N627" s="8">
        <v>15</v>
      </c>
      <c r="O627">
        <v>96</v>
      </c>
      <c r="P627">
        <v>87</v>
      </c>
      <c r="Q627" s="3">
        <v>0.95</v>
      </c>
      <c r="R627">
        <f>Inventory_Table[[#This Row],[Stock_Quantity]]*Inventory_Table[[#This Row],[Unit_Price]]</f>
        <v>1320</v>
      </c>
      <c r="S627">
        <f>Inventory_Table[[#This Row],[Sales_Volume]]*Inventory_Table[[#This Row],[Unit_Price]]</f>
        <v>1440</v>
      </c>
      <c r="T627" t="str">
        <f>IF(Inventory_Table[[#This Row],[Stock_Quantity]]&lt;=Inventory_Table[[#This Row],[Reorder_Level]],"REORDER","OK")</f>
        <v>OK</v>
      </c>
      <c r="U627" t="s">
        <v>3838</v>
      </c>
      <c r="V627" s="14">
        <f ca="1">TODAY()-Inventory_Table[[#This Row],[Last_Order_Date]]</f>
        <v>709</v>
      </c>
    </row>
    <row r="628" spans="1:22" x14ac:dyDescent="0.35">
      <c r="A628" t="s">
        <v>177</v>
      </c>
      <c r="B628" t="s">
        <v>18</v>
      </c>
      <c r="C628" t="s">
        <v>284</v>
      </c>
      <c r="D628" t="s">
        <v>2632</v>
      </c>
      <c r="E628" t="s">
        <v>30</v>
      </c>
      <c r="F628" t="s">
        <v>2633</v>
      </c>
      <c r="G628" t="s">
        <v>2634</v>
      </c>
      <c r="H628" s="1">
        <v>46442</v>
      </c>
      <c r="I628" s="6">
        <v>45477</v>
      </c>
      <c r="J628" s="6">
        <v>46294</v>
      </c>
      <c r="K628">
        <v>53</v>
      </c>
      <c r="L628">
        <v>98</v>
      </c>
      <c r="M628">
        <v>23</v>
      </c>
      <c r="N628" s="8">
        <v>5</v>
      </c>
      <c r="O628">
        <v>41</v>
      </c>
      <c r="P628">
        <v>84</v>
      </c>
      <c r="Q628" s="3">
        <v>0.09</v>
      </c>
      <c r="R628">
        <f>Inventory_Table[[#This Row],[Stock_Quantity]]*Inventory_Table[[#This Row],[Unit_Price]]</f>
        <v>265</v>
      </c>
      <c r="S628">
        <f>Inventory_Table[[#This Row],[Sales_Volume]]*Inventory_Table[[#This Row],[Unit_Price]]</f>
        <v>205</v>
      </c>
      <c r="T628" t="str">
        <f>IF(Inventory_Table[[#This Row],[Stock_Quantity]]&lt;=Inventory_Table[[#This Row],[Reorder_Level]],"REORDER","OK")</f>
        <v>REORDER</v>
      </c>
      <c r="U628" t="s">
        <v>3836</v>
      </c>
      <c r="V628" s="14">
        <f ca="1">TODAY()-Inventory_Table[[#This Row],[Last_Order_Date]]</f>
        <v>699</v>
      </c>
    </row>
    <row r="629" spans="1:22" x14ac:dyDescent="0.35">
      <c r="A629" t="s">
        <v>162</v>
      </c>
      <c r="B629" t="s">
        <v>163</v>
      </c>
      <c r="C629" t="s">
        <v>1113</v>
      </c>
      <c r="D629" t="s">
        <v>2635</v>
      </c>
      <c r="E629" t="s">
        <v>21</v>
      </c>
      <c r="F629" t="s">
        <v>2636</v>
      </c>
      <c r="G629" t="s">
        <v>2637</v>
      </c>
      <c r="H629" s="1">
        <v>46078</v>
      </c>
      <c r="I629" s="6">
        <v>45623</v>
      </c>
      <c r="J629" s="6">
        <v>46223</v>
      </c>
      <c r="K629">
        <v>22</v>
      </c>
      <c r="L629">
        <v>89</v>
      </c>
      <c r="M629">
        <v>25</v>
      </c>
      <c r="N629" s="8">
        <v>21</v>
      </c>
      <c r="O629">
        <v>30</v>
      </c>
      <c r="P629">
        <v>62</v>
      </c>
      <c r="Q629" s="3">
        <v>-1.05</v>
      </c>
      <c r="R629">
        <f>Inventory_Table[[#This Row],[Stock_Quantity]]*Inventory_Table[[#This Row],[Unit_Price]]</f>
        <v>462</v>
      </c>
      <c r="S629">
        <f>Inventory_Table[[#This Row],[Sales_Volume]]*Inventory_Table[[#This Row],[Unit_Price]]</f>
        <v>630</v>
      </c>
      <c r="T629" t="str">
        <f>IF(Inventory_Table[[#This Row],[Stock_Quantity]]&lt;=Inventory_Table[[#This Row],[Reorder_Level]],"REORDER","OK")</f>
        <v>REORDER</v>
      </c>
      <c r="U629" t="s">
        <v>3836</v>
      </c>
      <c r="V629" s="14">
        <f ca="1">TODAY()-Inventory_Table[[#This Row],[Last_Order_Date]]</f>
        <v>553</v>
      </c>
    </row>
    <row r="630" spans="1:22" x14ac:dyDescent="0.35">
      <c r="A630" t="s">
        <v>872</v>
      </c>
      <c r="B630" t="s">
        <v>18</v>
      </c>
      <c r="C630" t="s">
        <v>1202</v>
      </c>
      <c r="D630" t="s">
        <v>2638</v>
      </c>
      <c r="E630" t="s">
        <v>21</v>
      </c>
      <c r="F630" t="s">
        <v>2639</v>
      </c>
      <c r="G630" t="s">
        <v>2640</v>
      </c>
      <c r="H630" s="1">
        <v>46079</v>
      </c>
      <c r="I630" s="6">
        <v>45548</v>
      </c>
      <c r="J630" s="6">
        <v>46296</v>
      </c>
      <c r="K630">
        <v>41</v>
      </c>
      <c r="L630">
        <v>29</v>
      </c>
      <c r="M630">
        <v>76</v>
      </c>
      <c r="N630" s="8">
        <v>2.4</v>
      </c>
      <c r="O630">
        <v>59</v>
      </c>
      <c r="P630">
        <v>4</v>
      </c>
      <c r="Q630" s="3">
        <v>-1.07</v>
      </c>
      <c r="R630">
        <f>Inventory_Table[[#This Row],[Stock_Quantity]]*Inventory_Table[[#This Row],[Unit_Price]]</f>
        <v>98.399999999999991</v>
      </c>
      <c r="S630">
        <f>Inventory_Table[[#This Row],[Sales_Volume]]*Inventory_Table[[#This Row],[Unit_Price]]</f>
        <v>141.6</v>
      </c>
      <c r="T630" t="str">
        <f>IF(Inventory_Table[[#This Row],[Stock_Quantity]]&lt;=Inventory_Table[[#This Row],[Reorder_Level]],"REORDER","OK")</f>
        <v>OK</v>
      </c>
      <c r="U630" t="s">
        <v>3836</v>
      </c>
      <c r="V630" s="14">
        <f ca="1">TODAY()-Inventory_Table[[#This Row],[Last_Order_Date]]</f>
        <v>628</v>
      </c>
    </row>
    <row r="631" spans="1:22" x14ac:dyDescent="0.35">
      <c r="A631" t="s">
        <v>1234</v>
      </c>
      <c r="B631" t="s">
        <v>27</v>
      </c>
      <c r="C631" t="s">
        <v>2641</v>
      </c>
      <c r="D631" t="s">
        <v>2642</v>
      </c>
      <c r="E631" t="s">
        <v>68</v>
      </c>
      <c r="F631" t="s">
        <v>2643</v>
      </c>
      <c r="G631" t="s">
        <v>2644</v>
      </c>
      <c r="H631" s="1">
        <v>46079</v>
      </c>
      <c r="I631" s="6">
        <v>45538</v>
      </c>
      <c r="J631" s="6">
        <v>46322</v>
      </c>
      <c r="K631">
        <v>70</v>
      </c>
      <c r="L631">
        <v>96</v>
      </c>
      <c r="M631">
        <v>85</v>
      </c>
      <c r="N631" s="8">
        <v>2.5</v>
      </c>
      <c r="O631">
        <v>34</v>
      </c>
      <c r="P631">
        <v>3</v>
      </c>
      <c r="Q631" s="3">
        <v>0.93</v>
      </c>
      <c r="R631">
        <f>Inventory_Table[[#This Row],[Stock_Quantity]]*Inventory_Table[[#This Row],[Unit_Price]]</f>
        <v>175</v>
      </c>
      <c r="S631">
        <f>Inventory_Table[[#This Row],[Sales_Volume]]*Inventory_Table[[#This Row],[Unit_Price]]</f>
        <v>85</v>
      </c>
      <c r="T631" t="str">
        <f>IF(Inventory_Table[[#This Row],[Stock_Quantity]]&lt;=Inventory_Table[[#This Row],[Reorder_Level]],"REORDER","OK")</f>
        <v>REORDER</v>
      </c>
      <c r="U631" t="s">
        <v>3836</v>
      </c>
      <c r="V631" s="14">
        <f ca="1">TODAY()-Inventory_Table[[#This Row],[Last_Order_Date]]</f>
        <v>638</v>
      </c>
    </row>
    <row r="632" spans="1:22" x14ac:dyDescent="0.35">
      <c r="A632" t="s">
        <v>596</v>
      </c>
      <c r="B632" t="s">
        <v>18</v>
      </c>
      <c r="C632" t="s">
        <v>2645</v>
      </c>
      <c r="D632" t="s">
        <v>2646</v>
      </c>
      <c r="E632" t="s">
        <v>30</v>
      </c>
      <c r="F632" t="s">
        <v>2647</v>
      </c>
      <c r="G632" t="s">
        <v>2648</v>
      </c>
      <c r="H632" s="1">
        <v>46079</v>
      </c>
      <c r="I632" s="6">
        <v>45519</v>
      </c>
      <c r="J632" s="6">
        <v>46087</v>
      </c>
      <c r="K632">
        <v>73</v>
      </c>
      <c r="L632">
        <v>90</v>
      </c>
      <c r="M632">
        <v>77</v>
      </c>
      <c r="N632" s="8">
        <v>4</v>
      </c>
      <c r="O632">
        <v>75</v>
      </c>
      <c r="P632">
        <v>19</v>
      </c>
      <c r="Q632" s="3">
        <v>0.91</v>
      </c>
      <c r="R632">
        <f>Inventory_Table[[#This Row],[Stock_Quantity]]*Inventory_Table[[#This Row],[Unit_Price]]</f>
        <v>292</v>
      </c>
      <c r="S632">
        <f>Inventory_Table[[#This Row],[Sales_Volume]]*Inventory_Table[[#This Row],[Unit_Price]]</f>
        <v>300</v>
      </c>
      <c r="T632" t="str">
        <f>IF(Inventory_Table[[#This Row],[Stock_Quantity]]&lt;=Inventory_Table[[#This Row],[Reorder_Level]],"REORDER","OK")</f>
        <v>REORDER</v>
      </c>
      <c r="U632" t="s">
        <v>3838</v>
      </c>
      <c r="V632" s="14">
        <f ca="1">TODAY()-Inventory_Table[[#This Row],[Last_Order_Date]]</f>
        <v>657</v>
      </c>
    </row>
    <row r="633" spans="1:22" x14ac:dyDescent="0.35">
      <c r="A633" t="s">
        <v>320</v>
      </c>
      <c r="B633" t="s">
        <v>36</v>
      </c>
      <c r="C633" t="s">
        <v>550</v>
      </c>
      <c r="D633" t="s">
        <v>2649</v>
      </c>
      <c r="E633" t="s">
        <v>30</v>
      </c>
      <c r="F633" t="s">
        <v>2650</v>
      </c>
      <c r="G633" t="s">
        <v>2651</v>
      </c>
      <c r="H633" s="1">
        <v>46080</v>
      </c>
      <c r="I633" s="6">
        <v>45384</v>
      </c>
      <c r="J633" s="6">
        <v>46300</v>
      </c>
      <c r="K633">
        <v>94</v>
      </c>
      <c r="L633">
        <v>13</v>
      </c>
      <c r="M633">
        <v>15</v>
      </c>
      <c r="N633" s="8">
        <v>7</v>
      </c>
      <c r="O633">
        <v>20</v>
      </c>
      <c r="P633">
        <v>24</v>
      </c>
      <c r="Q633" s="3">
        <v>0.75</v>
      </c>
      <c r="R633">
        <f>Inventory_Table[[#This Row],[Stock_Quantity]]*Inventory_Table[[#This Row],[Unit_Price]]</f>
        <v>658</v>
      </c>
      <c r="S633">
        <f>Inventory_Table[[#This Row],[Sales_Volume]]*Inventory_Table[[#This Row],[Unit_Price]]</f>
        <v>140</v>
      </c>
      <c r="T633" t="str">
        <f>IF(Inventory_Table[[#This Row],[Stock_Quantity]]&lt;=Inventory_Table[[#This Row],[Reorder_Level]],"REORDER","OK")</f>
        <v>OK</v>
      </c>
      <c r="U633" t="s">
        <v>3836</v>
      </c>
      <c r="V633" s="14">
        <f ca="1">TODAY()-Inventory_Table[[#This Row],[Last_Order_Date]]</f>
        <v>792</v>
      </c>
    </row>
    <row r="634" spans="1:22" x14ac:dyDescent="0.35">
      <c r="A634" t="s">
        <v>96</v>
      </c>
      <c r="B634" t="s">
        <v>36</v>
      </c>
      <c r="C634" t="s">
        <v>1004</v>
      </c>
      <c r="D634" t="s">
        <v>2652</v>
      </c>
      <c r="E634" t="s">
        <v>68</v>
      </c>
      <c r="F634" t="s">
        <v>2653</v>
      </c>
      <c r="G634" t="s">
        <v>2654</v>
      </c>
      <c r="H634" s="1">
        <v>46080</v>
      </c>
      <c r="I634" s="6">
        <v>45567</v>
      </c>
      <c r="J634" s="6">
        <v>46141</v>
      </c>
      <c r="K634">
        <v>68</v>
      </c>
      <c r="L634">
        <v>60</v>
      </c>
      <c r="M634">
        <v>21</v>
      </c>
      <c r="N634" s="8">
        <v>8.9</v>
      </c>
      <c r="O634">
        <v>79</v>
      </c>
      <c r="P634">
        <v>46</v>
      </c>
      <c r="Q634" s="3">
        <v>-0.2</v>
      </c>
      <c r="R634">
        <f>Inventory_Table[[#This Row],[Stock_Quantity]]*Inventory_Table[[#This Row],[Unit_Price]]</f>
        <v>605.20000000000005</v>
      </c>
      <c r="S634">
        <f>Inventory_Table[[#This Row],[Sales_Volume]]*Inventory_Table[[#This Row],[Unit_Price]]</f>
        <v>703.1</v>
      </c>
      <c r="T634" t="str">
        <f>IF(Inventory_Table[[#This Row],[Stock_Quantity]]&lt;=Inventory_Table[[#This Row],[Reorder_Level]],"REORDER","OK")</f>
        <v>OK</v>
      </c>
      <c r="U634" t="s">
        <v>3838</v>
      </c>
      <c r="V634" s="14">
        <f ca="1">TODAY()-Inventory_Table[[#This Row],[Last_Order_Date]]</f>
        <v>609</v>
      </c>
    </row>
    <row r="635" spans="1:22" x14ac:dyDescent="0.35">
      <c r="A635" t="s">
        <v>1704</v>
      </c>
      <c r="B635" t="s">
        <v>18</v>
      </c>
      <c r="C635" t="s">
        <v>1497</v>
      </c>
      <c r="D635" t="s">
        <v>2655</v>
      </c>
      <c r="E635" t="s">
        <v>68</v>
      </c>
      <c r="F635" t="s">
        <v>2656</v>
      </c>
      <c r="G635" t="s">
        <v>2657</v>
      </c>
      <c r="H635" s="1">
        <v>46081</v>
      </c>
      <c r="I635" s="6">
        <v>45465</v>
      </c>
      <c r="J635" s="6">
        <v>46424</v>
      </c>
      <c r="K635">
        <v>66</v>
      </c>
      <c r="L635">
        <v>40</v>
      </c>
      <c r="M635">
        <v>96</v>
      </c>
      <c r="N635" s="8">
        <v>10</v>
      </c>
      <c r="O635">
        <v>24</v>
      </c>
      <c r="P635">
        <v>61</v>
      </c>
      <c r="Q635" s="3">
        <v>0.42</v>
      </c>
      <c r="R635">
        <f>Inventory_Table[[#This Row],[Stock_Quantity]]*Inventory_Table[[#This Row],[Unit_Price]]</f>
        <v>660</v>
      </c>
      <c r="S635">
        <f>Inventory_Table[[#This Row],[Sales_Volume]]*Inventory_Table[[#This Row],[Unit_Price]]</f>
        <v>240</v>
      </c>
      <c r="T635" t="str">
        <f>IF(Inventory_Table[[#This Row],[Stock_Quantity]]&lt;=Inventory_Table[[#This Row],[Reorder_Level]],"REORDER","OK")</f>
        <v>OK</v>
      </c>
      <c r="U635" t="s">
        <v>3836</v>
      </c>
      <c r="V635" s="14">
        <f ca="1">TODAY()-Inventory_Table[[#This Row],[Last_Order_Date]]</f>
        <v>711</v>
      </c>
    </row>
    <row r="636" spans="1:22" x14ac:dyDescent="0.35">
      <c r="A636" t="s">
        <v>1311</v>
      </c>
      <c r="B636" t="s">
        <v>36</v>
      </c>
      <c r="C636" t="s">
        <v>164</v>
      </c>
      <c r="D636" t="s">
        <v>2658</v>
      </c>
      <c r="E636" t="s">
        <v>30</v>
      </c>
      <c r="F636" t="s">
        <v>2659</v>
      </c>
      <c r="G636" t="s">
        <v>2660</v>
      </c>
      <c r="H636" s="1">
        <v>46081</v>
      </c>
      <c r="I636" s="6">
        <v>45427</v>
      </c>
      <c r="J636" s="6">
        <v>46422</v>
      </c>
      <c r="K636">
        <v>93</v>
      </c>
      <c r="L636">
        <v>8</v>
      </c>
      <c r="M636">
        <v>51</v>
      </c>
      <c r="N636" s="8">
        <v>8</v>
      </c>
      <c r="O636">
        <v>93</v>
      </c>
      <c r="P636">
        <v>85</v>
      </c>
      <c r="Q636" s="3">
        <v>-1.54</v>
      </c>
      <c r="R636">
        <f>Inventory_Table[[#This Row],[Stock_Quantity]]*Inventory_Table[[#This Row],[Unit_Price]]</f>
        <v>744</v>
      </c>
      <c r="S636">
        <f>Inventory_Table[[#This Row],[Sales_Volume]]*Inventory_Table[[#This Row],[Unit_Price]]</f>
        <v>744</v>
      </c>
      <c r="T636" t="str">
        <f>IF(Inventory_Table[[#This Row],[Stock_Quantity]]&lt;=Inventory_Table[[#This Row],[Reorder_Level]],"REORDER","OK")</f>
        <v>OK</v>
      </c>
      <c r="U636" t="s">
        <v>3836</v>
      </c>
      <c r="V636" s="14">
        <f ca="1">TODAY()-Inventory_Table[[#This Row],[Last_Order_Date]]</f>
        <v>749</v>
      </c>
    </row>
    <row r="637" spans="1:22" x14ac:dyDescent="0.35">
      <c r="A637" t="s">
        <v>135</v>
      </c>
      <c r="B637" t="s">
        <v>36</v>
      </c>
      <c r="C637" t="s">
        <v>1841</v>
      </c>
      <c r="D637" t="s">
        <v>2661</v>
      </c>
      <c r="E637" t="s">
        <v>30</v>
      </c>
      <c r="F637" t="s">
        <v>2662</v>
      </c>
      <c r="G637" t="s">
        <v>2663</v>
      </c>
      <c r="H637" s="1">
        <v>46081</v>
      </c>
      <c r="I637" s="6">
        <v>45490</v>
      </c>
      <c r="J637" s="6">
        <v>46355</v>
      </c>
      <c r="K637">
        <v>56</v>
      </c>
      <c r="L637">
        <v>97</v>
      </c>
      <c r="M637">
        <v>29</v>
      </c>
      <c r="N637" s="8">
        <v>2.5</v>
      </c>
      <c r="O637">
        <v>82</v>
      </c>
      <c r="P637">
        <v>100</v>
      </c>
      <c r="Q637" s="3">
        <v>0.09</v>
      </c>
      <c r="R637">
        <f>Inventory_Table[[#This Row],[Stock_Quantity]]*Inventory_Table[[#This Row],[Unit_Price]]</f>
        <v>140</v>
      </c>
      <c r="S637">
        <f>Inventory_Table[[#This Row],[Sales_Volume]]*Inventory_Table[[#This Row],[Unit_Price]]</f>
        <v>205</v>
      </c>
      <c r="T637" t="str">
        <f>IF(Inventory_Table[[#This Row],[Stock_Quantity]]&lt;=Inventory_Table[[#This Row],[Reorder_Level]],"REORDER","OK")</f>
        <v>REORDER</v>
      </c>
      <c r="U637" t="s">
        <v>3836</v>
      </c>
      <c r="V637" s="14">
        <f ca="1">TODAY()-Inventory_Table[[#This Row],[Last_Order_Date]]</f>
        <v>686</v>
      </c>
    </row>
    <row r="638" spans="1:22" x14ac:dyDescent="0.35">
      <c r="A638" t="s">
        <v>1623</v>
      </c>
      <c r="B638" t="s">
        <v>36</v>
      </c>
      <c r="C638" t="s">
        <v>1009</v>
      </c>
      <c r="D638" t="s">
        <v>2664</v>
      </c>
      <c r="E638" t="s">
        <v>68</v>
      </c>
      <c r="F638" t="s">
        <v>2665</v>
      </c>
      <c r="G638" t="s">
        <v>2666</v>
      </c>
      <c r="H638" s="1">
        <v>46081</v>
      </c>
      <c r="I638" s="6">
        <v>45463</v>
      </c>
      <c r="J638" s="6">
        <v>46408</v>
      </c>
      <c r="K638">
        <v>82</v>
      </c>
      <c r="L638">
        <v>12</v>
      </c>
      <c r="M638">
        <v>94</v>
      </c>
      <c r="N638" s="8">
        <v>4.0999999999999996</v>
      </c>
      <c r="O638">
        <v>69</v>
      </c>
      <c r="P638">
        <v>93</v>
      </c>
      <c r="Q638" s="3">
        <v>-0.22</v>
      </c>
      <c r="R638">
        <f>Inventory_Table[[#This Row],[Stock_Quantity]]*Inventory_Table[[#This Row],[Unit_Price]]</f>
        <v>336.2</v>
      </c>
      <c r="S638">
        <f>Inventory_Table[[#This Row],[Sales_Volume]]*Inventory_Table[[#This Row],[Unit_Price]]</f>
        <v>282.89999999999998</v>
      </c>
      <c r="T638" t="str">
        <f>IF(Inventory_Table[[#This Row],[Stock_Quantity]]&lt;=Inventory_Table[[#This Row],[Reorder_Level]],"REORDER","OK")</f>
        <v>OK</v>
      </c>
      <c r="U638" t="s">
        <v>3836</v>
      </c>
      <c r="V638" s="14">
        <f ca="1">TODAY()-Inventory_Table[[#This Row],[Last_Order_Date]]</f>
        <v>713</v>
      </c>
    </row>
    <row r="639" spans="1:22" x14ac:dyDescent="0.35">
      <c r="A639" t="s">
        <v>408</v>
      </c>
      <c r="B639" t="s">
        <v>18</v>
      </c>
      <c r="C639" t="s">
        <v>2517</v>
      </c>
      <c r="D639" t="s">
        <v>2667</v>
      </c>
      <c r="E639" t="s">
        <v>68</v>
      </c>
      <c r="F639" t="s">
        <v>2668</v>
      </c>
      <c r="G639" t="s">
        <v>2669</v>
      </c>
      <c r="H639" s="1">
        <v>46081</v>
      </c>
      <c r="I639" s="6">
        <v>45482</v>
      </c>
      <c r="J639" s="6">
        <v>46350</v>
      </c>
      <c r="K639">
        <v>11</v>
      </c>
      <c r="L639">
        <v>58</v>
      </c>
      <c r="M639">
        <v>32</v>
      </c>
      <c r="N639" s="8">
        <v>4</v>
      </c>
      <c r="O639">
        <v>99</v>
      </c>
      <c r="P639">
        <v>94</v>
      </c>
      <c r="Q639" s="3">
        <v>-0.35</v>
      </c>
      <c r="R639">
        <f>Inventory_Table[[#This Row],[Stock_Quantity]]*Inventory_Table[[#This Row],[Unit_Price]]</f>
        <v>44</v>
      </c>
      <c r="S639">
        <f>Inventory_Table[[#This Row],[Sales_Volume]]*Inventory_Table[[#This Row],[Unit_Price]]</f>
        <v>396</v>
      </c>
      <c r="T639" t="str">
        <f>IF(Inventory_Table[[#This Row],[Stock_Quantity]]&lt;=Inventory_Table[[#This Row],[Reorder_Level]],"REORDER","OK")</f>
        <v>REORDER</v>
      </c>
      <c r="U639" t="s">
        <v>3836</v>
      </c>
      <c r="V639" s="14">
        <f ca="1">TODAY()-Inventory_Table[[#This Row],[Last_Order_Date]]</f>
        <v>694</v>
      </c>
    </row>
    <row r="640" spans="1:22" x14ac:dyDescent="0.35">
      <c r="A640" t="s">
        <v>253</v>
      </c>
      <c r="B640" t="s">
        <v>65</v>
      </c>
      <c r="C640" t="s">
        <v>1187</v>
      </c>
      <c r="D640" t="s">
        <v>2670</v>
      </c>
      <c r="E640" t="s">
        <v>68</v>
      </c>
      <c r="F640" t="s">
        <v>2671</v>
      </c>
      <c r="G640" t="s">
        <v>2672</v>
      </c>
      <c r="H640" s="1">
        <v>46082</v>
      </c>
      <c r="I640" s="6">
        <v>45447</v>
      </c>
      <c r="J640" s="6">
        <v>46347</v>
      </c>
      <c r="K640">
        <v>31</v>
      </c>
      <c r="L640">
        <v>32</v>
      </c>
      <c r="M640">
        <v>69</v>
      </c>
      <c r="N640" s="8">
        <v>2</v>
      </c>
      <c r="O640">
        <v>38</v>
      </c>
      <c r="P640">
        <v>23</v>
      </c>
      <c r="Q640" s="3">
        <v>0.05</v>
      </c>
      <c r="R640">
        <f>Inventory_Table[[#This Row],[Stock_Quantity]]*Inventory_Table[[#This Row],[Unit_Price]]</f>
        <v>62</v>
      </c>
      <c r="S640">
        <f>Inventory_Table[[#This Row],[Sales_Volume]]*Inventory_Table[[#This Row],[Unit_Price]]</f>
        <v>76</v>
      </c>
      <c r="T640" t="str">
        <f>IF(Inventory_Table[[#This Row],[Stock_Quantity]]&lt;=Inventory_Table[[#This Row],[Reorder_Level]],"REORDER","OK")</f>
        <v>REORDER</v>
      </c>
      <c r="U640" t="s">
        <v>3836</v>
      </c>
      <c r="V640" s="14">
        <f ca="1">TODAY()-Inventory_Table[[#This Row],[Last_Order_Date]]</f>
        <v>729</v>
      </c>
    </row>
    <row r="641" spans="1:22" x14ac:dyDescent="0.35">
      <c r="A641" t="s">
        <v>148</v>
      </c>
      <c r="B641" t="s">
        <v>18</v>
      </c>
      <c r="C641" t="s">
        <v>2028</v>
      </c>
      <c r="D641" t="s">
        <v>2673</v>
      </c>
      <c r="E641" t="s">
        <v>30</v>
      </c>
      <c r="F641" t="s">
        <v>2674</v>
      </c>
      <c r="G641" t="s">
        <v>2675</v>
      </c>
      <c r="H641" s="1">
        <v>46082</v>
      </c>
      <c r="I641" s="6">
        <v>45694</v>
      </c>
      <c r="J641" s="6">
        <v>46366</v>
      </c>
      <c r="K641">
        <v>97</v>
      </c>
      <c r="L641">
        <v>20</v>
      </c>
      <c r="M641">
        <v>72</v>
      </c>
      <c r="N641" s="8">
        <v>3</v>
      </c>
      <c r="O641">
        <v>29</v>
      </c>
      <c r="P641">
        <v>59</v>
      </c>
      <c r="Q641" s="3">
        <v>0.39</v>
      </c>
      <c r="R641">
        <f>Inventory_Table[[#This Row],[Stock_Quantity]]*Inventory_Table[[#This Row],[Unit_Price]]</f>
        <v>291</v>
      </c>
      <c r="S641">
        <f>Inventory_Table[[#This Row],[Sales_Volume]]*Inventory_Table[[#This Row],[Unit_Price]]</f>
        <v>87</v>
      </c>
      <c r="T641" t="str">
        <f>IF(Inventory_Table[[#This Row],[Stock_Quantity]]&lt;=Inventory_Table[[#This Row],[Reorder_Level]],"REORDER","OK")</f>
        <v>OK</v>
      </c>
      <c r="U641" t="s">
        <v>3836</v>
      </c>
      <c r="V641" s="14">
        <f ca="1">TODAY()-Inventory_Table[[#This Row],[Last_Order_Date]]</f>
        <v>482</v>
      </c>
    </row>
    <row r="642" spans="1:22" x14ac:dyDescent="0.35">
      <c r="A642" t="s">
        <v>283</v>
      </c>
      <c r="B642" t="s">
        <v>163</v>
      </c>
      <c r="C642" t="s">
        <v>2676</v>
      </c>
      <c r="D642" t="s">
        <v>2677</v>
      </c>
      <c r="E642" t="s">
        <v>68</v>
      </c>
      <c r="F642" t="s">
        <v>2678</v>
      </c>
      <c r="G642" t="s">
        <v>2679</v>
      </c>
      <c r="H642" s="1">
        <v>46082</v>
      </c>
      <c r="I642" s="6">
        <v>45691</v>
      </c>
      <c r="J642" s="6">
        <v>46118</v>
      </c>
      <c r="K642">
        <v>74</v>
      </c>
      <c r="L642">
        <v>2</v>
      </c>
      <c r="M642">
        <v>45</v>
      </c>
      <c r="N642" s="8">
        <v>10</v>
      </c>
      <c r="O642">
        <v>37</v>
      </c>
      <c r="P642">
        <v>99</v>
      </c>
      <c r="Q642" s="3">
        <v>-1.03</v>
      </c>
      <c r="R642">
        <f>Inventory_Table[[#This Row],[Stock_Quantity]]*Inventory_Table[[#This Row],[Unit_Price]]</f>
        <v>740</v>
      </c>
      <c r="S642">
        <f>Inventory_Table[[#This Row],[Sales_Volume]]*Inventory_Table[[#This Row],[Unit_Price]]</f>
        <v>370</v>
      </c>
      <c r="T642" t="str">
        <f>IF(Inventory_Table[[#This Row],[Stock_Quantity]]&lt;=Inventory_Table[[#This Row],[Reorder_Level]],"REORDER","OK")</f>
        <v>OK</v>
      </c>
      <c r="U642" t="s">
        <v>3838</v>
      </c>
      <c r="V642" s="14">
        <f ca="1">TODAY()-Inventory_Table[[#This Row],[Last_Order_Date]]</f>
        <v>485</v>
      </c>
    </row>
    <row r="643" spans="1:22" x14ac:dyDescent="0.35">
      <c r="A643" t="s">
        <v>856</v>
      </c>
      <c r="B643" t="s">
        <v>18</v>
      </c>
      <c r="C643" t="s">
        <v>265</v>
      </c>
      <c r="D643" t="s">
        <v>2680</v>
      </c>
      <c r="E643" t="s">
        <v>68</v>
      </c>
      <c r="F643" t="s">
        <v>2681</v>
      </c>
      <c r="G643" t="s">
        <v>2682</v>
      </c>
      <c r="H643" s="1">
        <v>46094</v>
      </c>
      <c r="I643" s="6">
        <v>45361</v>
      </c>
      <c r="J643" s="6">
        <v>46104</v>
      </c>
      <c r="K643">
        <v>44</v>
      </c>
      <c r="L643">
        <v>67</v>
      </c>
      <c r="M643">
        <v>15</v>
      </c>
      <c r="N643" s="8">
        <v>2.5</v>
      </c>
      <c r="O643">
        <v>82</v>
      </c>
      <c r="P643">
        <v>51</v>
      </c>
      <c r="Q643" s="3">
        <v>-1.68</v>
      </c>
      <c r="R643">
        <f>Inventory_Table[[#This Row],[Stock_Quantity]]*Inventory_Table[[#This Row],[Unit_Price]]</f>
        <v>110</v>
      </c>
      <c r="S643">
        <f>Inventory_Table[[#This Row],[Sales_Volume]]*Inventory_Table[[#This Row],[Unit_Price]]</f>
        <v>205</v>
      </c>
      <c r="T643" t="str">
        <f>IF(Inventory_Table[[#This Row],[Stock_Quantity]]&lt;=Inventory_Table[[#This Row],[Reorder_Level]],"REORDER","OK")</f>
        <v>REORDER</v>
      </c>
      <c r="U643" t="s">
        <v>3838</v>
      </c>
      <c r="V643" s="14">
        <f ca="1">TODAY()-Inventory_Table[[#This Row],[Last_Order_Date]]</f>
        <v>815</v>
      </c>
    </row>
    <row r="644" spans="1:22" x14ac:dyDescent="0.35">
      <c r="A644" t="s">
        <v>50</v>
      </c>
      <c r="B644" t="s">
        <v>18</v>
      </c>
      <c r="C644" t="s">
        <v>1298</v>
      </c>
      <c r="D644" t="s">
        <v>2683</v>
      </c>
      <c r="E644" t="s">
        <v>68</v>
      </c>
      <c r="F644" t="s">
        <v>2684</v>
      </c>
      <c r="G644" t="s">
        <v>2685</v>
      </c>
      <c r="H644" s="1">
        <v>46094</v>
      </c>
      <c r="I644" s="6">
        <v>45669</v>
      </c>
      <c r="J644" s="6">
        <v>46187</v>
      </c>
      <c r="K644">
        <v>33</v>
      </c>
      <c r="L644">
        <v>4</v>
      </c>
      <c r="M644">
        <v>31</v>
      </c>
      <c r="N644" s="8">
        <v>7</v>
      </c>
      <c r="O644">
        <v>46</v>
      </c>
      <c r="P644">
        <v>92</v>
      </c>
      <c r="Q644" s="3">
        <v>0.38</v>
      </c>
      <c r="R644">
        <f>Inventory_Table[[#This Row],[Stock_Quantity]]*Inventory_Table[[#This Row],[Unit_Price]]</f>
        <v>231</v>
      </c>
      <c r="S644">
        <f>Inventory_Table[[#This Row],[Sales_Volume]]*Inventory_Table[[#This Row],[Unit_Price]]</f>
        <v>322</v>
      </c>
      <c r="T644" t="str">
        <f>IF(Inventory_Table[[#This Row],[Stock_Quantity]]&lt;=Inventory_Table[[#This Row],[Reorder_Level]],"REORDER","OK")</f>
        <v>OK</v>
      </c>
      <c r="U644" t="s">
        <v>3837</v>
      </c>
      <c r="V644" s="14">
        <f ca="1">TODAY()-Inventory_Table[[#This Row],[Last_Order_Date]]</f>
        <v>507</v>
      </c>
    </row>
    <row r="645" spans="1:22" x14ac:dyDescent="0.35">
      <c r="A645" t="s">
        <v>532</v>
      </c>
      <c r="B645" t="s">
        <v>75</v>
      </c>
      <c r="C645" t="s">
        <v>241</v>
      </c>
      <c r="D645" t="s">
        <v>2686</v>
      </c>
      <c r="E645" t="s">
        <v>30</v>
      </c>
      <c r="F645" t="s">
        <v>2687</v>
      </c>
      <c r="G645" t="s">
        <v>2688</v>
      </c>
      <c r="H645" s="1">
        <v>46095</v>
      </c>
      <c r="I645" s="6">
        <v>45654</v>
      </c>
      <c r="J645" s="6">
        <v>46097</v>
      </c>
      <c r="K645">
        <v>88</v>
      </c>
      <c r="L645">
        <v>71</v>
      </c>
      <c r="M645">
        <v>9</v>
      </c>
      <c r="N645" s="8">
        <v>18</v>
      </c>
      <c r="O645">
        <v>28</v>
      </c>
      <c r="P645">
        <v>14</v>
      </c>
      <c r="Q645" s="3">
        <v>-1</v>
      </c>
      <c r="R645">
        <f>Inventory_Table[[#This Row],[Stock_Quantity]]*Inventory_Table[[#This Row],[Unit_Price]]</f>
        <v>1584</v>
      </c>
      <c r="S645">
        <f>Inventory_Table[[#This Row],[Sales_Volume]]*Inventory_Table[[#This Row],[Unit_Price]]</f>
        <v>504</v>
      </c>
      <c r="T645" t="str">
        <f>IF(Inventory_Table[[#This Row],[Stock_Quantity]]&lt;=Inventory_Table[[#This Row],[Reorder_Level]],"REORDER","OK")</f>
        <v>OK</v>
      </c>
      <c r="U645" t="s">
        <v>3838</v>
      </c>
      <c r="V645" s="14">
        <f ca="1">TODAY()-Inventory_Table[[#This Row],[Last_Order_Date]]</f>
        <v>522</v>
      </c>
    </row>
    <row r="646" spans="1:22" x14ac:dyDescent="0.35">
      <c r="A646" t="s">
        <v>1191</v>
      </c>
      <c r="B646" t="s">
        <v>75</v>
      </c>
      <c r="C646" t="s">
        <v>544</v>
      </c>
      <c r="D646" t="s">
        <v>2689</v>
      </c>
      <c r="E646" t="s">
        <v>21</v>
      </c>
      <c r="F646" t="s">
        <v>2690</v>
      </c>
      <c r="G646" t="s">
        <v>2691</v>
      </c>
      <c r="H646" s="1">
        <v>46095</v>
      </c>
      <c r="I646" s="6">
        <v>45584</v>
      </c>
      <c r="J646" s="6">
        <v>46314</v>
      </c>
      <c r="K646">
        <v>14</v>
      </c>
      <c r="L646">
        <v>67</v>
      </c>
      <c r="M646">
        <v>65</v>
      </c>
      <c r="N646" s="8">
        <v>20</v>
      </c>
      <c r="O646">
        <v>71</v>
      </c>
      <c r="P646">
        <v>94</v>
      </c>
      <c r="Q646" s="3">
        <v>0.5</v>
      </c>
      <c r="R646">
        <f>Inventory_Table[[#This Row],[Stock_Quantity]]*Inventory_Table[[#This Row],[Unit_Price]]</f>
        <v>280</v>
      </c>
      <c r="S646">
        <f>Inventory_Table[[#This Row],[Sales_Volume]]*Inventory_Table[[#This Row],[Unit_Price]]</f>
        <v>1420</v>
      </c>
      <c r="T646" t="str">
        <f>IF(Inventory_Table[[#This Row],[Stock_Quantity]]&lt;=Inventory_Table[[#This Row],[Reorder_Level]],"REORDER","OK")</f>
        <v>REORDER</v>
      </c>
      <c r="U646" t="s">
        <v>3836</v>
      </c>
      <c r="V646" s="14">
        <f ca="1">TODAY()-Inventory_Table[[#This Row],[Last_Order_Date]]</f>
        <v>592</v>
      </c>
    </row>
    <row r="647" spans="1:22" x14ac:dyDescent="0.35">
      <c r="A647" t="s">
        <v>162</v>
      </c>
      <c r="B647" t="s">
        <v>163</v>
      </c>
      <c r="C647" t="s">
        <v>1217</v>
      </c>
      <c r="D647" t="s">
        <v>2692</v>
      </c>
      <c r="E647" t="s">
        <v>30</v>
      </c>
      <c r="F647" t="s">
        <v>2693</v>
      </c>
      <c r="G647" t="s">
        <v>2694</v>
      </c>
      <c r="H647" s="1">
        <v>46096</v>
      </c>
      <c r="I647" s="6">
        <v>45706</v>
      </c>
      <c r="J647" s="6">
        <v>46111</v>
      </c>
      <c r="K647">
        <v>36</v>
      </c>
      <c r="L647">
        <v>64</v>
      </c>
      <c r="M647">
        <v>63</v>
      </c>
      <c r="N647" s="8">
        <v>20</v>
      </c>
      <c r="O647">
        <v>91</v>
      </c>
      <c r="P647">
        <v>35</v>
      </c>
      <c r="Q647" s="3">
        <v>-0.32</v>
      </c>
      <c r="R647">
        <f>Inventory_Table[[#This Row],[Stock_Quantity]]*Inventory_Table[[#This Row],[Unit_Price]]</f>
        <v>720</v>
      </c>
      <c r="S647">
        <f>Inventory_Table[[#This Row],[Sales_Volume]]*Inventory_Table[[#This Row],[Unit_Price]]</f>
        <v>1820</v>
      </c>
      <c r="T647" t="str">
        <f>IF(Inventory_Table[[#This Row],[Stock_Quantity]]&lt;=Inventory_Table[[#This Row],[Reorder_Level]],"REORDER","OK")</f>
        <v>REORDER</v>
      </c>
      <c r="U647" t="s">
        <v>3838</v>
      </c>
      <c r="V647" s="14">
        <f ca="1">TODAY()-Inventory_Table[[#This Row],[Last_Order_Date]]</f>
        <v>470</v>
      </c>
    </row>
    <row r="648" spans="1:22" x14ac:dyDescent="0.35">
      <c r="A648" t="s">
        <v>217</v>
      </c>
      <c r="B648" t="s">
        <v>65</v>
      </c>
      <c r="C648" t="s">
        <v>102</v>
      </c>
      <c r="D648" t="s">
        <v>2695</v>
      </c>
      <c r="E648" t="s">
        <v>68</v>
      </c>
      <c r="F648" t="s">
        <v>2696</v>
      </c>
      <c r="G648" t="s">
        <v>2697</v>
      </c>
      <c r="H648" s="1">
        <v>46096</v>
      </c>
      <c r="I648" s="6">
        <v>45477</v>
      </c>
      <c r="J648" s="6">
        <v>46287</v>
      </c>
      <c r="K648">
        <v>56</v>
      </c>
      <c r="L648">
        <v>4</v>
      </c>
      <c r="M648">
        <v>74</v>
      </c>
      <c r="N648" s="8">
        <v>4.5</v>
      </c>
      <c r="O648">
        <v>61</v>
      </c>
      <c r="P648">
        <v>73</v>
      </c>
      <c r="Q648" s="3">
        <v>0.62</v>
      </c>
      <c r="R648">
        <f>Inventory_Table[[#This Row],[Stock_Quantity]]*Inventory_Table[[#This Row],[Unit_Price]]</f>
        <v>252</v>
      </c>
      <c r="S648">
        <f>Inventory_Table[[#This Row],[Sales_Volume]]*Inventory_Table[[#This Row],[Unit_Price]]</f>
        <v>274.5</v>
      </c>
      <c r="T648" t="str">
        <f>IF(Inventory_Table[[#This Row],[Stock_Quantity]]&lt;=Inventory_Table[[#This Row],[Reorder_Level]],"REORDER","OK")</f>
        <v>OK</v>
      </c>
      <c r="U648" t="s">
        <v>3836</v>
      </c>
      <c r="V648" s="14">
        <f ca="1">TODAY()-Inventory_Table[[#This Row],[Last_Order_Date]]</f>
        <v>699</v>
      </c>
    </row>
    <row r="649" spans="1:22" x14ac:dyDescent="0.35">
      <c r="A649" t="s">
        <v>188</v>
      </c>
      <c r="B649" t="s">
        <v>65</v>
      </c>
      <c r="C649" t="s">
        <v>1995</v>
      </c>
      <c r="D649" t="s">
        <v>2698</v>
      </c>
      <c r="E649" t="s">
        <v>21</v>
      </c>
      <c r="F649" t="s">
        <v>2699</v>
      </c>
      <c r="G649" t="s">
        <v>2700</v>
      </c>
      <c r="H649" s="1">
        <v>46096</v>
      </c>
      <c r="I649" s="6">
        <v>45527</v>
      </c>
      <c r="J649" s="6">
        <v>46239</v>
      </c>
      <c r="K649">
        <v>44</v>
      </c>
      <c r="L649">
        <v>26</v>
      </c>
      <c r="M649">
        <v>60</v>
      </c>
      <c r="N649" s="8">
        <v>4.75</v>
      </c>
      <c r="O649">
        <v>63</v>
      </c>
      <c r="P649">
        <v>59</v>
      </c>
      <c r="Q649" s="3">
        <v>-0.2</v>
      </c>
      <c r="R649">
        <f>Inventory_Table[[#This Row],[Stock_Quantity]]*Inventory_Table[[#This Row],[Unit_Price]]</f>
        <v>209</v>
      </c>
      <c r="S649">
        <f>Inventory_Table[[#This Row],[Sales_Volume]]*Inventory_Table[[#This Row],[Unit_Price]]</f>
        <v>299.25</v>
      </c>
      <c r="T649" t="str">
        <f>IF(Inventory_Table[[#This Row],[Stock_Quantity]]&lt;=Inventory_Table[[#This Row],[Reorder_Level]],"REORDER","OK")</f>
        <v>OK</v>
      </c>
      <c r="U649" t="s">
        <v>3836</v>
      </c>
      <c r="V649" s="14">
        <f ca="1">TODAY()-Inventory_Table[[#This Row],[Last_Order_Date]]</f>
        <v>649</v>
      </c>
    </row>
    <row r="650" spans="1:22" x14ac:dyDescent="0.35">
      <c r="A650" t="s">
        <v>188</v>
      </c>
      <c r="B650" t="s">
        <v>65</v>
      </c>
      <c r="C650" t="s">
        <v>691</v>
      </c>
      <c r="D650" t="s">
        <v>2701</v>
      </c>
      <c r="E650" t="s">
        <v>21</v>
      </c>
      <c r="F650" t="s">
        <v>2702</v>
      </c>
      <c r="G650" t="s">
        <v>2703</v>
      </c>
      <c r="H650" s="1">
        <v>46096</v>
      </c>
      <c r="I650" s="6">
        <v>45540</v>
      </c>
      <c r="J650" s="6">
        <v>46129</v>
      </c>
      <c r="K650">
        <v>33</v>
      </c>
      <c r="L650">
        <v>44</v>
      </c>
      <c r="M650">
        <v>89</v>
      </c>
      <c r="N650" s="8">
        <v>4.75</v>
      </c>
      <c r="O650">
        <v>93</v>
      </c>
      <c r="P650">
        <v>19</v>
      </c>
      <c r="Q650" s="3">
        <v>0.06</v>
      </c>
      <c r="R650">
        <f>Inventory_Table[[#This Row],[Stock_Quantity]]*Inventory_Table[[#This Row],[Unit_Price]]</f>
        <v>156.75</v>
      </c>
      <c r="S650">
        <f>Inventory_Table[[#This Row],[Sales_Volume]]*Inventory_Table[[#This Row],[Unit_Price]]</f>
        <v>441.75</v>
      </c>
      <c r="T650" t="str">
        <f>IF(Inventory_Table[[#This Row],[Stock_Quantity]]&lt;=Inventory_Table[[#This Row],[Reorder_Level]],"REORDER","OK")</f>
        <v>REORDER</v>
      </c>
      <c r="U650" t="s">
        <v>3838</v>
      </c>
      <c r="V650" s="14">
        <f ca="1">TODAY()-Inventory_Table[[#This Row],[Last_Order_Date]]</f>
        <v>636</v>
      </c>
    </row>
    <row r="651" spans="1:22" x14ac:dyDescent="0.35">
      <c r="A651" t="s">
        <v>1440</v>
      </c>
      <c r="B651" t="s">
        <v>18</v>
      </c>
      <c r="C651" t="s">
        <v>1213</v>
      </c>
      <c r="D651" t="s">
        <v>2704</v>
      </c>
      <c r="E651" t="s">
        <v>21</v>
      </c>
      <c r="F651" t="s">
        <v>2705</v>
      </c>
      <c r="G651" t="s">
        <v>2706</v>
      </c>
      <c r="H651" s="1">
        <v>46097</v>
      </c>
      <c r="I651" s="6">
        <v>45670</v>
      </c>
      <c r="J651" s="6">
        <v>46284</v>
      </c>
      <c r="K651">
        <v>53</v>
      </c>
      <c r="L651">
        <v>41</v>
      </c>
      <c r="M651">
        <v>30</v>
      </c>
      <c r="N651" s="8">
        <v>3</v>
      </c>
      <c r="O651">
        <v>24</v>
      </c>
      <c r="P651">
        <v>77</v>
      </c>
      <c r="Q651" s="3">
        <v>0.8</v>
      </c>
      <c r="R651">
        <f>Inventory_Table[[#This Row],[Stock_Quantity]]*Inventory_Table[[#This Row],[Unit_Price]]</f>
        <v>159</v>
      </c>
      <c r="S651">
        <f>Inventory_Table[[#This Row],[Sales_Volume]]*Inventory_Table[[#This Row],[Unit_Price]]</f>
        <v>72</v>
      </c>
      <c r="T651" t="str">
        <f>IF(Inventory_Table[[#This Row],[Stock_Quantity]]&lt;=Inventory_Table[[#This Row],[Reorder_Level]],"REORDER","OK")</f>
        <v>OK</v>
      </c>
      <c r="U651" t="s">
        <v>3836</v>
      </c>
      <c r="V651" s="14">
        <f ca="1">TODAY()-Inventory_Table[[#This Row],[Last_Order_Date]]</f>
        <v>506</v>
      </c>
    </row>
    <row r="652" spans="1:22" x14ac:dyDescent="0.35">
      <c r="A652" t="s">
        <v>880</v>
      </c>
      <c r="B652" t="s">
        <v>27</v>
      </c>
      <c r="C652" t="s">
        <v>1580</v>
      </c>
      <c r="D652" t="s">
        <v>2707</v>
      </c>
      <c r="E652" t="s">
        <v>21</v>
      </c>
      <c r="F652" t="s">
        <v>2708</v>
      </c>
      <c r="G652" t="s">
        <v>2709</v>
      </c>
      <c r="H652" s="1">
        <v>46097</v>
      </c>
      <c r="I652" s="6">
        <v>45416</v>
      </c>
      <c r="J652" s="6">
        <v>46352</v>
      </c>
      <c r="K652">
        <v>96</v>
      </c>
      <c r="L652">
        <v>51</v>
      </c>
      <c r="M652">
        <v>40</v>
      </c>
      <c r="N652" s="8">
        <v>2.2999999999999998</v>
      </c>
      <c r="O652">
        <v>61</v>
      </c>
      <c r="P652">
        <v>4</v>
      </c>
      <c r="Q652" s="3">
        <v>-2.21</v>
      </c>
      <c r="R652">
        <f>Inventory_Table[[#This Row],[Stock_Quantity]]*Inventory_Table[[#This Row],[Unit_Price]]</f>
        <v>220.79999999999998</v>
      </c>
      <c r="S652">
        <f>Inventory_Table[[#This Row],[Sales_Volume]]*Inventory_Table[[#This Row],[Unit_Price]]</f>
        <v>140.29999999999998</v>
      </c>
      <c r="T652" t="str">
        <f>IF(Inventory_Table[[#This Row],[Stock_Quantity]]&lt;=Inventory_Table[[#This Row],[Reorder_Level]],"REORDER","OK")</f>
        <v>OK</v>
      </c>
      <c r="U652" t="s">
        <v>3836</v>
      </c>
      <c r="V652" s="14">
        <f ca="1">TODAY()-Inventory_Table[[#This Row],[Last_Order_Date]]</f>
        <v>760</v>
      </c>
    </row>
    <row r="653" spans="1:22" x14ac:dyDescent="0.35">
      <c r="A653" t="s">
        <v>356</v>
      </c>
      <c r="B653" t="s">
        <v>18</v>
      </c>
      <c r="C653" t="s">
        <v>1619</v>
      </c>
      <c r="D653" t="s">
        <v>2710</v>
      </c>
      <c r="E653" t="s">
        <v>21</v>
      </c>
      <c r="F653" t="s">
        <v>2711</v>
      </c>
      <c r="G653" t="s">
        <v>2712</v>
      </c>
      <c r="H653" s="1">
        <v>46098</v>
      </c>
      <c r="I653" s="6">
        <v>45682</v>
      </c>
      <c r="J653" s="6">
        <v>46325</v>
      </c>
      <c r="K653">
        <v>48</v>
      </c>
      <c r="L653">
        <v>48</v>
      </c>
      <c r="M653">
        <v>39</v>
      </c>
      <c r="N653" s="8">
        <v>3.45</v>
      </c>
      <c r="O653">
        <v>51</v>
      </c>
      <c r="P653">
        <v>50</v>
      </c>
      <c r="Q653" s="3">
        <v>0.93</v>
      </c>
      <c r="R653">
        <f>Inventory_Table[[#This Row],[Stock_Quantity]]*Inventory_Table[[#This Row],[Unit_Price]]</f>
        <v>165.60000000000002</v>
      </c>
      <c r="S653">
        <f>Inventory_Table[[#This Row],[Sales_Volume]]*Inventory_Table[[#This Row],[Unit_Price]]</f>
        <v>175.95000000000002</v>
      </c>
      <c r="T653" t="str">
        <f>IF(Inventory_Table[[#This Row],[Stock_Quantity]]&lt;=Inventory_Table[[#This Row],[Reorder_Level]],"REORDER","OK")</f>
        <v>REORDER</v>
      </c>
      <c r="U653" t="s">
        <v>3836</v>
      </c>
      <c r="V653" s="14">
        <f ca="1">TODAY()-Inventory_Table[[#This Row],[Last_Order_Date]]</f>
        <v>494</v>
      </c>
    </row>
    <row r="654" spans="1:22" x14ac:dyDescent="0.35">
      <c r="A654" t="s">
        <v>1234</v>
      </c>
      <c r="B654" t="s">
        <v>27</v>
      </c>
      <c r="C654" t="s">
        <v>1416</v>
      </c>
      <c r="D654" t="s">
        <v>2714</v>
      </c>
      <c r="E654" t="s">
        <v>68</v>
      </c>
      <c r="F654" t="s">
        <v>2715</v>
      </c>
      <c r="G654" t="s">
        <v>2716</v>
      </c>
      <c r="H654" s="1">
        <v>46099</v>
      </c>
      <c r="I654" s="6">
        <v>45419</v>
      </c>
      <c r="J654" s="6">
        <v>46193</v>
      </c>
      <c r="K654">
        <v>96</v>
      </c>
      <c r="L654">
        <v>52</v>
      </c>
      <c r="M654">
        <v>16</v>
      </c>
      <c r="N654" s="8">
        <v>2.5</v>
      </c>
      <c r="O654">
        <v>67</v>
      </c>
      <c r="P654">
        <v>13</v>
      </c>
      <c r="Q654" s="3">
        <v>0.02</v>
      </c>
      <c r="R654">
        <f>Inventory_Table[[#This Row],[Stock_Quantity]]*Inventory_Table[[#This Row],[Unit_Price]]</f>
        <v>240</v>
      </c>
      <c r="S654">
        <f>Inventory_Table[[#This Row],[Sales_Volume]]*Inventory_Table[[#This Row],[Unit_Price]]</f>
        <v>167.5</v>
      </c>
      <c r="T654" t="str">
        <f>IF(Inventory_Table[[#This Row],[Stock_Quantity]]&lt;=Inventory_Table[[#This Row],[Reorder_Level]],"REORDER","OK")</f>
        <v>OK</v>
      </c>
      <c r="U654" t="s">
        <v>3837</v>
      </c>
      <c r="V654" s="14">
        <f ca="1">TODAY()-Inventory_Table[[#This Row],[Last_Order_Date]]</f>
        <v>757</v>
      </c>
    </row>
    <row r="655" spans="1:22" x14ac:dyDescent="0.35">
      <c r="A655" t="s">
        <v>177</v>
      </c>
      <c r="B655" t="s">
        <v>18</v>
      </c>
      <c r="C655" t="s">
        <v>2717</v>
      </c>
      <c r="D655" t="s">
        <v>2718</v>
      </c>
      <c r="E655" t="s">
        <v>68</v>
      </c>
      <c r="F655" t="s">
        <v>2719</v>
      </c>
      <c r="G655" t="s">
        <v>2720</v>
      </c>
      <c r="H655" s="1">
        <v>46099</v>
      </c>
      <c r="I655" s="6">
        <v>45509</v>
      </c>
      <c r="J655" s="6">
        <v>46416</v>
      </c>
      <c r="K655">
        <v>58</v>
      </c>
      <c r="L655">
        <v>58</v>
      </c>
      <c r="M655">
        <v>28</v>
      </c>
      <c r="N655" s="8">
        <v>4.7</v>
      </c>
      <c r="O655">
        <v>85</v>
      </c>
      <c r="P655">
        <v>63</v>
      </c>
      <c r="Q655" s="3">
        <v>0.81</v>
      </c>
      <c r="R655">
        <f>Inventory_Table[[#This Row],[Stock_Quantity]]*Inventory_Table[[#This Row],[Unit_Price]]</f>
        <v>272.60000000000002</v>
      </c>
      <c r="S655">
        <f>Inventory_Table[[#This Row],[Sales_Volume]]*Inventory_Table[[#This Row],[Unit_Price]]</f>
        <v>399.5</v>
      </c>
      <c r="T655" t="str">
        <f>IF(Inventory_Table[[#This Row],[Stock_Quantity]]&lt;=Inventory_Table[[#This Row],[Reorder_Level]],"REORDER","OK")</f>
        <v>REORDER</v>
      </c>
      <c r="U655" t="s">
        <v>3836</v>
      </c>
      <c r="V655" s="14">
        <f ca="1">TODAY()-Inventory_Table[[#This Row],[Last_Order_Date]]</f>
        <v>667</v>
      </c>
    </row>
    <row r="656" spans="1:22" x14ac:dyDescent="0.35">
      <c r="A656" t="s">
        <v>1527</v>
      </c>
      <c r="B656" t="s">
        <v>18</v>
      </c>
      <c r="C656" t="s">
        <v>44</v>
      </c>
      <c r="D656" t="s">
        <v>2721</v>
      </c>
      <c r="E656" t="s">
        <v>21</v>
      </c>
      <c r="F656" t="s">
        <v>2722</v>
      </c>
      <c r="G656" t="s">
        <v>2723</v>
      </c>
      <c r="H656" s="1">
        <v>46099</v>
      </c>
      <c r="I656" s="6">
        <v>45680</v>
      </c>
      <c r="J656" s="6">
        <v>46256</v>
      </c>
      <c r="K656">
        <v>45</v>
      </c>
      <c r="L656">
        <v>28</v>
      </c>
      <c r="M656">
        <v>6</v>
      </c>
      <c r="N656" s="8">
        <v>4.5</v>
      </c>
      <c r="O656">
        <v>35</v>
      </c>
      <c r="P656">
        <v>16</v>
      </c>
      <c r="Q656" s="3">
        <v>0.26</v>
      </c>
      <c r="R656">
        <f>Inventory_Table[[#This Row],[Stock_Quantity]]*Inventory_Table[[#This Row],[Unit_Price]]</f>
        <v>202.5</v>
      </c>
      <c r="S656">
        <f>Inventory_Table[[#This Row],[Sales_Volume]]*Inventory_Table[[#This Row],[Unit_Price]]</f>
        <v>157.5</v>
      </c>
      <c r="T656" t="str">
        <f>IF(Inventory_Table[[#This Row],[Stock_Quantity]]&lt;=Inventory_Table[[#This Row],[Reorder_Level]],"REORDER","OK")</f>
        <v>OK</v>
      </c>
      <c r="U656" t="s">
        <v>3836</v>
      </c>
      <c r="V656" s="14">
        <f ca="1">TODAY()-Inventory_Table[[#This Row],[Last_Order_Date]]</f>
        <v>496</v>
      </c>
    </row>
    <row r="657" spans="1:22" x14ac:dyDescent="0.35">
      <c r="A657" t="s">
        <v>708</v>
      </c>
      <c r="B657" t="s">
        <v>163</v>
      </c>
      <c r="C657" t="s">
        <v>1563</v>
      </c>
      <c r="D657" t="s">
        <v>2724</v>
      </c>
      <c r="E657" t="s">
        <v>21</v>
      </c>
      <c r="F657" t="s">
        <v>2725</v>
      </c>
      <c r="G657" t="s">
        <v>2726</v>
      </c>
      <c r="H657" s="1">
        <v>46099</v>
      </c>
      <c r="I657" s="6">
        <v>45453</v>
      </c>
      <c r="J657" s="6">
        <v>46085</v>
      </c>
      <c r="K657">
        <v>24</v>
      </c>
      <c r="L657">
        <v>77</v>
      </c>
      <c r="M657">
        <v>32</v>
      </c>
      <c r="N657" s="8">
        <v>15.5</v>
      </c>
      <c r="O657">
        <v>80</v>
      </c>
      <c r="P657">
        <v>42</v>
      </c>
      <c r="Q657" s="3">
        <v>0.54</v>
      </c>
      <c r="R657">
        <f>Inventory_Table[[#This Row],[Stock_Quantity]]*Inventory_Table[[#This Row],[Unit_Price]]</f>
        <v>372</v>
      </c>
      <c r="S657">
        <f>Inventory_Table[[#This Row],[Sales_Volume]]*Inventory_Table[[#This Row],[Unit_Price]]</f>
        <v>1240</v>
      </c>
      <c r="T657" t="str">
        <f>IF(Inventory_Table[[#This Row],[Stock_Quantity]]&lt;=Inventory_Table[[#This Row],[Reorder_Level]],"REORDER","OK")</f>
        <v>REORDER</v>
      </c>
      <c r="U657" t="s">
        <v>3838</v>
      </c>
      <c r="V657" s="14">
        <f ca="1">TODAY()-Inventory_Table[[#This Row],[Last_Order_Date]]</f>
        <v>723</v>
      </c>
    </row>
    <row r="658" spans="1:22" x14ac:dyDescent="0.35">
      <c r="A658" t="s">
        <v>1502</v>
      </c>
      <c r="B658" t="s">
        <v>114</v>
      </c>
      <c r="C658" t="s">
        <v>2728</v>
      </c>
      <c r="D658" t="s">
        <v>2729</v>
      </c>
      <c r="E658" t="s">
        <v>30</v>
      </c>
      <c r="F658" t="s">
        <v>2730</v>
      </c>
      <c r="G658" t="s">
        <v>2731</v>
      </c>
      <c r="H658" s="1">
        <v>46099</v>
      </c>
      <c r="I658" s="6">
        <v>45371</v>
      </c>
      <c r="J658" s="6">
        <v>46327</v>
      </c>
      <c r="K658">
        <v>94</v>
      </c>
      <c r="L658">
        <v>34</v>
      </c>
      <c r="M658">
        <v>21</v>
      </c>
      <c r="N658" s="8">
        <v>5.5</v>
      </c>
      <c r="O658">
        <v>74</v>
      </c>
      <c r="P658">
        <v>70</v>
      </c>
      <c r="Q658" s="3">
        <v>0.48</v>
      </c>
      <c r="R658">
        <f>Inventory_Table[[#This Row],[Stock_Quantity]]*Inventory_Table[[#This Row],[Unit_Price]]</f>
        <v>517</v>
      </c>
      <c r="S658">
        <f>Inventory_Table[[#This Row],[Sales_Volume]]*Inventory_Table[[#This Row],[Unit_Price]]</f>
        <v>407</v>
      </c>
      <c r="T658" t="str">
        <f>IF(Inventory_Table[[#This Row],[Stock_Quantity]]&lt;=Inventory_Table[[#This Row],[Reorder_Level]],"REORDER","OK")</f>
        <v>OK</v>
      </c>
      <c r="U658" t="s">
        <v>3836</v>
      </c>
      <c r="V658" s="14">
        <f ca="1">TODAY()-Inventory_Table[[#This Row],[Last_Order_Date]]</f>
        <v>805</v>
      </c>
    </row>
    <row r="659" spans="1:22" x14ac:dyDescent="0.35">
      <c r="A659" t="s">
        <v>217</v>
      </c>
      <c r="B659" t="s">
        <v>65</v>
      </c>
      <c r="C659" t="s">
        <v>959</v>
      </c>
      <c r="D659" t="s">
        <v>2732</v>
      </c>
      <c r="E659" t="s">
        <v>21</v>
      </c>
      <c r="F659" t="s">
        <v>2733</v>
      </c>
      <c r="G659" t="s">
        <v>2734</v>
      </c>
      <c r="H659" s="1">
        <v>46099</v>
      </c>
      <c r="I659" s="6">
        <v>45425</v>
      </c>
      <c r="J659" s="6">
        <v>46162</v>
      </c>
      <c r="K659">
        <v>86</v>
      </c>
      <c r="L659">
        <v>80</v>
      </c>
      <c r="M659">
        <v>80</v>
      </c>
      <c r="N659" s="8">
        <v>4.5</v>
      </c>
      <c r="O659">
        <v>22</v>
      </c>
      <c r="P659">
        <v>67</v>
      </c>
      <c r="Q659" s="3">
        <v>0.05</v>
      </c>
      <c r="R659">
        <f>Inventory_Table[[#This Row],[Stock_Quantity]]*Inventory_Table[[#This Row],[Unit_Price]]</f>
        <v>387</v>
      </c>
      <c r="S659">
        <f>Inventory_Table[[#This Row],[Sales_Volume]]*Inventory_Table[[#This Row],[Unit_Price]]</f>
        <v>99</v>
      </c>
      <c r="T659" t="str">
        <f>IF(Inventory_Table[[#This Row],[Stock_Quantity]]&lt;=Inventory_Table[[#This Row],[Reorder_Level]],"REORDER","OK")</f>
        <v>OK</v>
      </c>
      <c r="U659" t="s">
        <v>3838</v>
      </c>
      <c r="V659" s="14">
        <f ca="1">TODAY()-Inventory_Table[[#This Row],[Last_Order_Date]]</f>
        <v>751</v>
      </c>
    </row>
    <row r="660" spans="1:22" x14ac:dyDescent="0.35">
      <c r="A660" t="s">
        <v>64</v>
      </c>
      <c r="B660" t="s">
        <v>65</v>
      </c>
      <c r="C660" t="s">
        <v>630</v>
      </c>
      <c r="D660" t="s">
        <v>2735</v>
      </c>
      <c r="E660" t="s">
        <v>30</v>
      </c>
      <c r="F660" t="s">
        <v>2736</v>
      </c>
      <c r="G660" t="s">
        <v>2737</v>
      </c>
      <c r="H660" s="1">
        <v>46100</v>
      </c>
      <c r="I660" s="6">
        <v>45501</v>
      </c>
      <c r="J660" s="6">
        <v>46191</v>
      </c>
      <c r="K660">
        <v>20</v>
      </c>
      <c r="L660">
        <v>51</v>
      </c>
      <c r="M660">
        <v>21</v>
      </c>
      <c r="N660" s="8">
        <v>5</v>
      </c>
      <c r="O660">
        <v>71</v>
      </c>
      <c r="P660">
        <v>26</v>
      </c>
      <c r="Q660" s="3">
        <v>-2.0499999999999998</v>
      </c>
      <c r="R660">
        <f>Inventory_Table[[#This Row],[Stock_Quantity]]*Inventory_Table[[#This Row],[Unit_Price]]</f>
        <v>100</v>
      </c>
      <c r="S660">
        <f>Inventory_Table[[#This Row],[Sales_Volume]]*Inventory_Table[[#This Row],[Unit_Price]]</f>
        <v>355</v>
      </c>
      <c r="T660" t="str">
        <f>IF(Inventory_Table[[#This Row],[Stock_Quantity]]&lt;=Inventory_Table[[#This Row],[Reorder_Level]],"REORDER","OK")</f>
        <v>REORDER</v>
      </c>
      <c r="U660" t="s">
        <v>3837</v>
      </c>
      <c r="V660" s="14">
        <f ca="1">TODAY()-Inventory_Table[[#This Row],[Last_Order_Date]]</f>
        <v>675</v>
      </c>
    </row>
    <row r="661" spans="1:22" x14ac:dyDescent="0.35">
      <c r="A661" t="s">
        <v>106</v>
      </c>
      <c r="B661" t="s">
        <v>18</v>
      </c>
      <c r="C661" t="s">
        <v>115</v>
      </c>
      <c r="D661" t="s">
        <v>2738</v>
      </c>
      <c r="E661" t="s">
        <v>21</v>
      </c>
      <c r="F661" t="s">
        <v>2739</v>
      </c>
      <c r="G661" t="s">
        <v>2740</v>
      </c>
      <c r="H661" s="1">
        <v>46101</v>
      </c>
      <c r="I661" s="6">
        <v>45654</v>
      </c>
      <c r="J661" s="6">
        <v>46420</v>
      </c>
      <c r="K661">
        <v>85</v>
      </c>
      <c r="L661">
        <v>45</v>
      </c>
      <c r="M661">
        <v>71</v>
      </c>
      <c r="N661" s="8">
        <v>3</v>
      </c>
      <c r="O661">
        <v>95</v>
      </c>
      <c r="P661">
        <v>72</v>
      </c>
      <c r="Q661" s="3">
        <v>0.63</v>
      </c>
      <c r="R661">
        <f>Inventory_Table[[#This Row],[Stock_Quantity]]*Inventory_Table[[#This Row],[Unit_Price]]</f>
        <v>255</v>
      </c>
      <c r="S661">
        <f>Inventory_Table[[#This Row],[Sales_Volume]]*Inventory_Table[[#This Row],[Unit_Price]]</f>
        <v>285</v>
      </c>
      <c r="T661" t="str">
        <f>IF(Inventory_Table[[#This Row],[Stock_Quantity]]&lt;=Inventory_Table[[#This Row],[Reorder_Level]],"REORDER","OK")</f>
        <v>OK</v>
      </c>
      <c r="U661" t="s">
        <v>3836</v>
      </c>
      <c r="V661" s="14">
        <f ca="1">TODAY()-Inventory_Table[[#This Row],[Last_Order_Date]]</f>
        <v>522</v>
      </c>
    </row>
    <row r="662" spans="1:22" x14ac:dyDescent="0.35">
      <c r="A662" t="s">
        <v>1201</v>
      </c>
      <c r="B662" t="s">
        <v>18</v>
      </c>
      <c r="C662" t="s">
        <v>1432</v>
      </c>
      <c r="D662" t="s">
        <v>2741</v>
      </c>
      <c r="E662" t="s">
        <v>21</v>
      </c>
      <c r="F662" t="s">
        <v>2742</v>
      </c>
      <c r="G662" t="s">
        <v>2743</v>
      </c>
      <c r="H662" s="1">
        <v>46101</v>
      </c>
      <c r="I662" s="6">
        <v>45671</v>
      </c>
      <c r="J662" s="6">
        <v>46123</v>
      </c>
      <c r="K662">
        <v>30</v>
      </c>
      <c r="L662">
        <v>59</v>
      </c>
      <c r="M662">
        <v>76</v>
      </c>
      <c r="N662" s="8">
        <v>4</v>
      </c>
      <c r="O662">
        <v>61</v>
      </c>
      <c r="P662">
        <v>3</v>
      </c>
      <c r="Q662" s="3">
        <v>0.24</v>
      </c>
      <c r="R662">
        <f>Inventory_Table[[#This Row],[Stock_Quantity]]*Inventory_Table[[#This Row],[Unit_Price]]</f>
        <v>120</v>
      </c>
      <c r="S662">
        <f>Inventory_Table[[#This Row],[Sales_Volume]]*Inventory_Table[[#This Row],[Unit_Price]]</f>
        <v>244</v>
      </c>
      <c r="T662" t="str">
        <f>IF(Inventory_Table[[#This Row],[Stock_Quantity]]&lt;=Inventory_Table[[#This Row],[Reorder_Level]],"REORDER","OK")</f>
        <v>REORDER</v>
      </c>
      <c r="U662" t="s">
        <v>3838</v>
      </c>
      <c r="V662" s="14">
        <f ca="1">TODAY()-Inventory_Table[[#This Row],[Last_Order_Date]]</f>
        <v>505</v>
      </c>
    </row>
    <row r="663" spans="1:22" x14ac:dyDescent="0.35">
      <c r="A663" t="s">
        <v>872</v>
      </c>
      <c r="B663" t="s">
        <v>18</v>
      </c>
      <c r="C663" t="s">
        <v>1829</v>
      </c>
      <c r="D663" t="s">
        <v>2744</v>
      </c>
      <c r="E663" t="s">
        <v>30</v>
      </c>
      <c r="F663" t="s">
        <v>2745</v>
      </c>
      <c r="G663" t="s">
        <v>2746</v>
      </c>
      <c r="H663" s="1">
        <v>46101</v>
      </c>
      <c r="I663" s="6">
        <v>45645</v>
      </c>
      <c r="J663" s="6">
        <v>46192</v>
      </c>
      <c r="K663">
        <v>23</v>
      </c>
      <c r="L663">
        <v>6</v>
      </c>
      <c r="M663">
        <v>40</v>
      </c>
      <c r="N663" s="8">
        <v>2.5</v>
      </c>
      <c r="O663">
        <v>95</v>
      </c>
      <c r="P663">
        <v>24</v>
      </c>
      <c r="Q663" s="3">
        <v>0.95</v>
      </c>
      <c r="R663">
        <f>Inventory_Table[[#This Row],[Stock_Quantity]]*Inventory_Table[[#This Row],[Unit_Price]]</f>
        <v>57.5</v>
      </c>
      <c r="S663">
        <f>Inventory_Table[[#This Row],[Sales_Volume]]*Inventory_Table[[#This Row],[Unit_Price]]</f>
        <v>237.5</v>
      </c>
      <c r="T663" t="str">
        <f>IF(Inventory_Table[[#This Row],[Stock_Quantity]]&lt;=Inventory_Table[[#This Row],[Reorder_Level]],"REORDER","OK")</f>
        <v>OK</v>
      </c>
      <c r="U663" t="s">
        <v>3837</v>
      </c>
      <c r="V663" s="14">
        <f ca="1">TODAY()-Inventory_Table[[#This Row],[Last_Order_Date]]</f>
        <v>531</v>
      </c>
    </row>
    <row r="664" spans="1:22" x14ac:dyDescent="0.35">
      <c r="A664" t="s">
        <v>148</v>
      </c>
      <c r="B664" t="s">
        <v>18</v>
      </c>
      <c r="C664" t="s">
        <v>2645</v>
      </c>
      <c r="D664" t="s">
        <v>2747</v>
      </c>
      <c r="E664" t="s">
        <v>30</v>
      </c>
      <c r="F664" t="s">
        <v>2748</v>
      </c>
      <c r="G664" t="s">
        <v>2749</v>
      </c>
      <c r="H664" s="1">
        <v>46102</v>
      </c>
      <c r="I664" s="6">
        <v>45549</v>
      </c>
      <c r="J664" s="6">
        <v>46173</v>
      </c>
      <c r="K664">
        <v>17</v>
      </c>
      <c r="L664">
        <v>3</v>
      </c>
      <c r="M664">
        <v>33</v>
      </c>
      <c r="N664" s="8">
        <v>3</v>
      </c>
      <c r="O664">
        <v>49</v>
      </c>
      <c r="P664">
        <v>17</v>
      </c>
      <c r="Q664" s="3">
        <v>0.75</v>
      </c>
      <c r="R664">
        <f>Inventory_Table[[#This Row],[Stock_Quantity]]*Inventory_Table[[#This Row],[Unit_Price]]</f>
        <v>51</v>
      </c>
      <c r="S664">
        <f>Inventory_Table[[#This Row],[Sales_Volume]]*Inventory_Table[[#This Row],[Unit_Price]]</f>
        <v>147</v>
      </c>
      <c r="T664" t="str">
        <f>IF(Inventory_Table[[#This Row],[Stock_Quantity]]&lt;=Inventory_Table[[#This Row],[Reorder_Level]],"REORDER","OK")</f>
        <v>OK</v>
      </c>
      <c r="U664" t="s">
        <v>3837</v>
      </c>
      <c r="V664" s="14">
        <f ca="1">TODAY()-Inventory_Table[[#This Row],[Last_Order_Date]]</f>
        <v>627</v>
      </c>
    </row>
    <row r="665" spans="1:22" x14ac:dyDescent="0.35">
      <c r="A665" t="s">
        <v>1415</v>
      </c>
      <c r="B665" t="s">
        <v>114</v>
      </c>
      <c r="C665" t="s">
        <v>178</v>
      </c>
      <c r="D665" t="s">
        <v>2751</v>
      </c>
      <c r="E665" t="s">
        <v>30</v>
      </c>
      <c r="F665" t="s">
        <v>2752</v>
      </c>
      <c r="G665" t="s">
        <v>2753</v>
      </c>
      <c r="H665" s="1">
        <v>46102</v>
      </c>
      <c r="I665" s="6">
        <v>45351</v>
      </c>
      <c r="J665" s="6">
        <v>46195</v>
      </c>
      <c r="K665">
        <v>61</v>
      </c>
      <c r="L665">
        <v>77</v>
      </c>
      <c r="M665">
        <v>45</v>
      </c>
      <c r="N665" s="8">
        <v>2.5</v>
      </c>
      <c r="O665">
        <v>51</v>
      </c>
      <c r="P665">
        <v>48</v>
      </c>
      <c r="Q665" s="3">
        <v>0.65</v>
      </c>
      <c r="R665">
        <f>Inventory_Table[[#This Row],[Stock_Quantity]]*Inventory_Table[[#This Row],[Unit_Price]]</f>
        <v>152.5</v>
      </c>
      <c r="S665">
        <f>Inventory_Table[[#This Row],[Sales_Volume]]*Inventory_Table[[#This Row],[Unit_Price]]</f>
        <v>127.5</v>
      </c>
      <c r="T665" t="str">
        <f>IF(Inventory_Table[[#This Row],[Stock_Quantity]]&lt;=Inventory_Table[[#This Row],[Reorder_Level]],"REORDER","OK")</f>
        <v>REORDER</v>
      </c>
      <c r="U665" t="s">
        <v>3837</v>
      </c>
      <c r="V665" s="14">
        <f ca="1">TODAY()-Inventory_Table[[#This Row],[Last_Order_Date]]</f>
        <v>825</v>
      </c>
    </row>
    <row r="666" spans="1:22" x14ac:dyDescent="0.35">
      <c r="A666" t="s">
        <v>113</v>
      </c>
      <c r="B666" t="s">
        <v>114</v>
      </c>
      <c r="C666" t="s">
        <v>76</v>
      </c>
      <c r="D666" t="s">
        <v>2754</v>
      </c>
      <c r="E666" t="s">
        <v>30</v>
      </c>
      <c r="F666" t="s">
        <v>2755</v>
      </c>
      <c r="G666" t="s">
        <v>2756</v>
      </c>
      <c r="H666" s="1">
        <v>46102</v>
      </c>
      <c r="I666" s="6">
        <v>45401</v>
      </c>
      <c r="J666" s="6">
        <v>46290</v>
      </c>
      <c r="K666">
        <v>29</v>
      </c>
      <c r="L666">
        <v>2</v>
      </c>
      <c r="M666">
        <v>84</v>
      </c>
      <c r="N666" s="8">
        <v>4</v>
      </c>
      <c r="O666">
        <v>80</v>
      </c>
      <c r="P666">
        <v>85</v>
      </c>
      <c r="Q666" s="3">
        <v>0.06</v>
      </c>
      <c r="R666">
        <f>Inventory_Table[[#This Row],[Stock_Quantity]]*Inventory_Table[[#This Row],[Unit_Price]]</f>
        <v>116</v>
      </c>
      <c r="S666">
        <f>Inventory_Table[[#This Row],[Sales_Volume]]*Inventory_Table[[#This Row],[Unit_Price]]</f>
        <v>320</v>
      </c>
      <c r="T666" t="str">
        <f>IF(Inventory_Table[[#This Row],[Stock_Quantity]]&lt;=Inventory_Table[[#This Row],[Reorder_Level]],"REORDER","OK")</f>
        <v>OK</v>
      </c>
      <c r="U666" t="s">
        <v>3836</v>
      </c>
      <c r="V666" s="14">
        <f ca="1">TODAY()-Inventory_Table[[#This Row],[Last_Order_Date]]</f>
        <v>775</v>
      </c>
    </row>
    <row r="667" spans="1:22" x14ac:dyDescent="0.35">
      <c r="A667" t="s">
        <v>690</v>
      </c>
      <c r="B667" t="s">
        <v>36</v>
      </c>
      <c r="C667" t="s">
        <v>1360</v>
      </c>
      <c r="D667" t="s">
        <v>2757</v>
      </c>
      <c r="E667" t="s">
        <v>30</v>
      </c>
      <c r="F667" t="s">
        <v>2758</v>
      </c>
      <c r="G667" t="s">
        <v>2759</v>
      </c>
      <c r="H667" s="1">
        <v>46103</v>
      </c>
      <c r="I667" s="6">
        <v>45558</v>
      </c>
      <c r="J667" s="6">
        <v>46097</v>
      </c>
      <c r="K667">
        <v>40</v>
      </c>
      <c r="L667">
        <v>22</v>
      </c>
      <c r="M667">
        <v>74</v>
      </c>
      <c r="N667" s="8">
        <v>2.4500000000000002</v>
      </c>
      <c r="O667">
        <v>76</v>
      </c>
      <c r="P667">
        <v>70</v>
      </c>
      <c r="Q667" s="3">
        <v>-0.06</v>
      </c>
      <c r="R667">
        <f>Inventory_Table[[#This Row],[Stock_Quantity]]*Inventory_Table[[#This Row],[Unit_Price]]</f>
        <v>98</v>
      </c>
      <c r="S667">
        <f>Inventory_Table[[#This Row],[Sales_Volume]]*Inventory_Table[[#This Row],[Unit_Price]]</f>
        <v>186.20000000000002</v>
      </c>
      <c r="T667" t="str">
        <f>IF(Inventory_Table[[#This Row],[Stock_Quantity]]&lt;=Inventory_Table[[#This Row],[Reorder_Level]],"REORDER","OK")</f>
        <v>OK</v>
      </c>
      <c r="U667" t="s">
        <v>3838</v>
      </c>
      <c r="V667" s="14">
        <f ca="1">TODAY()-Inventory_Table[[#This Row],[Last_Order_Date]]</f>
        <v>618</v>
      </c>
    </row>
    <row r="668" spans="1:22" x14ac:dyDescent="0.35">
      <c r="A668" t="s">
        <v>283</v>
      </c>
      <c r="B668" t="s">
        <v>163</v>
      </c>
      <c r="C668" t="s">
        <v>2760</v>
      </c>
      <c r="D668" t="s">
        <v>2761</v>
      </c>
      <c r="E668" t="s">
        <v>21</v>
      </c>
      <c r="F668" t="s">
        <v>2762</v>
      </c>
      <c r="G668" t="s">
        <v>2763</v>
      </c>
      <c r="H668" s="1">
        <v>46103</v>
      </c>
      <c r="I668" s="6">
        <v>45468</v>
      </c>
      <c r="J668" s="6">
        <v>46287</v>
      </c>
      <c r="K668">
        <v>20</v>
      </c>
      <c r="L668">
        <v>42</v>
      </c>
      <c r="M668">
        <v>45</v>
      </c>
      <c r="N668" s="8">
        <v>10</v>
      </c>
      <c r="O668">
        <v>72</v>
      </c>
      <c r="P668">
        <v>28</v>
      </c>
      <c r="Q668" s="3">
        <v>0.08</v>
      </c>
      <c r="R668">
        <f>Inventory_Table[[#This Row],[Stock_Quantity]]*Inventory_Table[[#This Row],[Unit_Price]]</f>
        <v>200</v>
      </c>
      <c r="S668">
        <f>Inventory_Table[[#This Row],[Sales_Volume]]*Inventory_Table[[#This Row],[Unit_Price]]</f>
        <v>720</v>
      </c>
      <c r="T668" t="str">
        <f>IF(Inventory_Table[[#This Row],[Stock_Quantity]]&lt;=Inventory_Table[[#This Row],[Reorder_Level]],"REORDER","OK")</f>
        <v>REORDER</v>
      </c>
      <c r="U668" t="s">
        <v>3836</v>
      </c>
      <c r="V668" s="14">
        <f ca="1">TODAY()-Inventory_Table[[#This Row],[Last_Order_Date]]</f>
        <v>708</v>
      </c>
    </row>
    <row r="669" spans="1:22" x14ac:dyDescent="0.35">
      <c r="A669" t="s">
        <v>1440</v>
      </c>
      <c r="B669" t="s">
        <v>18</v>
      </c>
      <c r="C669" t="s">
        <v>2764</v>
      </c>
      <c r="D669" t="s">
        <v>2765</v>
      </c>
      <c r="E669" t="s">
        <v>68</v>
      </c>
      <c r="F669" t="s">
        <v>2766</v>
      </c>
      <c r="G669" t="s">
        <v>2767</v>
      </c>
      <c r="H669" s="1">
        <v>46104</v>
      </c>
      <c r="I669" s="6">
        <v>45396</v>
      </c>
      <c r="J669" s="6">
        <v>46318</v>
      </c>
      <c r="K669">
        <v>51</v>
      </c>
      <c r="L669">
        <v>72</v>
      </c>
      <c r="M669">
        <v>85</v>
      </c>
      <c r="N669" s="8">
        <v>3</v>
      </c>
      <c r="O669">
        <v>23</v>
      </c>
      <c r="P669">
        <v>17</v>
      </c>
      <c r="Q669" s="3">
        <v>0.61</v>
      </c>
      <c r="R669">
        <f>Inventory_Table[[#This Row],[Stock_Quantity]]*Inventory_Table[[#This Row],[Unit_Price]]</f>
        <v>153</v>
      </c>
      <c r="S669">
        <f>Inventory_Table[[#This Row],[Sales_Volume]]*Inventory_Table[[#This Row],[Unit_Price]]</f>
        <v>69</v>
      </c>
      <c r="T669" t="str">
        <f>IF(Inventory_Table[[#This Row],[Stock_Quantity]]&lt;=Inventory_Table[[#This Row],[Reorder_Level]],"REORDER","OK")</f>
        <v>REORDER</v>
      </c>
      <c r="U669" t="s">
        <v>3836</v>
      </c>
      <c r="V669" s="14">
        <f ca="1">TODAY()-Inventory_Table[[#This Row],[Last_Order_Date]]</f>
        <v>780</v>
      </c>
    </row>
    <row r="670" spans="1:22" x14ac:dyDescent="0.35">
      <c r="A670" t="s">
        <v>43</v>
      </c>
      <c r="B670" t="s">
        <v>18</v>
      </c>
      <c r="C670" t="s">
        <v>2728</v>
      </c>
      <c r="D670" t="s">
        <v>2768</v>
      </c>
      <c r="E670" t="s">
        <v>68</v>
      </c>
      <c r="F670" t="s">
        <v>2769</v>
      </c>
      <c r="G670" t="s">
        <v>2770</v>
      </c>
      <c r="H670" s="1">
        <v>46105</v>
      </c>
      <c r="I670" s="6">
        <v>45481</v>
      </c>
      <c r="J670" s="6">
        <v>46321</v>
      </c>
      <c r="K670">
        <v>80</v>
      </c>
      <c r="L670">
        <v>91</v>
      </c>
      <c r="M670">
        <v>36</v>
      </c>
      <c r="N670" s="8">
        <v>1.5</v>
      </c>
      <c r="O670">
        <v>81</v>
      </c>
      <c r="P670">
        <v>74</v>
      </c>
      <c r="Q670" s="3">
        <v>0.26</v>
      </c>
      <c r="R670">
        <f>Inventory_Table[[#This Row],[Stock_Quantity]]*Inventory_Table[[#This Row],[Unit_Price]]</f>
        <v>120</v>
      </c>
      <c r="S670">
        <f>Inventory_Table[[#This Row],[Sales_Volume]]*Inventory_Table[[#This Row],[Unit_Price]]</f>
        <v>121.5</v>
      </c>
      <c r="T670" t="str">
        <f>IF(Inventory_Table[[#This Row],[Stock_Quantity]]&lt;=Inventory_Table[[#This Row],[Reorder_Level]],"REORDER","OK")</f>
        <v>REORDER</v>
      </c>
      <c r="U670" t="s">
        <v>3836</v>
      </c>
      <c r="V670" s="14">
        <f ca="1">TODAY()-Inventory_Table[[#This Row],[Last_Order_Date]]</f>
        <v>695</v>
      </c>
    </row>
    <row r="671" spans="1:22" x14ac:dyDescent="0.35">
      <c r="A671" t="s">
        <v>567</v>
      </c>
      <c r="B671" t="s">
        <v>65</v>
      </c>
      <c r="C671" t="s">
        <v>2771</v>
      </c>
      <c r="D671" t="s">
        <v>2772</v>
      </c>
      <c r="E671" t="s">
        <v>21</v>
      </c>
      <c r="F671" t="s">
        <v>2773</v>
      </c>
      <c r="G671" t="s">
        <v>2774</v>
      </c>
      <c r="H671" s="1">
        <v>46105</v>
      </c>
      <c r="I671" s="6">
        <v>45590</v>
      </c>
      <c r="J671" s="6">
        <v>46095</v>
      </c>
      <c r="K671">
        <v>85</v>
      </c>
      <c r="L671">
        <v>12</v>
      </c>
      <c r="M671">
        <v>94</v>
      </c>
      <c r="N671" s="8">
        <v>9.5</v>
      </c>
      <c r="O671">
        <v>26</v>
      </c>
      <c r="P671">
        <v>32</v>
      </c>
      <c r="Q671" s="3">
        <v>0.09</v>
      </c>
      <c r="R671">
        <f>Inventory_Table[[#This Row],[Stock_Quantity]]*Inventory_Table[[#This Row],[Unit_Price]]</f>
        <v>807.5</v>
      </c>
      <c r="S671">
        <f>Inventory_Table[[#This Row],[Sales_Volume]]*Inventory_Table[[#This Row],[Unit_Price]]</f>
        <v>247</v>
      </c>
      <c r="T671" t="str">
        <f>IF(Inventory_Table[[#This Row],[Stock_Quantity]]&lt;=Inventory_Table[[#This Row],[Reorder_Level]],"REORDER","OK")</f>
        <v>OK</v>
      </c>
      <c r="U671" t="s">
        <v>3838</v>
      </c>
      <c r="V671" s="14">
        <f ca="1">TODAY()-Inventory_Table[[#This Row],[Last_Order_Date]]</f>
        <v>586</v>
      </c>
    </row>
    <row r="672" spans="1:22" x14ac:dyDescent="0.35">
      <c r="A672" t="s">
        <v>1003</v>
      </c>
      <c r="B672" t="s">
        <v>18</v>
      </c>
      <c r="C672" t="s">
        <v>921</v>
      </c>
      <c r="D672" t="s">
        <v>2775</v>
      </c>
      <c r="E672" t="s">
        <v>21</v>
      </c>
      <c r="F672" t="s">
        <v>2776</v>
      </c>
      <c r="G672" t="s">
        <v>2777</v>
      </c>
      <c r="H672" s="1">
        <v>46105</v>
      </c>
      <c r="I672" s="6">
        <v>45570</v>
      </c>
      <c r="J672" s="6">
        <v>46126</v>
      </c>
      <c r="K672">
        <v>17</v>
      </c>
      <c r="L672">
        <v>14</v>
      </c>
      <c r="M672">
        <v>17</v>
      </c>
      <c r="N672" s="8">
        <v>3.5</v>
      </c>
      <c r="O672">
        <v>36</v>
      </c>
      <c r="P672">
        <v>64</v>
      </c>
      <c r="Q672" s="3">
        <v>-0.23</v>
      </c>
      <c r="R672">
        <f>Inventory_Table[[#This Row],[Stock_Quantity]]*Inventory_Table[[#This Row],[Unit_Price]]</f>
        <v>59.5</v>
      </c>
      <c r="S672">
        <f>Inventory_Table[[#This Row],[Sales_Volume]]*Inventory_Table[[#This Row],[Unit_Price]]</f>
        <v>126</v>
      </c>
      <c r="T672" t="str">
        <f>IF(Inventory_Table[[#This Row],[Stock_Quantity]]&lt;=Inventory_Table[[#This Row],[Reorder_Level]],"REORDER","OK")</f>
        <v>OK</v>
      </c>
      <c r="U672" t="s">
        <v>3838</v>
      </c>
      <c r="V672" s="14">
        <f ca="1">TODAY()-Inventory_Table[[#This Row],[Last_Order_Date]]</f>
        <v>606</v>
      </c>
    </row>
    <row r="673" spans="1:22" x14ac:dyDescent="0.35">
      <c r="A673" t="s">
        <v>418</v>
      </c>
      <c r="B673" t="s">
        <v>65</v>
      </c>
      <c r="C673" t="s">
        <v>2778</v>
      </c>
      <c r="D673" t="s">
        <v>2779</v>
      </c>
      <c r="E673" t="s">
        <v>68</v>
      </c>
      <c r="F673" t="s">
        <v>2780</v>
      </c>
      <c r="G673" t="s">
        <v>2781</v>
      </c>
      <c r="H673" s="1">
        <v>46106</v>
      </c>
      <c r="I673" s="6">
        <v>45674</v>
      </c>
      <c r="J673" s="6">
        <v>46172</v>
      </c>
      <c r="K673">
        <v>86</v>
      </c>
      <c r="L673">
        <v>100</v>
      </c>
      <c r="M673">
        <v>74</v>
      </c>
      <c r="N673" s="8">
        <v>6.1</v>
      </c>
      <c r="O673">
        <v>80</v>
      </c>
      <c r="P673">
        <v>94</v>
      </c>
      <c r="Q673" s="3">
        <v>-0.78</v>
      </c>
      <c r="R673">
        <f>Inventory_Table[[#This Row],[Stock_Quantity]]*Inventory_Table[[#This Row],[Unit_Price]]</f>
        <v>524.6</v>
      </c>
      <c r="S673">
        <f>Inventory_Table[[#This Row],[Sales_Volume]]*Inventory_Table[[#This Row],[Unit_Price]]</f>
        <v>488</v>
      </c>
      <c r="T673" t="str">
        <f>IF(Inventory_Table[[#This Row],[Stock_Quantity]]&lt;=Inventory_Table[[#This Row],[Reorder_Level]],"REORDER","OK")</f>
        <v>REORDER</v>
      </c>
      <c r="U673" t="s">
        <v>3838</v>
      </c>
      <c r="V673" s="14">
        <f ca="1">TODAY()-Inventory_Table[[#This Row],[Last_Order_Date]]</f>
        <v>502</v>
      </c>
    </row>
    <row r="674" spans="1:22" x14ac:dyDescent="0.35">
      <c r="A674" t="s">
        <v>154</v>
      </c>
      <c r="B674" t="s">
        <v>65</v>
      </c>
      <c r="C674" t="s">
        <v>1105</v>
      </c>
      <c r="D674" t="s">
        <v>2782</v>
      </c>
      <c r="E674" t="s">
        <v>30</v>
      </c>
      <c r="F674" t="s">
        <v>2783</v>
      </c>
      <c r="G674" t="s">
        <v>2784</v>
      </c>
      <c r="H674" s="1">
        <v>46106</v>
      </c>
      <c r="I674" s="6">
        <v>45480</v>
      </c>
      <c r="J674" s="6">
        <v>46314</v>
      </c>
      <c r="K674">
        <v>82</v>
      </c>
      <c r="L674">
        <v>67</v>
      </c>
      <c r="M674">
        <v>67</v>
      </c>
      <c r="N674" s="8">
        <v>2.75</v>
      </c>
      <c r="O674">
        <v>26</v>
      </c>
      <c r="P674">
        <v>1</v>
      </c>
      <c r="Q674" s="3">
        <v>-0.18</v>
      </c>
      <c r="R674">
        <f>Inventory_Table[[#This Row],[Stock_Quantity]]*Inventory_Table[[#This Row],[Unit_Price]]</f>
        <v>225.5</v>
      </c>
      <c r="S674">
        <f>Inventory_Table[[#This Row],[Sales_Volume]]*Inventory_Table[[#This Row],[Unit_Price]]</f>
        <v>71.5</v>
      </c>
      <c r="T674" t="str">
        <f>IF(Inventory_Table[[#This Row],[Stock_Quantity]]&lt;=Inventory_Table[[#This Row],[Reorder_Level]],"REORDER","OK")</f>
        <v>OK</v>
      </c>
      <c r="U674" t="s">
        <v>3836</v>
      </c>
      <c r="V674" s="14">
        <f ca="1">TODAY()-Inventory_Table[[#This Row],[Last_Order_Date]]</f>
        <v>696</v>
      </c>
    </row>
    <row r="675" spans="1:22" x14ac:dyDescent="0.35">
      <c r="A675" t="s">
        <v>1196</v>
      </c>
      <c r="B675" t="s">
        <v>75</v>
      </c>
      <c r="C675" t="s">
        <v>2471</v>
      </c>
      <c r="D675" t="s">
        <v>2785</v>
      </c>
      <c r="E675" t="s">
        <v>21</v>
      </c>
      <c r="F675" t="s">
        <v>2786</v>
      </c>
      <c r="G675" t="s">
        <v>2787</v>
      </c>
      <c r="H675" s="1">
        <v>46106</v>
      </c>
      <c r="I675" s="6">
        <v>45371</v>
      </c>
      <c r="J675" s="6">
        <v>46384</v>
      </c>
      <c r="K675">
        <v>78</v>
      </c>
      <c r="L675">
        <v>68</v>
      </c>
      <c r="M675">
        <v>86</v>
      </c>
      <c r="N675" s="8">
        <v>15</v>
      </c>
      <c r="O675">
        <v>47</v>
      </c>
      <c r="P675">
        <v>95</v>
      </c>
      <c r="Q675" s="3">
        <v>0.96</v>
      </c>
      <c r="R675">
        <f>Inventory_Table[[#This Row],[Stock_Quantity]]*Inventory_Table[[#This Row],[Unit_Price]]</f>
        <v>1170</v>
      </c>
      <c r="S675">
        <f>Inventory_Table[[#This Row],[Sales_Volume]]*Inventory_Table[[#This Row],[Unit_Price]]</f>
        <v>705</v>
      </c>
      <c r="T675" t="str">
        <f>IF(Inventory_Table[[#This Row],[Stock_Quantity]]&lt;=Inventory_Table[[#This Row],[Reorder_Level]],"REORDER","OK")</f>
        <v>OK</v>
      </c>
      <c r="U675" t="s">
        <v>3836</v>
      </c>
      <c r="V675" s="14">
        <f ca="1">TODAY()-Inventory_Table[[#This Row],[Last_Order_Date]]</f>
        <v>805</v>
      </c>
    </row>
    <row r="676" spans="1:22" x14ac:dyDescent="0.35">
      <c r="A676" t="s">
        <v>296</v>
      </c>
      <c r="B676" t="s">
        <v>27</v>
      </c>
      <c r="C676" t="s">
        <v>714</v>
      </c>
      <c r="D676" t="s">
        <v>2788</v>
      </c>
      <c r="E676" t="s">
        <v>30</v>
      </c>
      <c r="F676" t="s">
        <v>2789</v>
      </c>
      <c r="G676" t="s">
        <v>2790</v>
      </c>
      <c r="H676" s="1">
        <v>46107</v>
      </c>
      <c r="I676" s="6">
        <v>45395</v>
      </c>
      <c r="J676" s="6">
        <v>46166</v>
      </c>
      <c r="K676">
        <v>74</v>
      </c>
      <c r="L676">
        <v>4</v>
      </c>
      <c r="M676">
        <v>67</v>
      </c>
      <c r="N676" s="8">
        <v>1.8</v>
      </c>
      <c r="O676">
        <v>31</v>
      </c>
      <c r="P676">
        <v>34</v>
      </c>
      <c r="Q676" s="3">
        <v>-1.02</v>
      </c>
      <c r="R676">
        <f>Inventory_Table[[#This Row],[Stock_Quantity]]*Inventory_Table[[#This Row],[Unit_Price]]</f>
        <v>133.20000000000002</v>
      </c>
      <c r="S676">
        <f>Inventory_Table[[#This Row],[Sales_Volume]]*Inventory_Table[[#This Row],[Unit_Price]]</f>
        <v>55.800000000000004</v>
      </c>
      <c r="T676" t="str">
        <f>IF(Inventory_Table[[#This Row],[Stock_Quantity]]&lt;=Inventory_Table[[#This Row],[Reorder_Level]],"REORDER","OK")</f>
        <v>OK</v>
      </c>
      <c r="U676" t="s">
        <v>3838</v>
      </c>
      <c r="V676" s="14">
        <f ca="1">TODAY()-Inventory_Table[[#This Row],[Last_Order_Date]]</f>
        <v>781</v>
      </c>
    </row>
    <row r="677" spans="1:22" x14ac:dyDescent="0.35">
      <c r="A677" t="s">
        <v>527</v>
      </c>
      <c r="B677" t="s">
        <v>65</v>
      </c>
      <c r="C677" t="s">
        <v>723</v>
      </c>
      <c r="D677" t="s">
        <v>2791</v>
      </c>
      <c r="E677" t="s">
        <v>21</v>
      </c>
      <c r="F677" t="s">
        <v>2792</v>
      </c>
      <c r="G677" t="s">
        <v>2793</v>
      </c>
      <c r="H677" s="1">
        <v>46107</v>
      </c>
      <c r="I677" s="6">
        <v>45410</v>
      </c>
      <c r="J677" s="6">
        <v>46271</v>
      </c>
      <c r="K677">
        <v>18</v>
      </c>
      <c r="L677">
        <v>62</v>
      </c>
      <c r="M677">
        <v>2</v>
      </c>
      <c r="N677" s="8">
        <v>3</v>
      </c>
      <c r="O677">
        <v>61</v>
      </c>
      <c r="P677">
        <v>78</v>
      </c>
      <c r="Q677" s="3">
        <v>-0.1</v>
      </c>
      <c r="R677">
        <f>Inventory_Table[[#This Row],[Stock_Quantity]]*Inventory_Table[[#This Row],[Unit_Price]]</f>
        <v>54</v>
      </c>
      <c r="S677">
        <f>Inventory_Table[[#This Row],[Sales_Volume]]*Inventory_Table[[#This Row],[Unit_Price]]</f>
        <v>183</v>
      </c>
      <c r="T677" t="str">
        <f>IF(Inventory_Table[[#This Row],[Stock_Quantity]]&lt;=Inventory_Table[[#This Row],[Reorder_Level]],"REORDER","OK")</f>
        <v>REORDER</v>
      </c>
      <c r="U677" t="s">
        <v>3836</v>
      </c>
      <c r="V677" s="14">
        <f ca="1">TODAY()-Inventory_Table[[#This Row],[Last_Order_Date]]</f>
        <v>766</v>
      </c>
    </row>
    <row r="678" spans="1:22" x14ac:dyDescent="0.35">
      <c r="A678" t="s">
        <v>1527</v>
      </c>
      <c r="B678" t="s">
        <v>18</v>
      </c>
      <c r="C678" t="s">
        <v>770</v>
      </c>
      <c r="D678" t="s">
        <v>2794</v>
      </c>
      <c r="E678" t="s">
        <v>68</v>
      </c>
      <c r="F678" t="s">
        <v>2795</v>
      </c>
      <c r="G678" t="s">
        <v>2796</v>
      </c>
      <c r="H678" s="1">
        <v>46107</v>
      </c>
      <c r="I678" s="6">
        <v>45550</v>
      </c>
      <c r="J678" s="6">
        <v>46338</v>
      </c>
      <c r="K678">
        <v>59</v>
      </c>
      <c r="L678">
        <v>74</v>
      </c>
      <c r="M678">
        <v>100</v>
      </c>
      <c r="N678" s="8">
        <v>4.5</v>
      </c>
      <c r="O678">
        <v>63</v>
      </c>
      <c r="P678">
        <v>69</v>
      </c>
      <c r="Q678" s="3">
        <v>-0.28000000000000003</v>
      </c>
      <c r="R678">
        <f>Inventory_Table[[#This Row],[Stock_Quantity]]*Inventory_Table[[#This Row],[Unit_Price]]</f>
        <v>265.5</v>
      </c>
      <c r="S678">
        <f>Inventory_Table[[#This Row],[Sales_Volume]]*Inventory_Table[[#This Row],[Unit_Price]]</f>
        <v>283.5</v>
      </c>
      <c r="T678" t="str">
        <f>IF(Inventory_Table[[#This Row],[Stock_Quantity]]&lt;=Inventory_Table[[#This Row],[Reorder_Level]],"REORDER","OK")</f>
        <v>REORDER</v>
      </c>
      <c r="U678" t="s">
        <v>3836</v>
      </c>
      <c r="V678" s="14">
        <f ca="1">TODAY()-Inventory_Table[[#This Row],[Last_Order_Date]]</f>
        <v>626</v>
      </c>
    </row>
    <row r="679" spans="1:22" x14ac:dyDescent="0.35">
      <c r="A679" t="s">
        <v>685</v>
      </c>
      <c r="B679" t="s">
        <v>114</v>
      </c>
      <c r="C679" t="s">
        <v>1728</v>
      </c>
      <c r="D679" t="s">
        <v>2797</v>
      </c>
      <c r="E679" t="s">
        <v>21</v>
      </c>
      <c r="F679" t="s">
        <v>2798</v>
      </c>
      <c r="G679" t="s">
        <v>2799</v>
      </c>
      <c r="H679" s="1">
        <v>46107</v>
      </c>
      <c r="I679" s="6">
        <v>45620</v>
      </c>
      <c r="J679" s="6">
        <v>46181</v>
      </c>
      <c r="K679">
        <v>48</v>
      </c>
      <c r="L679">
        <v>2</v>
      </c>
      <c r="M679">
        <v>16</v>
      </c>
      <c r="N679" s="8">
        <v>2.8</v>
      </c>
      <c r="O679">
        <v>27</v>
      </c>
      <c r="P679">
        <v>1</v>
      </c>
      <c r="Q679" s="3">
        <v>-0.1</v>
      </c>
      <c r="R679">
        <f>Inventory_Table[[#This Row],[Stock_Quantity]]*Inventory_Table[[#This Row],[Unit_Price]]</f>
        <v>134.39999999999998</v>
      </c>
      <c r="S679">
        <f>Inventory_Table[[#This Row],[Sales_Volume]]*Inventory_Table[[#This Row],[Unit_Price]]</f>
        <v>75.599999999999994</v>
      </c>
      <c r="T679" t="str">
        <f>IF(Inventory_Table[[#This Row],[Stock_Quantity]]&lt;=Inventory_Table[[#This Row],[Reorder_Level]],"REORDER","OK")</f>
        <v>OK</v>
      </c>
      <c r="U679" t="s">
        <v>3837</v>
      </c>
      <c r="V679" s="14">
        <f ca="1">TODAY()-Inventory_Table[[#This Row],[Last_Order_Date]]</f>
        <v>556</v>
      </c>
    </row>
    <row r="680" spans="1:22" x14ac:dyDescent="0.35">
      <c r="A680" t="s">
        <v>50</v>
      </c>
      <c r="B680" t="s">
        <v>18</v>
      </c>
      <c r="C680" t="s">
        <v>2344</v>
      </c>
      <c r="D680" t="s">
        <v>2801</v>
      </c>
      <c r="E680" t="s">
        <v>21</v>
      </c>
      <c r="F680" t="s">
        <v>2802</v>
      </c>
      <c r="G680" t="s">
        <v>2803</v>
      </c>
      <c r="H680" s="1">
        <v>46108</v>
      </c>
      <c r="I680" s="6">
        <v>45528</v>
      </c>
      <c r="J680" s="6">
        <v>46153</v>
      </c>
      <c r="K680">
        <v>76</v>
      </c>
      <c r="L680">
        <v>97</v>
      </c>
      <c r="M680">
        <v>20</v>
      </c>
      <c r="N680" s="8">
        <v>7</v>
      </c>
      <c r="O680">
        <v>52</v>
      </c>
      <c r="P680">
        <v>82</v>
      </c>
      <c r="Q680" s="3">
        <v>0.96</v>
      </c>
      <c r="R680">
        <f>Inventory_Table[[#This Row],[Stock_Quantity]]*Inventory_Table[[#This Row],[Unit_Price]]</f>
        <v>532</v>
      </c>
      <c r="S680">
        <f>Inventory_Table[[#This Row],[Sales_Volume]]*Inventory_Table[[#This Row],[Unit_Price]]</f>
        <v>364</v>
      </c>
      <c r="T680" t="str">
        <f>IF(Inventory_Table[[#This Row],[Stock_Quantity]]&lt;=Inventory_Table[[#This Row],[Reorder_Level]],"REORDER","OK")</f>
        <v>REORDER</v>
      </c>
      <c r="U680" t="s">
        <v>3838</v>
      </c>
      <c r="V680" s="14">
        <f ca="1">TODAY()-Inventory_Table[[#This Row],[Last_Order_Date]]</f>
        <v>648</v>
      </c>
    </row>
    <row r="681" spans="1:22" x14ac:dyDescent="0.35">
      <c r="A681" t="s">
        <v>685</v>
      </c>
      <c r="B681" t="s">
        <v>114</v>
      </c>
      <c r="C681" t="s">
        <v>1995</v>
      </c>
      <c r="D681" t="s">
        <v>2804</v>
      </c>
      <c r="E681" t="s">
        <v>21</v>
      </c>
      <c r="F681" t="s">
        <v>2805</v>
      </c>
      <c r="G681" t="s">
        <v>2806</v>
      </c>
      <c r="H681" s="1">
        <v>46108</v>
      </c>
      <c r="I681" s="6">
        <v>45428</v>
      </c>
      <c r="J681" s="6">
        <v>46282</v>
      </c>
      <c r="K681">
        <v>50</v>
      </c>
      <c r="L681">
        <v>56</v>
      </c>
      <c r="M681">
        <v>63</v>
      </c>
      <c r="N681" s="8">
        <v>3</v>
      </c>
      <c r="O681">
        <v>70</v>
      </c>
      <c r="P681">
        <v>100</v>
      </c>
      <c r="Q681" s="3">
        <v>-0.57999999999999996</v>
      </c>
      <c r="R681">
        <f>Inventory_Table[[#This Row],[Stock_Quantity]]*Inventory_Table[[#This Row],[Unit_Price]]</f>
        <v>150</v>
      </c>
      <c r="S681">
        <f>Inventory_Table[[#This Row],[Sales_Volume]]*Inventory_Table[[#This Row],[Unit_Price]]</f>
        <v>210</v>
      </c>
      <c r="T681" t="str">
        <f>IF(Inventory_Table[[#This Row],[Stock_Quantity]]&lt;=Inventory_Table[[#This Row],[Reorder_Level]],"REORDER","OK")</f>
        <v>REORDER</v>
      </c>
      <c r="U681" t="s">
        <v>3836</v>
      </c>
      <c r="V681" s="14">
        <f ca="1">TODAY()-Inventory_Table[[#This Row],[Last_Order_Date]]</f>
        <v>748</v>
      </c>
    </row>
    <row r="682" spans="1:22" x14ac:dyDescent="0.35">
      <c r="A682" t="s">
        <v>162</v>
      </c>
      <c r="B682" t="s">
        <v>163</v>
      </c>
      <c r="C682" t="s">
        <v>799</v>
      </c>
      <c r="D682" t="s">
        <v>2807</v>
      </c>
      <c r="E682" t="s">
        <v>30</v>
      </c>
      <c r="F682" t="s">
        <v>2808</v>
      </c>
      <c r="G682" t="s">
        <v>2809</v>
      </c>
      <c r="H682" s="1">
        <v>46108</v>
      </c>
      <c r="I682" s="6">
        <v>45433</v>
      </c>
      <c r="J682" s="6">
        <v>46347</v>
      </c>
      <c r="K682">
        <v>23</v>
      </c>
      <c r="L682">
        <v>13</v>
      </c>
      <c r="M682">
        <v>15</v>
      </c>
      <c r="N682" s="8">
        <v>20</v>
      </c>
      <c r="O682">
        <v>31</v>
      </c>
      <c r="P682">
        <v>28</v>
      </c>
      <c r="Q682" s="3">
        <v>-0.43</v>
      </c>
      <c r="R682">
        <f>Inventory_Table[[#This Row],[Stock_Quantity]]*Inventory_Table[[#This Row],[Unit_Price]]</f>
        <v>460</v>
      </c>
      <c r="S682">
        <f>Inventory_Table[[#This Row],[Sales_Volume]]*Inventory_Table[[#This Row],[Unit_Price]]</f>
        <v>620</v>
      </c>
      <c r="T682" t="str">
        <f>IF(Inventory_Table[[#This Row],[Stock_Quantity]]&lt;=Inventory_Table[[#This Row],[Reorder_Level]],"REORDER","OK")</f>
        <v>OK</v>
      </c>
      <c r="U682" t="s">
        <v>3836</v>
      </c>
      <c r="V682" s="14">
        <f ca="1">TODAY()-Inventory_Table[[#This Row],[Last_Order_Date]]</f>
        <v>743</v>
      </c>
    </row>
    <row r="683" spans="1:22" x14ac:dyDescent="0.35">
      <c r="A683" t="s">
        <v>135</v>
      </c>
      <c r="B683" t="s">
        <v>36</v>
      </c>
      <c r="C683" t="s">
        <v>2535</v>
      </c>
      <c r="D683" t="s">
        <v>2810</v>
      </c>
      <c r="E683" t="s">
        <v>68</v>
      </c>
      <c r="F683" t="s">
        <v>2811</v>
      </c>
      <c r="G683" t="s">
        <v>2812</v>
      </c>
      <c r="H683" s="1">
        <v>46108</v>
      </c>
      <c r="I683" s="6">
        <v>45421</v>
      </c>
      <c r="J683" s="6">
        <v>46376</v>
      </c>
      <c r="K683">
        <v>86</v>
      </c>
      <c r="L683">
        <v>16</v>
      </c>
      <c r="M683">
        <v>37</v>
      </c>
      <c r="N683" s="8">
        <v>2.5</v>
      </c>
      <c r="O683">
        <v>34</v>
      </c>
      <c r="P683">
        <v>66</v>
      </c>
      <c r="Q683" s="3">
        <v>0.1</v>
      </c>
      <c r="R683">
        <f>Inventory_Table[[#This Row],[Stock_Quantity]]*Inventory_Table[[#This Row],[Unit_Price]]</f>
        <v>215</v>
      </c>
      <c r="S683">
        <f>Inventory_Table[[#This Row],[Sales_Volume]]*Inventory_Table[[#This Row],[Unit_Price]]</f>
        <v>85</v>
      </c>
      <c r="T683" t="str">
        <f>IF(Inventory_Table[[#This Row],[Stock_Quantity]]&lt;=Inventory_Table[[#This Row],[Reorder_Level]],"REORDER","OK")</f>
        <v>OK</v>
      </c>
      <c r="U683" t="s">
        <v>3836</v>
      </c>
      <c r="V683" s="14">
        <f ca="1">TODAY()-Inventory_Table[[#This Row],[Last_Order_Date]]</f>
        <v>755</v>
      </c>
    </row>
    <row r="684" spans="1:22" x14ac:dyDescent="0.35">
      <c r="A684" t="s">
        <v>916</v>
      </c>
      <c r="B684" t="s">
        <v>114</v>
      </c>
      <c r="C684" t="s">
        <v>2813</v>
      </c>
      <c r="D684" t="s">
        <v>2814</v>
      </c>
      <c r="E684" t="s">
        <v>21</v>
      </c>
      <c r="F684" t="s">
        <v>2815</v>
      </c>
      <c r="G684" t="s">
        <v>2816</v>
      </c>
      <c r="H684" s="1">
        <v>46108</v>
      </c>
      <c r="I684" s="6">
        <v>45468</v>
      </c>
      <c r="J684" s="6">
        <v>46302</v>
      </c>
      <c r="K684">
        <v>28</v>
      </c>
      <c r="L684">
        <v>62</v>
      </c>
      <c r="M684">
        <v>81</v>
      </c>
      <c r="N684" s="8">
        <v>5</v>
      </c>
      <c r="O684">
        <v>28</v>
      </c>
      <c r="P684">
        <v>30</v>
      </c>
      <c r="Q684" s="3">
        <v>-0.94</v>
      </c>
      <c r="R684">
        <f>Inventory_Table[[#This Row],[Stock_Quantity]]*Inventory_Table[[#This Row],[Unit_Price]]</f>
        <v>140</v>
      </c>
      <c r="S684">
        <f>Inventory_Table[[#This Row],[Sales_Volume]]*Inventory_Table[[#This Row],[Unit_Price]]</f>
        <v>140</v>
      </c>
      <c r="T684" t="str">
        <f>IF(Inventory_Table[[#This Row],[Stock_Quantity]]&lt;=Inventory_Table[[#This Row],[Reorder_Level]],"REORDER","OK")</f>
        <v>REORDER</v>
      </c>
      <c r="U684" t="s">
        <v>3836</v>
      </c>
      <c r="V684" s="14">
        <f ca="1">TODAY()-Inventory_Table[[#This Row],[Last_Order_Date]]</f>
        <v>708</v>
      </c>
    </row>
    <row r="685" spans="1:22" x14ac:dyDescent="0.35">
      <c r="A685" t="s">
        <v>212</v>
      </c>
      <c r="B685" t="s">
        <v>75</v>
      </c>
      <c r="C685" t="s">
        <v>2817</v>
      </c>
      <c r="D685" t="s">
        <v>2818</v>
      </c>
      <c r="E685" t="s">
        <v>30</v>
      </c>
      <c r="F685" t="s">
        <v>2819</v>
      </c>
      <c r="G685" t="s">
        <v>2820</v>
      </c>
      <c r="H685" s="1">
        <v>46109</v>
      </c>
      <c r="I685" s="6">
        <v>45658</v>
      </c>
      <c r="J685" s="6">
        <v>46145</v>
      </c>
      <c r="K685">
        <v>85</v>
      </c>
      <c r="L685">
        <v>92</v>
      </c>
      <c r="M685">
        <v>66</v>
      </c>
      <c r="N685" s="8">
        <v>6.7</v>
      </c>
      <c r="O685">
        <v>54</v>
      </c>
      <c r="P685">
        <v>85</v>
      </c>
      <c r="Q685" s="3">
        <v>-7.0000000000000007E-2</v>
      </c>
      <c r="R685">
        <f>Inventory_Table[[#This Row],[Stock_Quantity]]*Inventory_Table[[#This Row],[Unit_Price]]</f>
        <v>569.5</v>
      </c>
      <c r="S685">
        <f>Inventory_Table[[#This Row],[Sales_Volume]]*Inventory_Table[[#This Row],[Unit_Price]]</f>
        <v>361.8</v>
      </c>
      <c r="T685" t="str">
        <f>IF(Inventory_Table[[#This Row],[Stock_Quantity]]&lt;=Inventory_Table[[#This Row],[Reorder_Level]],"REORDER","OK")</f>
        <v>REORDER</v>
      </c>
      <c r="U685" t="s">
        <v>3838</v>
      </c>
      <c r="V685" s="14">
        <f ca="1">TODAY()-Inventory_Table[[#This Row],[Last_Order_Date]]</f>
        <v>518</v>
      </c>
    </row>
    <row r="686" spans="1:22" x14ac:dyDescent="0.35">
      <c r="A686" t="s">
        <v>1415</v>
      </c>
      <c r="B686" t="s">
        <v>114</v>
      </c>
      <c r="C686" t="s">
        <v>2822</v>
      </c>
      <c r="D686" t="s">
        <v>2823</v>
      </c>
      <c r="E686" t="s">
        <v>30</v>
      </c>
      <c r="F686" t="s">
        <v>2824</v>
      </c>
      <c r="G686" t="s">
        <v>2825</v>
      </c>
      <c r="H686" s="1">
        <v>46109</v>
      </c>
      <c r="I686" s="6">
        <v>45685</v>
      </c>
      <c r="J686" s="6">
        <v>46136</v>
      </c>
      <c r="K686">
        <v>42</v>
      </c>
      <c r="L686">
        <v>88</v>
      </c>
      <c r="M686">
        <v>95</v>
      </c>
      <c r="N686" s="8">
        <v>2.5</v>
      </c>
      <c r="O686">
        <v>67</v>
      </c>
      <c r="P686">
        <v>94</v>
      </c>
      <c r="Q686" s="3">
        <v>-0.56999999999999995</v>
      </c>
      <c r="R686">
        <f>Inventory_Table[[#This Row],[Stock_Quantity]]*Inventory_Table[[#This Row],[Unit_Price]]</f>
        <v>105</v>
      </c>
      <c r="S686">
        <f>Inventory_Table[[#This Row],[Sales_Volume]]*Inventory_Table[[#This Row],[Unit_Price]]</f>
        <v>167.5</v>
      </c>
      <c r="T686" t="str">
        <f>IF(Inventory_Table[[#This Row],[Stock_Quantity]]&lt;=Inventory_Table[[#This Row],[Reorder_Level]],"REORDER","OK")</f>
        <v>REORDER</v>
      </c>
      <c r="U686" t="s">
        <v>3838</v>
      </c>
      <c r="V686" s="14">
        <f ca="1">TODAY()-Inventory_Table[[#This Row],[Last_Order_Date]]</f>
        <v>491</v>
      </c>
    </row>
    <row r="687" spans="1:22" x14ac:dyDescent="0.35">
      <c r="A687" t="s">
        <v>1307</v>
      </c>
      <c r="B687" t="s">
        <v>163</v>
      </c>
      <c r="C687" t="s">
        <v>681</v>
      </c>
      <c r="D687" t="s">
        <v>2826</v>
      </c>
      <c r="E687" t="s">
        <v>68</v>
      </c>
      <c r="F687" t="s">
        <v>2827</v>
      </c>
      <c r="G687" t="s">
        <v>2828</v>
      </c>
      <c r="H687" s="1">
        <v>46110</v>
      </c>
      <c r="I687" s="6">
        <v>45461</v>
      </c>
      <c r="J687" s="6">
        <v>46343</v>
      </c>
      <c r="K687">
        <v>51</v>
      </c>
      <c r="L687">
        <v>1</v>
      </c>
      <c r="M687">
        <v>61</v>
      </c>
      <c r="N687" s="8">
        <v>7.6</v>
      </c>
      <c r="O687">
        <v>96</v>
      </c>
      <c r="P687">
        <v>26</v>
      </c>
      <c r="Q687" s="3">
        <v>-0.4</v>
      </c>
      <c r="R687">
        <f>Inventory_Table[[#This Row],[Stock_Quantity]]*Inventory_Table[[#This Row],[Unit_Price]]</f>
        <v>387.59999999999997</v>
      </c>
      <c r="S687">
        <f>Inventory_Table[[#This Row],[Sales_Volume]]*Inventory_Table[[#This Row],[Unit_Price]]</f>
        <v>729.59999999999991</v>
      </c>
      <c r="T687" t="str">
        <f>IF(Inventory_Table[[#This Row],[Stock_Quantity]]&lt;=Inventory_Table[[#This Row],[Reorder_Level]],"REORDER","OK")</f>
        <v>OK</v>
      </c>
      <c r="U687" t="s">
        <v>3836</v>
      </c>
      <c r="V687" s="14">
        <f ca="1">TODAY()-Inventory_Table[[#This Row],[Last_Order_Date]]</f>
        <v>715</v>
      </c>
    </row>
    <row r="688" spans="1:22" x14ac:dyDescent="0.35">
      <c r="A688" t="s">
        <v>326</v>
      </c>
      <c r="B688" t="s">
        <v>18</v>
      </c>
      <c r="C688" t="s">
        <v>2830</v>
      </c>
      <c r="D688" t="s">
        <v>2831</v>
      </c>
      <c r="E688" t="s">
        <v>21</v>
      </c>
      <c r="F688" t="s">
        <v>2832</v>
      </c>
      <c r="G688" t="s">
        <v>2833</v>
      </c>
      <c r="H688" s="1">
        <v>46110</v>
      </c>
      <c r="I688" s="6">
        <v>45693</v>
      </c>
      <c r="J688" s="6">
        <v>46225</v>
      </c>
      <c r="K688">
        <v>73</v>
      </c>
      <c r="L688">
        <v>83</v>
      </c>
      <c r="M688">
        <v>74</v>
      </c>
      <c r="N688" s="8">
        <v>5</v>
      </c>
      <c r="O688">
        <v>87</v>
      </c>
      <c r="P688">
        <v>10</v>
      </c>
      <c r="Q688" s="3">
        <v>0.73</v>
      </c>
      <c r="R688">
        <f>Inventory_Table[[#This Row],[Stock_Quantity]]*Inventory_Table[[#This Row],[Unit_Price]]</f>
        <v>365</v>
      </c>
      <c r="S688">
        <f>Inventory_Table[[#This Row],[Sales_Volume]]*Inventory_Table[[#This Row],[Unit_Price]]</f>
        <v>435</v>
      </c>
      <c r="T688" t="str">
        <f>IF(Inventory_Table[[#This Row],[Stock_Quantity]]&lt;=Inventory_Table[[#This Row],[Reorder_Level]],"REORDER","OK")</f>
        <v>REORDER</v>
      </c>
      <c r="U688" t="s">
        <v>3836</v>
      </c>
      <c r="V688" s="14">
        <f ca="1">TODAY()-Inventory_Table[[#This Row],[Last_Order_Date]]</f>
        <v>483</v>
      </c>
    </row>
    <row r="689" spans="1:22" x14ac:dyDescent="0.35">
      <c r="A689" t="s">
        <v>289</v>
      </c>
      <c r="B689" t="s">
        <v>114</v>
      </c>
      <c r="C689" t="s">
        <v>2834</v>
      </c>
      <c r="D689" t="s">
        <v>2835</v>
      </c>
      <c r="E689" t="s">
        <v>21</v>
      </c>
      <c r="F689" t="s">
        <v>2836</v>
      </c>
      <c r="G689" t="s">
        <v>2837</v>
      </c>
      <c r="H689" s="1">
        <v>46110</v>
      </c>
      <c r="I689" s="6">
        <v>45608</v>
      </c>
      <c r="J689" s="6">
        <v>46313</v>
      </c>
      <c r="K689">
        <v>53</v>
      </c>
      <c r="L689">
        <v>19</v>
      </c>
      <c r="M689">
        <v>94</v>
      </c>
      <c r="N689" s="8">
        <v>5</v>
      </c>
      <c r="O689">
        <v>82</v>
      </c>
      <c r="P689">
        <v>56</v>
      </c>
      <c r="Q689" s="3">
        <v>0.89</v>
      </c>
      <c r="R689">
        <f>Inventory_Table[[#This Row],[Stock_Quantity]]*Inventory_Table[[#This Row],[Unit_Price]]</f>
        <v>265</v>
      </c>
      <c r="S689">
        <f>Inventory_Table[[#This Row],[Sales_Volume]]*Inventory_Table[[#This Row],[Unit_Price]]</f>
        <v>410</v>
      </c>
      <c r="T689" t="str">
        <f>IF(Inventory_Table[[#This Row],[Stock_Quantity]]&lt;=Inventory_Table[[#This Row],[Reorder_Level]],"REORDER","OK")</f>
        <v>OK</v>
      </c>
      <c r="U689" t="s">
        <v>3836</v>
      </c>
      <c r="V689" s="14">
        <f ca="1">TODAY()-Inventory_Table[[#This Row],[Last_Order_Date]]</f>
        <v>568</v>
      </c>
    </row>
    <row r="690" spans="1:22" x14ac:dyDescent="0.35">
      <c r="A690" t="s">
        <v>1900</v>
      </c>
      <c r="B690" t="s">
        <v>75</v>
      </c>
      <c r="C690" t="s">
        <v>953</v>
      </c>
      <c r="D690" t="s">
        <v>2838</v>
      </c>
      <c r="E690" t="s">
        <v>30</v>
      </c>
      <c r="F690" t="s">
        <v>2839</v>
      </c>
      <c r="G690" t="s">
        <v>2840</v>
      </c>
      <c r="H690" s="1">
        <v>46111</v>
      </c>
      <c r="I690" s="6">
        <v>45367</v>
      </c>
      <c r="J690" s="6">
        <v>46433</v>
      </c>
      <c r="K690">
        <v>82</v>
      </c>
      <c r="L690">
        <v>25</v>
      </c>
      <c r="M690">
        <v>94</v>
      </c>
      <c r="N690" s="8">
        <v>7.5</v>
      </c>
      <c r="O690">
        <v>66</v>
      </c>
      <c r="P690">
        <v>14</v>
      </c>
      <c r="Q690" s="3">
        <v>0.32</v>
      </c>
      <c r="R690">
        <f>Inventory_Table[[#This Row],[Stock_Quantity]]*Inventory_Table[[#This Row],[Unit_Price]]</f>
        <v>615</v>
      </c>
      <c r="S690">
        <f>Inventory_Table[[#This Row],[Sales_Volume]]*Inventory_Table[[#This Row],[Unit_Price]]</f>
        <v>495</v>
      </c>
      <c r="T690" t="str">
        <f>IF(Inventory_Table[[#This Row],[Stock_Quantity]]&lt;=Inventory_Table[[#This Row],[Reorder_Level]],"REORDER","OK")</f>
        <v>OK</v>
      </c>
      <c r="U690" t="s">
        <v>3836</v>
      </c>
      <c r="V690" s="14">
        <f ca="1">TODAY()-Inventory_Table[[#This Row],[Last_Order_Date]]</f>
        <v>809</v>
      </c>
    </row>
    <row r="691" spans="1:22" x14ac:dyDescent="0.35">
      <c r="A691" t="s">
        <v>496</v>
      </c>
      <c r="B691" t="s">
        <v>18</v>
      </c>
      <c r="C691" t="s">
        <v>2545</v>
      </c>
      <c r="D691" t="s">
        <v>2841</v>
      </c>
      <c r="E691" t="s">
        <v>68</v>
      </c>
      <c r="F691" t="s">
        <v>2842</v>
      </c>
      <c r="G691" t="s">
        <v>2843</v>
      </c>
      <c r="H691" s="1">
        <v>46111</v>
      </c>
      <c r="I691" s="6">
        <v>45529</v>
      </c>
      <c r="J691" s="6">
        <v>46427</v>
      </c>
      <c r="K691">
        <v>98</v>
      </c>
      <c r="L691">
        <v>62</v>
      </c>
      <c r="M691">
        <v>97</v>
      </c>
      <c r="N691" s="8">
        <v>5.5</v>
      </c>
      <c r="O691">
        <v>59</v>
      </c>
      <c r="P691">
        <v>19</v>
      </c>
      <c r="Q691" s="3">
        <v>0.79</v>
      </c>
      <c r="R691">
        <f>Inventory_Table[[#This Row],[Stock_Quantity]]*Inventory_Table[[#This Row],[Unit_Price]]</f>
        <v>539</v>
      </c>
      <c r="S691">
        <f>Inventory_Table[[#This Row],[Sales_Volume]]*Inventory_Table[[#This Row],[Unit_Price]]</f>
        <v>324.5</v>
      </c>
      <c r="T691" t="str">
        <f>IF(Inventory_Table[[#This Row],[Stock_Quantity]]&lt;=Inventory_Table[[#This Row],[Reorder_Level]],"REORDER","OK")</f>
        <v>OK</v>
      </c>
      <c r="U691" t="s">
        <v>3836</v>
      </c>
      <c r="V691" s="14">
        <f ca="1">TODAY()-Inventory_Table[[#This Row],[Last_Order_Date]]</f>
        <v>647</v>
      </c>
    </row>
    <row r="692" spans="1:22" x14ac:dyDescent="0.35">
      <c r="A692" t="s">
        <v>549</v>
      </c>
      <c r="B692" t="s">
        <v>18</v>
      </c>
      <c r="C692" t="s">
        <v>2844</v>
      </c>
      <c r="D692" t="s">
        <v>2845</v>
      </c>
      <c r="E692" t="s">
        <v>68</v>
      </c>
      <c r="F692" t="s">
        <v>2846</v>
      </c>
      <c r="G692" t="s">
        <v>2847</v>
      </c>
      <c r="H692" s="1">
        <v>46111</v>
      </c>
      <c r="I692" s="6">
        <v>45491</v>
      </c>
      <c r="J692" s="6">
        <v>46407</v>
      </c>
      <c r="K692">
        <v>39</v>
      </c>
      <c r="L692">
        <v>19</v>
      </c>
      <c r="M692">
        <v>18</v>
      </c>
      <c r="N692" s="8">
        <v>13.99</v>
      </c>
      <c r="O692">
        <v>58</v>
      </c>
      <c r="P692">
        <v>90</v>
      </c>
      <c r="Q692" s="3">
        <v>0.68</v>
      </c>
      <c r="R692">
        <f>Inventory_Table[[#This Row],[Stock_Quantity]]*Inventory_Table[[#This Row],[Unit_Price]]</f>
        <v>545.61</v>
      </c>
      <c r="S692">
        <f>Inventory_Table[[#This Row],[Sales_Volume]]*Inventory_Table[[#This Row],[Unit_Price]]</f>
        <v>811.42</v>
      </c>
      <c r="T692" t="str">
        <f>IF(Inventory_Table[[#This Row],[Stock_Quantity]]&lt;=Inventory_Table[[#This Row],[Reorder_Level]],"REORDER","OK")</f>
        <v>OK</v>
      </c>
      <c r="U692" t="s">
        <v>3836</v>
      </c>
      <c r="V692" s="14">
        <f ca="1">TODAY()-Inventory_Table[[#This Row],[Last_Order_Date]]</f>
        <v>685</v>
      </c>
    </row>
    <row r="693" spans="1:22" x14ac:dyDescent="0.35">
      <c r="A693" t="s">
        <v>200</v>
      </c>
      <c r="B693" t="s">
        <v>163</v>
      </c>
      <c r="C693" t="s">
        <v>84</v>
      </c>
      <c r="D693" t="s">
        <v>2849</v>
      </c>
      <c r="E693" t="s">
        <v>30</v>
      </c>
      <c r="F693" t="s">
        <v>2850</v>
      </c>
      <c r="G693" t="s">
        <v>2851</v>
      </c>
      <c r="H693" s="1">
        <v>46112</v>
      </c>
      <c r="I693" s="6">
        <v>45690</v>
      </c>
      <c r="J693" s="6">
        <v>46121</v>
      </c>
      <c r="K693">
        <v>43</v>
      </c>
      <c r="L693">
        <v>38</v>
      </c>
      <c r="M693">
        <v>63</v>
      </c>
      <c r="N693" s="8">
        <v>12</v>
      </c>
      <c r="O693">
        <v>88</v>
      </c>
      <c r="P693">
        <v>65</v>
      </c>
      <c r="Q693" s="3">
        <v>-0.55000000000000004</v>
      </c>
      <c r="R693">
        <f>Inventory_Table[[#This Row],[Stock_Quantity]]*Inventory_Table[[#This Row],[Unit_Price]]</f>
        <v>516</v>
      </c>
      <c r="S693">
        <f>Inventory_Table[[#This Row],[Sales_Volume]]*Inventory_Table[[#This Row],[Unit_Price]]</f>
        <v>1056</v>
      </c>
      <c r="T693" t="str">
        <f>IF(Inventory_Table[[#This Row],[Stock_Quantity]]&lt;=Inventory_Table[[#This Row],[Reorder_Level]],"REORDER","OK")</f>
        <v>OK</v>
      </c>
      <c r="U693" t="s">
        <v>3838</v>
      </c>
      <c r="V693" s="14">
        <f ca="1">TODAY()-Inventory_Table[[#This Row],[Last_Order_Date]]</f>
        <v>486</v>
      </c>
    </row>
    <row r="694" spans="1:22" x14ac:dyDescent="0.35">
      <c r="A694" t="s">
        <v>1440</v>
      </c>
      <c r="B694" t="s">
        <v>18</v>
      </c>
      <c r="C694" t="s">
        <v>171</v>
      </c>
      <c r="D694" t="s">
        <v>2852</v>
      </c>
      <c r="E694" t="s">
        <v>30</v>
      </c>
      <c r="F694" t="s">
        <v>2853</v>
      </c>
      <c r="G694" t="s">
        <v>2854</v>
      </c>
      <c r="H694" s="1">
        <v>46112</v>
      </c>
      <c r="I694" s="6">
        <v>45538</v>
      </c>
      <c r="J694" s="6">
        <v>46091</v>
      </c>
      <c r="K694">
        <v>90</v>
      </c>
      <c r="L694">
        <v>17</v>
      </c>
      <c r="M694">
        <v>17</v>
      </c>
      <c r="N694" s="8">
        <v>3</v>
      </c>
      <c r="O694">
        <v>82</v>
      </c>
      <c r="P694">
        <v>84</v>
      </c>
      <c r="Q694" s="3">
        <v>0.26</v>
      </c>
      <c r="R694">
        <f>Inventory_Table[[#This Row],[Stock_Quantity]]*Inventory_Table[[#This Row],[Unit_Price]]</f>
        <v>270</v>
      </c>
      <c r="S694">
        <f>Inventory_Table[[#This Row],[Sales_Volume]]*Inventory_Table[[#This Row],[Unit_Price]]</f>
        <v>246</v>
      </c>
      <c r="T694" t="str">
        <f>IF(Inventory_Table[[#This Row],[Stock_Quantity]]&lt;=Inventory_Table[[#This Row],[Reorder_Level]],"REORDER","OK")</f>
        <v>OK</v>
      </c>
      <c r="U694" t="s">
        <v>3838</v>
      </c>
      <c r="V694" s="14">
        <f ca="1">TODAY()-Inventory_Table[[#This Row],[Last_Order_Date]]</f>
        <v>638</v>
      </c>
    </row>
    <row r="695" spans="1:22" x14ac:dyDescent="0.35">
      <c r="A695" t="s">
        <v>1371</v>
      </c>
      <c r="B695" t="s">
        <v>36</v>
      </c>
      <c r="C695" t="s">
        <v>2855</v>
      </c>
      <c r="D695" t="s">
        <v>2856</v>
      </c>
      <c r="E695" t="s">
        <v>30</v>
      </c>
      <c r="F695" t="s">
        <v>2857</v>
      </c>
      <c r="G695" t="s">
        <v>2858</v>
      </c>
      <c r="H695" s="1">
        <v>46112</v>
      </c>
      <c r="I695" s="6">
        <v>45591</v>
      </c>
      <c r="J695" s="6">
        <v>46282</v>
      </c>
      <c r="K695">
        <v>70</v>
      </c>
      <c r="L695">
        <v>29</v>
      </c>
      <c r="M695">
        <v>24</v>
      </c>
      <c r="N695" s="8">
        <v>0.2</v>
      </c>
      <c r="O695">
        <v>62</v>
      </c>
      <c r="P695">
        <v>55</v>
      </c>
      <c r="Q695" s="3">
        <v>-0.02</v>
      </c>
      <c r="R695">
        <f>Inventory_Table[[#This Row],[Stock_Quantity]]*Inventory_Table[[#This Row],[Unit_Price]]</f>
        <v>14</v>
      </c>
      <c r="S695">
        <f>Inventory_Table[[#This Row],[Sales_Volume]]*Inventory_Table[[#This Row],[Unit_Price]]</f>
        <v>12.4</v>
      </c>
      <c r="T695" t="str">
        <f>IF(Inventory_Table[[#This Row],[Stock_Quantity]]&lt;=Inventory_Table[[#This Row],[Reorder_Level]],"REORDER","OK")</f>
        <v>OK</v>
      </c>
      <c r="U695" t="s">
        <v>3836</v>
      </c>
      <c r="V695" s="14">
        <f ca="1">TODAY()-Inventory_Table[[#This Row],[Last_Order_Date]]</f>
        <v>585</v>
      </c>
    </row>
    <row r="696" spans="1:22" x14ac:dyDescent="0.35">
      <c r="A696" t="s">
        <v>64</v>
      </c>
      <c r="B696" t="s">
        <v>65</v>
      </c>
      <c r="C696" t="s">
        <v>846</v>
      </c>
      <c r="D696" t="s">
        <v>2859</v>
      </c>
      <c r="E696" t="s">
        <v>68</v>
      </c>
      <c r="F696" t="s">
        <v>2860</v>
      </c>
      <c r="G696" t="s">
        <v>2861</v>
      </c>
      <c r="H696" s="1">
        <v>46112</v>
      </c>
      <c r="I696" s="6">
        <v>45647</v>
      </c>
      <c r="J696" s="6">
        <v>46342</v>
      </c>
      <c r="K696">
        <v>91</v>
      </c>
      <c r="L696">
        <v>39</v>
      </c>
      <c r="M696">
        <v>48</v>
      </c>
      <c r="N696" s="8">
        <v>5</v>
      </c>
      <c r="O696">
        <v>48</v>
      </c>
      <c r="P696">
        <v>18</v>
      </c>
      <c r="Q696" s="3">
        <v>0.11</v>
      </c>
      <c r="R696">
        <f>Inventory_Table[[#This Row],[Stock_Quantity]]*Inventory_Table[[#This Row],[Unit_Price]]</f>
        <v>455</v>
      </c>
      <c r="S696">
        <f>Inventory_Table[[#This Row],[Sales_Volume]]*Inventory_Table[[#This Row],[Unit_Price]]</f>
        <v>240</v>
      </c>
      <c r="T696" t="str">
        <f>IF(Inventory_Table[[#This Row],[Stock_Quantity]]&lt;=Inventory_Table[[#This Row],[Reorder_Level]],"REORDER","OK")</f>
        <v>OK</v>
      </c>
      <c r="U696" t="s">
        <v>3836</v>
      </c>
      <c r="V696" s="14">
        <f ca="1">TODAY()-Inventory_Table[[#This Row],[Last_Order_Date]]</f>
        <v>529</v>
      </c>
    </row>
    <row r="697" spans="1:22" x14ac:dyDescent="0.35">
      <c r="A697" t="s">
        <v>1603</v>
      </c>
      <c r="B697" t="s">
        <v>36</v>
      </c>
      <c r="C697" t="s">
        <v>2862</v>
      </c>
      <c r="D697" t="s">
        <v>2863</v>
      </c>
      <c r="E697" t="s">
        <v>21</v>
      </c>
      <c r="F697" t="s">
        <v>2864</v>
      </c>
      <c r="G697" t="s">
        <v>2865</v>
      </c>
      <c r="H697" s="1">
        <v>46125</v>
      </c>
      <c r="I697" s="6">
        <v>45460</v>
      </c>
      <c r="J697" s="6">
        <v>46349</v>
      </c>
      <c r="K697">
        <v>36</v>
      </c>
      <c r="L697">
        <v>75</v>
      </c>
      <c r="M697">
        <v>35</v>
      </c>
      <c r="N697" s="8">
        <v>2.9</v>
      </c>
      <c r="O697">
        <v>26</v>
      </c>
      <c r="P697">
        <v>41</v>
      </c>
      <c r="Q697" s="3">
        <v>0.63</v>
      </c>
      <c r="R697">
        <f>Inventory_Table[[#This Row],[Stock_Quantity]]*Inventory_Table[[#This Row],[Unit_Price]]</f>
        <v>104.39999999999999</v>
      </c>
      <c r="S697">
        <f>Inventory_Table[[#This Row],[Sales_Volume]]*Inventory_Table[[#This Row],[Unit_Price]]</f>
        <v>75.399999999999991</v>
      </c>
      <c r="T697" t="str">
        <f>IF(Inventory_Table[[#This Row],[Stock_Quantity]]&lt;=Inventory_Table[[#This Row],[Reorder_Level]],"REORDER","OK")</f>
        <v>REORDER</v>
      </c>
      <c r="U697" t="s">
        <v>3836</v>
      </c>
      <c r="V697" s="14">
        <f ca="1">TODAY()-Inventory_Table[[#This Row],[Last_Order_Date]]</f>
        <v>716</v>
      </c>
    </row>
    <row r="698" spans="1:22" x14ac:dyDescent="0.35">
      <c r="A698" t="s">
        <v>408</v>
      </c>
      <c r="B698" t="s">
        <v>18</v>
      </c>
      <c r="C698" t="s">
        <v>2813</v>
      </c>
      <c r="D698" t="s">
        <v>2866</v>
      </c>
      <c r="E698" t="s">
        <v>30</v>
      </c>
      <c r="F698" t="s">
        <v>2867</v>
      </c>
      <c r="G698" t="s">
        <v>2868</v>
      </c>
      <c r="H698" s="1">
        <v>46126</v>
      </c>
      <c r="I698" s="6">
        <v>45667</v>
      </c>
      <c r="J698" s="6">
        <v>46305</v>
      </c>
      <c r="K698">
        <v>11</v>
      </c>
      <c r="L698">
        <v>56</v>
      </c>
      <c r="M698">
        <v>62</v>
      </c>
      <c r="N698" s="8">
        <v>3.9</v>
      </c>
      <c r="O698">
        <v>40</v>
      </c>
      <c r="P698">
        <v>5</v>
      </c>
      <c r="Q698" s="3">
        <v>-0.57999999999999996</v>
      </c>
      <c r="R698">
        <f>Inventory_Table[[#This Row],[Stock_Quantity]]*Inventory_Table[[#This Row],[Unit_Price]]</f>
        <v>42.9</v>
      </c>
      <c r="S698">
        <f>Inventory_Table[[#This Row],[Sales_Volume]]*Inventory_Table[[#This Row],[Unit_Price]]</f>
        <v>156</v>
      </c>
      <c r="T698" t="str">
        <f>IF(Inventory_Table[[#This Row],[Stock_Quantity]]&lt;=Inventory_Table[[#This Row],[Reorder_Level]],"REORDER","OK")</f>
        <v>REORDER</v>
      </c>
      <c r="U698" t="s">
        <v>3836</v>
      </c>
      <c r="V698" s="14">
        <f ca="1">TODAY()-Inventory_Table[[#This Row],[Last_Order_Date]]</f>
        <v>509</v>
      </c>
    </row>
    <row r="699" spans="1:22" x14ac:dyDescent="0.35">
      <c r="A699" t="s">
        <v>496</v>
      </c>
      <c r="B699" t="s">
        <v>18</v>
      </c>
      <c r="C699" t="s">
        <v>2565</v>
      </c>
      <c r="D699" t="s">
        <v>2869</v>
      </c>
      <c r="E699" t="s">
        <v>30</v>
      </c>
      <c r="F699" t="s">
        <v>2870</v>
      </c>
      <c r="G699" t="s">
        <v>2871</v>
      </c>
      <c r="H699" s="1">
        <v>46126</v>
      </c>
      <c r="I699" s="6">
        <v>45370</v>
      </c>
      <c r="J699" s="6">
        <v>46211</v>
      </c>
      <c r="K699">
        <v>82</v>
      </c>
      <c r="L699">
        <v>21</v>
      </c>
      <c r="M699">
        <v>85</v>
      </c>
      <c r="N699" s="8">
        <v>5.5</v>
      </c>
      <c r="O699">
        <v>39</v>
      </c>
      <c r="P699">
        <v>18</v>
      </c>
      <c r="Q699" s="3">
        <v>0.88</v>
      </c>
      <c r="R699">
        <f>Inventory_Table[[#This Row],[Stock_Quantity]]*Inventory_Table[[#This Row],[Unit_Price]]</f>
        <v>451</v>
      </c>
      <c r="S699">
        <f>Inventory_Table[[#This Row],[Sales_Volume]]*Inventory_Table[[#This Row],[Unit_Price]]</f>
        <v>214.5</v>
      </c>
      <c r="T699" t="str">
        <f>IF(Inventory_Table[[#This Row],[Stock_Quantity]]&lt;=Inventory_Table[[#This Row],[Reorder_Level]],"REORDER","OK")</f>
        <v>OK</v>
      </c>
      <c r="U699" t="s">
        <v>3836</v>
      </c>
      <c r="V699" s="14">
        <f ca="1">TODAY()-Inventory_Table[[#This Row],[Last_Order_Date]]</f>
        <v>806</v>
      </c>
    </row>
    <row r="700" spans="1:22" x14ac:dyDescent="0.35">
      <c r="A700" t="s">
        <v>26</v>
      </c>
      <c r="B700" t="s">
        <v>27</v>
      </c>
      <c r="C700" t="s">
        <v>2311</v>
      </c>
      <c r="D700" t="s">
        <v>2872</v>
      </c>
      <c r="E700" t="s">
        <v>21</v>
      </c>
      <c r="F700" t="s">
        <v>2873</v>
      </c>
      <c r="G700" t="s">
        <v>2874</v>
      </c>
      <c r="H700" s="1">
        <v>46126</v>
      </c>
      <c r="I700" s="6">
        <v>45673</v>
      </c>
      <c r="J700" s="6">
        <v>46252</v>
      </c>
      <c r="K700">
        <v>23</v>
      </c>
      <c r="L700">
        <v>71</v>
      </c>
      <c r="M700">
        <v>32</v>
      </c>
      <c r="N700" s="8">
        <v>2</v>
      </c>
      <c r="O700">
        <v>63</v>
      </c>
      <c r="P700">
        <v>23</v>
      </c>
      <c r="Q700" s="3">
        <v>0.54</v>
      </c>
      <c r="R700">
        <f>Inventory_Table[[#This Row],[Stock_Quantity]]*Inventory_Table[[#This Row],[Unit_Price]]</f>
        <v>46</v>
      </c>
      <c r="S700">
        <f>Inventory_Table[[#This Row],[Sales_Volume]]*Inventory_Table[[#This Row],[Unit_Price]]</f>
        <v>126</v>
      </c>
      <c r="T700" t="str">
        <f>IF(Inventory_Table[[#This Row],[Stock_Quantity]]&lt;=Inventory_Table[[#This Row],[Reorder_Level]],"REORDER","OK")</f>
        <v>REORDER</v>
      </c>
      <c r="U700" t="s">
        <v>3836</v>
      </c>
      <c r="V700" s="14">
        <f ca="1">TODAY()-Inventory_Table[[#This Row],[Last_Order_Date]]</f>
        <v>503</v>
      </c>
    </row>
    <row r="701" spans="1:22" x14ac:dyDescent="0.35">
      <c r="A701" t="s">
        <v>1030</v>
      </c>
      <c r="B701" t="s">
        <v>114</v>
      </c>
      <c r="C701" t="s">
        <v>751</v>
      </c>
      <c r="D701" t="s">
        <v>2875</v>
      </c>
      <c r="E701" t="s">
        <v>30</v>
      </c>
      <c r="F701" t="s">
        <v>2876</v>
      </c>
      <c r="G701" t="s">
        <v>2877</v>
      </c>
      <c r="H701" s="1">
        <v>46127</v>
      </c>
      <c r="I701" s="6">
        <v>45411</v>
      </c>
      <c r="J701" s="6">
        <v>46121</v>
      </c>
      <c r="K701">
        <v>56</v>
      </c>
      <c r="L701">
        <v>86</v>
      </c>
      <c r="M701">
        <v>23</v>
      </c>
      <c r="N701" s="8">
        <v>3.2</v>
      </c>
      <c r="O701">
        <v>67</v>
      </c>
      <c r="P701">
        <v>56</v>
      </c>
      <c r="Q701" s="3">
        <v>0.63</v>
      </c>
      <c r="R701">
        <f>Inventory_Table[[#This Row],[Stock_Quantity]]*Inventory_Table[[#This Row],[Unit_Price]]</f>
        <v>179.20000000000002</v>
      </c>
      <c r="S701">
        <f>Inventory_Table[[#This Row],[Sales_Volume]]*Inventory_Table[[#This Row],[Unit_Price]]</f>
        <v>214.4</v>
      </c>
      <c r="T701" t="str">
        <f>IF(Inventory_Table[[#This Row],[Stock_Quantity]]&lt;=Inventory_Table[[#This Row],[Reorder_Level]],"REORDER","OK")</f>
        <v>REORDER</v>
      </c>
      <c r="U701" t="s">
        <v>3838</v>
      </c>
      <c r="V701" s="14">
        <f ca="1">TODAY()-Inventory_Table[[#This Row],[Last_Order_Date]]</f>
        <v>765</v>
      </c>
    </row>
    <row r="702" spans="1:22" x14ac:dyDescent="0.35">
      <c r="A702" t="s">
        <v>148</v>
      </c>
      <c r="B702" t="s">
        <v>18</v>
      </c>
      <c r="C702" t="s">
        <v>1493</v>
      </c>
      <c r="D702" t="s">
        <v>2878</v>
      </c>
      <c r="E702" t="s">
        <v>68</v>
      </c>
      <c r="F702" t="s">
        <v>2879</v>
      </c>
      <c r="G702" t="s">
        <v>2880</v>
      </c>
      <c r="H702" s="1">
        <v>46127</v>
      </c>
      <c r="I702" s="6">
        <v>45444</v>
      </c>
      <c r="J702" s="6">
        <v>46396</v>
      </c>
      <c r="K702">
        <v>47</v>
      </c>
      <c r="L702">
        <v>41</v>
      </c>
      <c r="M702">
        <v>63</v>
      </c>
      <c r="N702" s="8">
        <v>3</v>
      </c>
      <c r="O702">
        <v>39</v>
      </c>
      <c r="P702">
        <v>54</v>
      </c>
      <c r="Q702" s="3">
        <v>0.16</v>
      </c>
      <c r="R702">
        <f>Inventory_Table[[#This Row],[Stock_Quantity]]*Inventory_Table[[#This Row],[Unit_Price]]</f>
        <v>141</v>
      </c>
      <c r="S702">
        <f>Inventory_Table[[#This Row],[Sales_Volume]]*Inventory_Table[[#This Row],[Unit_Price]]</f>
        <v>117</v>
      </c>
      <c r="T702" t="str">
        <f>IF(Inventory_Table[[#This Row],[Stock_Quantity]]&lt;=Inventory_Table[[#This Row],[Reorder_Level]],"REORDER","OK")</f>
        <v>OK</v>
      </c>
      <c r="U702" t="s">
        <v>3836</v>
      </c>
      <c r="V702" s="14">
        <f ca="1">TODAY()-Inventory_Table[[#This Row],[Last_Order_Date]]</f>
        <v>732</v>
      </c>
    </row>
    <row r="703" spans="1:22" x14ac:dyDescent="0.35">
      <c r="A703" t="s">
        <v>17</v>
      </c>
      <c r="B703" t="s">
        <v>18</v>
      </c>
      <c r="C703" t="s">
        <v>677</v>
      </c>
      <c r="D703" t="s">
        <v>2881</v>
      </c>
      <c r="E703" t="s">
        <v>30</v>
      </c>
      <c r="F703" t="s">
        <v>2882</v>
      </c>
      <c r="G703" t="s">
        <v>2883</v>
      </c>
      <c r="H703" s="1">
        <v>46127</v>
      </c>
      <c r="I703" s="6">
        <v>45349</v>
      </c>
      <c r="J703" s="6">
        <v>46411</v>
      </c>
      <c r="K703">
        <v>84</v>
      </c>
      <c r="L703">
        <v>26</v>
      </c>
      <c r="M703">
        <v>37</v>
      </c>
      <c r="N703" s="8">
        <v>4.5</v>
      </c>
      <c r="O703">
        <v>46</v>
      </c>
      <c r="P703">
        <v>67</v>
      </c>
      <c r="Q703" s="3">
        <v>-0.38</v>
      </c>
      <c r="R703">
        <f>Inventory_Table[[#This Row],[Stock_Quantity]]*Inventory_Table[[#This Row],[Unit_Price]]</f>
        <v>378</v>
      </c>
      <c r="S703">
        <f>Inventory_Table[[#This Row],[Sales_Volume]]*Inventory_Table[[#This Row],[Unit_Price]]</f>
        <v>207</v>
      </c>
      <c r="T703" t="str">
        <f>IF(Inventory_Table[[#This Row],[Stock_Quantity]]&lt;=Inventory_Table[[#This Row],[Reorder_Level]],"REORDER","OK")</f>
        <v>OK</v>
      </c>
      <c r="U703" t="s">
        <v>3836</v>
      </c>
      <c r="V703" s="14">
        <f ca="1">TODAY()-Inventory_Table[[#This Row],[Last_Order_Date]]</f>
        <v>827</v>
      </c>
    </row>
    <row r="704" spans="1:22" x14ac:dyDescent="0.35">
      <c r="A704" t="s">
        <v>1623</v>
      </c>
      <c r="B704" t="s">
        <v>36</v>
      </c>
      <c r="C704" t="s">
        <v>2884</v>
      </c>
      <c r="D704" t="s">
        <v>2885</v>
      </c>
      <c r="E704" t="s">
        <v>68</v>
      </c>
      <c r="F704" t="s">
        <v>2886</v>
      </c>
      <c r="G704" t="s">
        <v>2887</v>
      </c>
      <c r="H704" s="1">
        <v>46128</v>
      </c>
      <c r="I704" s="6">
        <v>45590</v>
      </c>
      <c r="J704" s="6">
        <v>46362</v>
      </c>
      <c r="K704">
        <v>85</v>
      </c>
      <c r="L704">
        <v>15</v>
      </c>
      <c r="M704">
        <v>30</v>
      </c>
      <c r="N704" s="8">
        <v>4</v>
      </c>
      <c r="O704">
        <v>95</v>
      </c>
      <c r="P704">
        <v>63</v>
      </c>
      <c r="Q704" s="3">
        <v>-0.46</v>
      </c>
      <c r="R704">
        <f>Inventory_Table[[#This Row],[Stock_Quantity]]*Inventory_Table[[#This Row],[Unit_Price]]</f>
        <v>340</v>
      </c>
      <c r="S704">
        <f>Inventory_Table[[#This Row],[Sales_Volume]]*Inventory_Table[[#This Row],[Unit_Price]]</f>
        <v>380</v>
      </c>
      <c r="T704" t="str">
        <f>IF(Inventory_Table[[#This Row],[Stock_Quantity]]&lt;=Inventory_Table[[#This Row],[Reorder_Level]],"REORDER","OK")</f>
        <v>OK</v>
      </c>
      <c r="U704" t="s">
        <v>3836</v>
      </c>
      <c r="V704" s="14">
        <f ca="1">TODAY()-Inventory_Table[[#This Row],[Last_Order_Date]]</f>
        <v>586</v>
      </c>
    </row>
    <row r="705" spans="1:22" x14ac:dyDescent="0.35">
      <c r="A705" t="s">
        <v>734</v>
      </c>
      <c r="B705" t="s">
        <v>163</v>
      </c>
      <c r="C705" t="s">
        <v>2888</v>
      </c>
      <c r="D705" t="s">
        <v>2889</v>
      </c>
      <c r="E705" t="s">
        <v>30</v>
      </c>
      <c r="F705" t="s">
        <v>2890</v>
      </c>
      <c r="G705" t="s">
        <v>2891</v>
      </c>
      <c r="H705" s="1">
        <v>46128</v>
      </c>
      <c r="I705" s="6">
        <v>45513</v>
      </c>
      <c r="J705" s="6">
        <v>46354</v>
      </c>
      <c r="K705">
        <v>27</v>
      </c>
      <c r="L705">
        <v>1</v>
      </c>
      <c r="M705">
        <v>3</v>
      </c>
      <c r="N705" s="8">
        <v>30</v>
      </c>
      <c r="O705">
        <v>34</v>
      </c>
      <c r="P705">
        <v>63</v>
      </c>
      <c r="Q705" s="3">
        <v>0.34</v>
      </c>
      <c r="R705">
        <f>Inventory_Table[[#This Row],[Stock_Quantity]]*Inventory_Table[[#This Row],[Unit_Price]]</f>
        <v>810</v>
      </c>
      <c r="S705">
        <f>Inventory_Table[[#This Row],[Sales_Volume]]*Inventory_Table[[#This Row],[Unit_Price]]</f>
        <v>1020</v>
      </c>
      <c r="T705" t="str">
        <f>IF(Inventory_Table[[#This Row],[Stock_Quantity]]&lt;=Inventory_Table[[#This Row],[Reorder_Level]],"REORDER","OK")</f>
        <v>OK</v>
      </c>
      <c r="U705" t="s">
        <v>3836</v>
      </c>
      <c r="V705" s="14">
        <f ca="1">TODAY()-Inventory_Table[[#This Row],[Last_Order_Date]]</f>
        <v>663</v>
      </c>
    </row>
    <row r="706" spans="1:22" x14ac:dyDescent="0.35">
      <c r="A706" t="s">
        <v>308</v>
      </c>
      <c r="B706" t="s">
        <v>27</v>
      </c>
      <c r="C706" t="s">
        <v>1153</v>
      </c>
      <c r="D706" t="s">
        <v>2892</v>
      </c>
      <c r="E706" t="s">
        <v>30</v>
      </c>
      <c r="F706" t="s">
        <v>2893</v>
      </c>
      <c r="G706" t="s">
        <v>2894</v>
      </c>
      <c r="H706" s="1">
        <v>46129</v>
      </c>
      <c r="I706" s="6">
        <v>45584</v>
      </c>
      <c r="J706" s="6">
        <v>46221</v>
      </c>
      <c r="K706">
        <v>77</v>
      </c>
      <c r="L706">
        <v>95</v>
      </c>
      <c r="M706">
        <v>82</v>
      </c>
      <c r="N706" s="8">
        <v>6.5</v>
      </c>
      <c r="O706">
        <v>29</v>
      </c>
      <c r="P706">
        <v>46</v>
      </c>
      <c r="Q706" s="3">
        <v>-0.85</v>
      </c>
      <c r="R706">
        <f>Inventory_Table[[#This Row],[Stock_Quantity]]*Inventory_Table[[#This Row],[Unit_Price]]</f>
        <v>500.5</v>
      </c>
      <c r="S706">
        <f>Inventory_Table[[#This Row],[Sales_Volume]]*Inventory_Table[[#This Row],[Unit_Price]]</f>
        <v>188.5</v>
      </c>
      <c r="T706" t="str">
        <f>IF(Inventory_Table[[#This Row],[Stock_Quantity]]&lt;=Inventory_Table[[#This Row],[Reorder_Level]],"REORDER","OK")</f>
        <v>REORDER</v>
      </c>
      <c r="U706" t="s">
        <v>3836</v>
      </c>
      <c r="V706" s="14">
        <f ca="1">TODAY()-Inventory_Table[[#This Row],[Last_Order_Date]]</f>
        <v>592</v>
      </c>
    </row>
    <row r="707" spans="1:22" x14ac:dyDescent="0.35">
      <c r="A707" t="s">
        <v>1350</v>
      </c>
      <c r="B707" t="s">
        <v>114</v>
      </c>
      <c r="C707" t="s">
        <v>851</v>
      </c>
      <c r="D707" t="s">
        <v>2895</v>
      </c>
      <c r="E707" t="s">
        <v>68</v>
      </c>
      <c r="F707" t="s">
        <v>2896</v>
      </c>
      <c r="G707" t="s">
        <v>2897</v>
      </c>
      <c r="H707" s="1">
        <v>46129</v>
      </c>
      <c r="I707" s="6">
        <v>45692</v>
      </c>
      <c r="J707" s="6">
        <v>46167</v>
      </c>
      <c r="K707">
        <v>84</v>
      </c>
      <c r="L707">
        <v>58</v>
      </c>
      <c r="M707">
        <v>28</v>
      </c>
      <c r="N707" s="8">
        <v>6</v>
      </c>
      <c r="O707">
        <v>51</v>
      </c>
      <c r="P707">
        <v>12</v>
      </c>
      <c r="Q707" s="3">
        <v>-0.59</v>
      </c>
      <c r="R707">
        <f>Inventory_Table[[#This Row],[Stock_Quantity]]*Inventory_Table[[#This Row],[Unit_Price]]</f>
        <v>504</v>
      </c>
      <c r="S707">
        <f>Inventory_Table[[#This Row],[Sales_Volume]]*Inventory_Table[[#This Row],[Unit_Price]]</f>
        <v>306</v>
      </c>
      <c r="T707" t="str">
        <f>IF(Inventory_Table[[#This Row],[Stock_Quantity]]&lt;=Inventory_Table[[#This Row],[Reorder_Level]],"REORDER","OK")</f>
        <v>OK</v>
      </c>
      <c r="U707" t="s">
        <v>3838</v>
      </c>
      <c r="V707" s="14">
        <f ca="1">TODAY()-Inventory_Table[[#This Row],[Last_Order_Date]]</f>
        <v>484</v>
      </c>
    </row>
    <row r="708" spans="1:22" x14ac:dyDescent="0.35">
      <c r="A708" t="s">
        <v>1191</v>
      </c>
      <c r="B708" t="s">
        <v>75</v>
      </c>
      <c r="C708" t="s">
        <v>2336</v>
      </c>
      <c r="D708" t="s">
        <v>2898</v>
      </c>
      <c r="E708" t="s">
        <v>30</v>
      </c>
      <c r="F708" t="s">
        <v>2899</v>
      </c>
      <c r="G708" t="s">
        <v>2900</v>
      </c>
      <c r="H708" s="1">
        <v>46129</v>
      </c>
      <c r="I708" s="6">
        <v>45386</v>
      </c>
      <c r="J708" s="6">
        <v>46428</v>
      </c>
      <c r="K708">
        <v>35</v>
      </c>
      <c r="L708">
        <v>72</v>
      </c>
      <c r="M708">
        <v>70</v>
      </c>
      <c r="N708" s="8">
        <v>20</v>
      </c>
      <c r="O708">
        <v>74</v>
      </c>
      <c r="P708">
        <v>15</v>
      </c>
      <c r="Q708" s="3">
        <v>0.76</v>
      </c>
      <c r="R708">
        <f>Inventory_Table[[#This Row],[Stock_Quantity]]*Inventory_Table[[#This Row],[Unit_Price]]</f>
        <v>700</v>
      </c>
      <c r="S708">
        <f>Inventory_Table[[#This Row],[Sales_Volume]]*Inventory_Table[[#This Row],[Unit_Price]]</f>
        <v>1480</v>
      </c>
      <c r="T708" t="str">
        <f>IF(Inventory_Table[[#This Row],[Stock_Quantity]]&lt;=Inventory_Table[[#This Row],[Reorder_Level]],"REORDER","OK")</f>
        <v>REORDER</v>
      </c>
      <c r="U708" t="s">
        <v>3836</v>
      </c>
      <c r="V708" s="14">
        <f ca="1">TODAY()-Inventory_Table[[#This Row],[Last_Order_Date]]</f>
        <v>790</v>
      </c>
    </row>
    <row r="709" spans="1:22" x14ac:dyDescent="0.35">
      <c r="A709" t="s">
        <v>1341</v>
      </c>
      <c r="B709" t="s">
        <v>18</v>
      </c>
      <c r="C709" t="s">
        <v>1174</v>
      </c>
      <c r="D709" t="s">
        <v>2901</v>
      </c>
      <c r="E709" t="s">
        <v>21</v>
      </c>
      <c r="F709" t="s">
        <v>2902</v>
      </c>
      <c r="G709" t="s">
        <v>2903</v>
      </c>
      <c r="H709" s="1">
        <v>46129</v>
      </c>
      <c r="I709" s="6">
        <v>45627</v>
      </c>
      <c r="J709" s="6">
        <v>46101</v>
      </c>
      <c r="K709">
        <v>98</v>
      </c>
      <c r="L709">
        <v>14</v>
      </c>
      <c r="M709">
        <v>11</v>
      </c>
      <c r="N709" s="8">
        <v>2.5</v>
      </c>
      <c r="O709">
        <v>48</v>
      </c>
      <c r="P709">
        <v>38</v>
      </c>
      <c r="Q709" s="3">
        <v>0.8</v>
      </c>
      <c r="R709">
        <f>Inventory_Table[[#This Row],[Stock_Quantity]]*Inventory_Table[[#This Row],[Unit_Price]]</f>
        <v>245</v>
      </c>
      <c r="S709">
        <f>Inventory_Table[[#This Row],[Sales_Volume]]*Inventory_Table[[#This Row],[Unit_Price]]</f>
        <v>120</v>
      </c>
      <c r="T709" t="str">
        <f>IF(Inventory_Table[[#This Row],[Stock_Quantity]]&lt;=Inventory_Table[[#This Row],[Reorder_Level]],"REORDER","OK")</f>
        <v>OK</v>
      </c>
      <c r="U709" t="s">
        <v>3838</v>
      </c>
      <c r="V709" s="14">
        <f ca="1">TODAY()-Inventory_Table[[#This Row],[Last_Order_Date]]</f>
        <v>549</v>
      </c>
    </row>
    <row r="710" spans="1:22" x14ac:dyDescent="0.35">
      <c r="A710" t="s">
        <v>1371</v>
      </c>
      <c r="B710" t="s">
        <v>36</v>
      </c>
      <c r="C710" t="s">
        <v>1360</v>
      </c>
      <c r="D710" t="s">
        <v>2904</v>
      </c>
      <c r="E710" t="s">
        <v>68</v>
      </c>
      <c r="F710" t="s">
        <v>2905</v>
      </c>
      <c r="G710" t="s">
        <v>2906</v>
      </c>
      <c r="H710" s="1">
        <v>46129</v>
      </c>
      <c r="I710" s="6">
        <v>45384</v>
      </c>
      <c r="J710" s="6">
        <v>46331</v>
      </c>
      <c r="K710">
        <v>63</v>
      </c>
      <c r="L710">
        <v>62</v>
      </c>
      <c r="M710">
        <v>18</v>
      </c>
      <c r="N710" s="8">
        <v>0.2</v>
      </c>
      <c r="O710">
        <v>67</v>
      </c>
      <c r="P710">
        <v>17</v>
      </c>
      <c r="Q710" s="3">
        <v>0.21</v>
      </c>
      <c r="R710">
        <f>Inventory_Table[[#This Row],[Stock_Quantity]]*Inventory_Table[[#This Row],[Unit_Price]]</f>
        <v>12.600000000000001</v>
      </c>
      <c r="S710">
        <f>Inventory_Table[[#This Row],[Sales_Volume]]*Inventory_Table[[#This Row],[Unit_Price]]</f>
        <v>13.4</v>
      </c>
      <c r="T710" t="str">
        <f>IF(Inventory_Table[[#This Row],[Stock_Quantity]]&lt;=Inventory_Table[[#This Row],[Reorder_Level]],"REORDER","OK")</f>
        <v>OK</v>
      </c>
      <c r="U710" t="s">
        <v>3836</v>
      </c>
      <c r="V710" s="14">
        <f ca="1">TODAY()-Inventory_Table[[#This Row],[Last_Order_Date]]</f>
        <v>792</v>
      </c>
    </row>
    <row r="711" spans="1:22" x14ac:dyDescent="0.35">
      <c r="A711" t="s">
        <v>308</v>
      </c>
      <c r="B711" t="s">
        <v>27</v>
      </c>
      <c r="C711" t="s">
        <v>1109</v>
      </c>
      <c r="D711" t="s">
        <v>2907</v>
      </c>
      <c r="E711" t="s">
        <v>21</v>
      </c>
      <c r="F711" t="s">
        <v>2908</v>
      </c>
      <c r="G711" t="s">
        <v>2909</v>
      </c>
      <c r="H711" s="1">
        <v>46130</v>
      </c>
      <c r="I711" s="6">
        <v>45584</v>
      </c>
      <c r="J711" s="6">
        <v>46374</v>
      </c>
      <c r="K711">
        <v>27</v>
      </c>
      <c r="L711">
        <v>92</v>
      </c>
      <c r="M711">
        <v>56</v>
      </c>
      <c r="N711" s="8">
        <v>6.5</v>
      </c>
      <c r="O711">
        <v>29</v>
      </c>
      <c r="P711">
        <v>32</v>
      </c>
      <c r="Q711" s="3">
        <v>0.75</v>
      </c>
      <c r="R711">
        <f>Inventory_Table[[#This Row],[Stock_Quantity]]*Inventory_Table[[#This Row],[Unit_Price]]</f>
        <v>175.5</v>
      </c>
      <c r="S711">
        <f>Inventory_Table[[#This Row],[Sales_Volume]]*Inventory_Table[[#This Row],[Unit_Price]]</f>
        <v>188.5</v>
      </c>
      <c r="T711" t="str">
        <f>IF(Inventory_Table[[#This Row],[Stock_Quantity]]&lt;=Inventory_Table[[#This Row],[Reorder_Level]],"REORDER","OK")</f>
        <v>REORDER</v>
      </c>
      <c r="U711" t="s">
        <v>3836</v>
      </c>
      <c r="V711" s="14">
        <f ca="1">TODAY()-Inventory_Table[[#This Row],[Last_Order_Date]]</f>
        <v>592</v>
      </c>
    </row>
    <row r="712" spans="1:22" x14ac:dyDescent="0.35">
      <c r="A712" t="s">
        <v>222</v>
      </c>
      <c r="B712" t="s">
        <v>65</v>
      </c>
      <c r="C712" t="s">
        <v>1884</v>
      </c>
      <c r="D712" t="s">
        <v>2910</v>
      </c>
      <c r="E712" t="s">
        <v>30</v>
      </c>
      <c r="F712" t="s">
        <v>2911</v>
      </c>
      <c r="G712" t="s">
        <v>2912</v>
      </c>
      <c r="H712" s="1">
        <v>46130</v>
      </c>
      <c r="I712" s="6">
        <v>45590</v>
      </c>
      <c r="J712" s="6">
        <v>46170</v>
      </c>
      <c r="K712">
        <v>70</v>
      </c>
      <c r="L712">
        <v>96</v>
      </c>
      <c r="M712">
        <v>92</v>
      </c>
      <c r="N712" s="8">
        <v>1.5</v>
      </c>
      <c r="O712">
        <v>27</v>
      </c>
      <c r="P712">
        <v>58</v>
      </c>
      <c r="Q712" s="3">
        <v>-0.1</v>
      </c>
      <c r="R712">
        <f>Inventory_Table[[#This Row],[Stock_Quantity]]*Inventory_Table[[#This Row],[Unit_Price]]</f>
        <v>105</v>
      </c>
      <c r="S712">
        <f>Inventory_Table[[#This Row],[Sales_Volume]]*Inventory_Table[[#This Row],[Unit_Price]]</f>
        <v>40.5</v>
      </c>
      <c r="T712" t="str">
        <f>IF(Inventory_Table[[#This Row],[Stock_Quantity]]&lt;=Inventory_Table[[#This Row],[Reorder_Level]],"REORDER","OK")</f>
        <v>REORDER</v>
      </c>
      <c r="U712" t="s">
        <v>3838</v>
      </c>
      <c r="V712" s="14">
        <f ca="1">TODAY()-Inventory_Table[[#This Row],[Last_Order_Date]]</f>
        <v>586</v>
      </c>
    </row>
    <row r="713" spans="1:22" x14ac:dyDescent="0.35">
      <c r="A713" t="s">
        <v>64</v>
      </c>
      <c r="B713" t="s">
        <v>65</v>
      </c>
      <c r="C713" t="s">
        <v>1714</v>
      </c>
      <c r="D713" t="s">
        <v>2913</v>
      </c>
      <c r="E713" t="s">
        <v>21</v>
      </c>
      <c r="F713" t="s">
        <v>2914</v>
      </c>
      <c r="G713" t="s">
        <v>2915</v>
      </c>
      <c r="H713" s="1">
        <v>46130</v>
      </c>
      <c r="I713" s="6">
        <v>45388</v>
      </c>
      <c r="J713" s="6">
        <v>46168</v>
      </c>
      <c r="K713">
        <v>49</v>
      </c>
      <c r="L713">
        <v>59</v>
      </c>
      <c r="M713">
        <v>73</v>
      </c>
      <c r="N713" s="8">
        <v>5</v>
      </c>
      <c r="O713">
        <v>93</v>
      </c>
      <c r="P713">
        <v>45</v>
      </c>
      <c r="Q713" s="3">
        <v>-1.1499999999999999</v>
      </c>
      <c r="R713">
        <f>Inventory_Table[[#This Row],[Stock_Quantity]]*Inventory_Table[[#This Row],[Unit_Price]]</f>
        <v>245</v>
      </c>
      <c r="S713">
        <f>Inventory_Table[[#This Row],[Sales_Volume]]*Inventory_Table[[#This Row],[Unit_Price]]</f>
        <v>465</v>
      </c>
      <c r="T713" t="str">
        <f>IF(Inventory_Table[[#This Row],[Stock_Quantity]]&lt;=Inventory_Table[[#This Row],[Reorder_Level]],"REORDER","OK")</f>
        <v>REORDER</v>
      </c>
      <c r="U713" t="s">
        <v>3838</v>
      </c>
      <c r="V713" s="14">
        <f ca="1">TODAY()-Inventory_Table[[#This Row],[Last_Order_Date]]</f>
        <v>788</v>
      </c>
    </row>
    <row r="714" spans="1:22" x14ac:dyDescent="0.35">
      <c r="A714" t="s">
        <v>1371</v>
      </c>
      <c r="B714" t="s">
        <v>36</v>
      </c>
      <c r="C714" t="s">
        <v>1604</v>
      </c>
      <c r="D714" t="s">
        <v>2916</v>
      </c>
      <c r="E714" t="s">
        <v>21</v>
      </c>
      <c r="F714" t="s">
        <v>2917</v>
      </c>
      <c r="G714" t="s">
        <v>2918</v>
      </c>
      <c r="H714" s="1">
        <v>46130</v>
      </c>
      <c r="I714" s="6">
        <v>45368</v>
      </c>
      <c r="J714" s="6">
        <v>46282</v>
      </c>
      <c r="K714">
        <v>22</v>
      </c>
      <c r="L714">
        <v>19</v>
      </c>
      <c r="M714">
        <v>4</v>
      </c>
      <c r="N714" s="8">
        <v>0.2</v>
      </c>
      <c r="O714">
        <v>88</v>
      </c>
      <c r="P714">
        <v>24</v>
      </c>
      <c r="Q714" s="3">
        <v>0.52</v>
      </c>
      <c r="R714">
        <f>Inventory_Table[[#This Row],[Stock_Quantity]]*Inventory_Table[[#This Row],[Unit_Price]]</f>
        <v>4.4000000000000004</v>
      </c>
      <c r="S714">
        <f>Inventory_Table[[#This Row],[Sales_Volume]]*Inventory_Table[[#This Row],[Unit_Price]]</f>
        <v>17.600000000000001</v>
      </c>
      <c r="T714" t="str">
        <f>IF(Inventory_Table[[#This Row],[Stock_Quantity]]&lt;=Inventory_Table[[#This Row],[Reorder_Level]],"REORDER","OK")</f>
        <v>OK</v>
      </c>
      <c r="U714" t="s">
        <v>3836</v>
      </c>
      <c r="V714" s="14">
        <f ca="1">TODAY()-Inventory_Table[[#This Row],[Last_Order_Date]]</f>
        <v>808</v>
      </c>
    </row>
    <row r="715" spans="1:22" x14ac:dyDescent="0.35">
      <c r="A715" t="s">
        <v>1782</v>
      </c>
      <c r="B715" t="s">
        <v>36</v>
      </c>
      <c r="C715" t="s">
        <v>846</v>
      </c>
      <c r="D715" t="s">
        <v>2919</v>
      </c>
      <c r="E715" t="s">
        <v>68</v>
      </c>
      <c r="F715" t="s">
        <v>2920</v>
      </c>
      <c r="G715" t="s">
        <v>2921</v>
      </c>
      <c r="H715" s="1">
        <v>46131</v>
      </c>
      <c r="I715" s="6">
        <v>45566</v>
      </c>
      <c r="J715" s="6">
        <v>46337</v>
      </c>
      <c r="K715">
        <v>96</v>
      </c>
      <c r="L715">
        <v>38</v>
      </c>
      <c r="M715">
        <v>17</v>
      </c>
      <c r="N715" s="8">
        <v>7</v>
      </c>
      <c r="O715">
        <v>72</v>
      </c>
      <c r="P715">
        <v>84</v>
      </c>
      <c r="Q715" s="3">
        <v>0.73</v>
      </c>
      <c r="R715">
        <f>Inventory_Table[[#This Row],[Stock_Quantity]]*Inventory_Table[[#This Row],[Unit_Price]]</f>
        <v>672</v>
      </c>
      <c r="S715">
        <f>Inventory_Table[[#This Row],[Sales_Volume]]*Inventory_Table[[#This Row],[Unit_Price]]</f>
        <v>504</v>
      </c>
      <c r="T715" t="str">
        <f>IF(Inventory_Table[[#This Row],[Stock_Quantity]]&lt;=Inventory_Table[[#This Row],[Reorder_Level]],"REORDER","OK")</f>
        <v>OK</v>
      </c>
      <c r="U715" t="s">
        <v>3836</v>
      </c>
      <c r="V715" s="14">
        <f ca="1">TODAY()-Inventory_Table[[#This Row],[Last_Order_Date]]</f>
        <v>610</v>
      </c>
    </row>
    <row r="716" spans="1:22" x14ac:dyDescent="0.35">
      <c r="A716" t="s">
        <v>685</v>
      </c>
      <c r="B716" t="s">
        <v>114</v>
      </c>
      <c r="C716" t="s">
        <v>2417</v>
      </c>
      <c r="D716" t="s">
        <v>2922</v>
      </c>
      <c r="E716" t="s">
        <v>30</v>
      </c>
      <c r="F716" t="s">
        <v>2923</v>
      </c>
      <c r="G716" t="s">
        <v>2924</v>
      </c>
      <c r="H716" s="1">
        <v>46131</v>
      </c>
      <c r="I716" s="6">
        <v>45364</v>
      </c>
      <c r="J716" s="6">
        <v>46277</v>
      </c>
      <c r="K716">
        <v>61</v>
      </c>
      <c r="L716">
        <v>20</v>
      </c>
      <c r="M716">
        <v>29</v>
      </c>
      <c r="N716" s="8">
        <v>3</v>
      </c>
      <c r="O716">
        <v>71</v>
      </c>
      <c r="P716">
        <v>97</v>
      </c>
      <c r="Q716" s="3">
        <v>-0.17</v>
      </c>
      <c r="R716">
        <f>Inventory_Table[[#This Row],[Stock_Quantity]]*Inventory_Table[[#This Row],[Unit_Price]]</f>
        <v>183</v>
      </c>
      <c r="S716">
        <f>Inventory_Table[[#This Row],[Sales_Volume]]*Inventory_Table[[#This Row],[Unit_Price]]</f>
        <v>213</v>
      </c>
      <c r="T716" t="str">
        <f>IF(Inventory_Table[[#This Row],[Stock_Quantity]]&lt;=Inventory_Table[[#This Row],[Reorder_Level]],"REORDER","OK")</f>
        <v>OK</v>
      </c>
      <c r="U716" t="s">
        <v>3836</v>
      </c>
      <c r="V716" s="14">
        <f ca="1">TODAY()-Inventory_Table[[#This Row],[Last_Order_Date]]</f>
        <v>812</v>
      </c>
    </row>
    <row r="717" spans="1:22" x14ac:dyDescent="0.35">
      <c r="A717" t="s">
        <v>1341</v>
      </c>
      <c r="B717" t="s">
        <v>18</v>
      </c>
      <c r="C717" t="s">
        <v>1649</v>
      </c>
      <c r="D717" t="s">
        <v>2925</v>
      </c>
      <c r="E717" t="s">
        <v>21</v>
      </c>
      <c r="F717" t="s">
        <v>2926</v>
      </c>
      <c r="G717" t="s">
        <v>2927</v>
      </c>
      <c r="H717" s="1">
        <v>46132</v>
      </c>
      <c r="I717" s="6">
        <v>45549</v>
      </c>
      <c r="J717" s="6">
        <v>46131</v>
      </c>
      <c r="K717">
        <v>43</v>
      </c>
      <c r="L717">
        <v>66</v>
      </c>
      <c r="M717">
        <v>85</v>
      </c>
      <c r="N717" s="8">
        <v>2.5</v>
      </c>
      <c r="O717">
        <v>66</v>
      </c>
      <c r="P717">
        <v>65</v>
      </c>
      <c r="Q717" s="3">
        <v>-0.37</v>
      </c>
      <c r="R717">
        <f>Inventory_Table[[#This Row],[Stock_Quantity]]*Inventory_Table[[#This Row],[Unit_Price]]</f>
        <v>107.5</v>
      </c>
      <c r="S717">
        <f>Inventory_Table[[#This Row],[Sales_Volume]]*Inventory_Table[[#This Row],[Unit_Price]]</f>
        <v>165</v>
      </c>
      <c r="T717" t="str">
        <f>IF(Inventory_Table[[#This Row],[Stock_Quantity]]&lt;=Inventory_Table[[#This Row],[Reorder_Level]],"REORDER","OK")</f>
        <v>REORDER</v>
      </c>
      <c r="U717" t="s">
        <v>3838</v>
      </c>
      <c r="V717" s="14">
        <f ca="1">TODAY()-Inventory_Table[[#This Row],[Last_Order_Date]]</f>
        <v>627</v>
      </c>
    </row>
    <row r="718" spans="1:22" x14ac:dyDescent="0.35">
      <c r="A718" t="s">
        <v>113</v>
      </c>
      <c r="B718" t="s">
        <v>114</v>
      </c>
      <c r="C718" t="s">
        <v>229</v>
      </c>
      <c r="D718" t="s">
        <v>2928</v>
      </c>
      <c r="E718" t="s">
        <v>68</v>
      </c>
      <c r="F718" t="s">
        <v>2929</v>
      </c>
      <c r="G718" t="s">
        <v>2930</v>
      </c>
      <c r="H718" s="1">
        <v>46132</v>
      </c>
      <c r="I718" s="6">
        <v>45522</v>
      </c>
      <c r="J718" s="6">
        <v>46436</v>
      </c>
      <c r="K718">
        <v>38</v>
      </c>
      <c r="L718">
        <v>43</v>
      </c>
      <c r="M718">
        <v>91</v>
      </c>
      <c r="N718" s="8">
        <v>4</v>
      </c>
      <c r="O718">
        <v>72</v>
      </c>
      <c r="P718">
        <v>64</v>
      </c>
      <c r="Q718" s="3">
        <v>0.02</v>
      </c>
      <c r="R718">
        <f>Inventory_Table[[#This Row],[Stock_Quantity]]*Inventory_Table[[#This Row],[Unit_Price]]</f>
        <v>152</v>
      </c>
      <c r="S718">
        <f>Inventory_Table[[#This Row],[Sales_Volume]]*Inventory_Table[[#This Row],[Unit_Price]]</f>
        <v>288</v>
      </c>
      <c r="T718" t="str">
        <f>IF(Inventory_Table[[#This Row],[Stock_Quantity]]&lt;=Inventory_Table[[#This Row],[Reorder_Level]],"REORDER","OK")</f>
        <v>REORDER</v>
      </c>
      <c r="U718" t="s">
        <v>3836</v>
      </c>
      <c r="V718" s="14">
        <f ca="1">TODAY()-Inventory_Table[[#This Row],[Last_Order_Date]]</f>
        <v>654</v>
      </c>
    </row>
    <row r="719" spans="1:22" x14ac:dyDescent="0.35">
      <c r="A719" t="s">
        <v>1030</v>
      </c>
      <c r="B719" t="s">
        <v>114</v>
      </c>
      <c r="C719" t="s">
        <v>1493</v>
      </c>
      <c r="D719" t="s">
        <v>2931</v>
      </c>
      <c r="E719" t="s">
        <v>30</v>
      </c>
      <c r="F719" t="s">
        <v>2932</v>
      </c>
      <c r="G719" t="s">
        <v>2933</v>
      </c>
      <c r="H719" s="1">
        <v>46133</v>
      </c>
      <c r="I719" s="6">
        <v>45455</v>
      </c>
      <c r="J719" s="6">
        <v>46411</v>
      </c>
      <c r="K719">
        <v>65</v>
      </c>
      <c r="L719">
        <v>36</v>
      </c>
      <c r="M719">
        <v>37</v>
      </c>
      <c r="N719" s="8">
        <v>3.5</v>
      </c>
      <c r="O719">
        <v>32</v>
      </c>
      <c r="P719">
        <v>70</v>
      </c>
      <c r="Q719" s="3">
        <v>0.11</v>
      </c>
      <c r="R719">
        <f>Inventory_Table[[#This Row],[Stock_Quantity]]*Inventory_Table[[#This Row],[Unit_Price]]</f>
        <v>227.5</v>
      </c>
      <c r="S719">
        <f>Inventory_Table[[#This Row],[Sales_Volume]]*Inventory_Table[[#This Row],[Unit_Price]]</f>
        <v>112</v>
      </c>
      <c r="T719" t="str">
        <f>IF(Inventory_Table[[#This Row],[Stock_Quantity]]&lt;=Inventory_Table[[#This Row],[Reorder_Level]],"REORDER","OK")</f>
        <v>OK</v>
      </c>
      <c r="U719" t="s">
        <v>3836</v>
      </c>
      <c r="V719" s="14">
        <f ca="1">TODAY()-Inventory_Table[[#This Row],[Last_Order_Date]]</f>
        <v>721</v>
      </c>
    </row>
    <row r="720" spans="1:22" x14ac:dyDescent="0.35">
      <c r="A720" t="s">
        <v>1623</v>
      </c>
      <c r="B720" t="s">
        <v>36</v>
      </c>
      <c r="C720" t="s">
        <v>2172</v>
      </c>
      <c r="D720" t="s">
        <v>2934</v>
      </c>
      <c r="E720" t="s">
        <v>21</v>
      </c>
      <c r="F720" t="s">
        <v>2935</v>
      </c>
      <c r="G720" t="s">
        <v>2936</v>
      </c>
      <c r="H720" s="1">
        <v>46133</v>
      </c>
      <c r="I720" s="6">
        <v>45663</v>
      </c>
      <c r="J720" s="6">
        <v>46199</v>
      </c>
      <c r="K720">
        <v>14</v>
      </c>
      <c r="L720">
        <v>99</v>
      </c>
      <c r="M720">
        <v>97</v>
      </c>
      <c r="N720" s="8">
        <v>4.2</v>
      </c>
      <c r="O720">
        <v>28</v>
      </c>
      <c r="P720">
        <v>45</v>
      </c>
      <c r="Q720" s="3">
        <v>-1.19</v>
      </c>
      <c r="R720">
        <f>Inventory_Table[[#This Row],[Stock_Quantity]]*Inventory_Table[[#This Row],[Unit_Price]]</f>
        <v>58.800000000000004</v>
      </c>
      <c r="S720">
        <f>Inventory_Table[[#This Row],[Sales_Volume]]*Inventory_Table[[#This Row],[Unit_Price]]</f>
        <v>117.60000000000001</v>
      </c>
      <c r="T720" t="str">
        <f>IF(Inventory_Table[[#This Row],[Stock_Quantity]]&lt;=Inventory_Table[[#This Row],[Reorder_Level]],"REORDER","OK")</f>
        <v>REORDER</v>
      </c>
      <c r="U720" t="s">
        <v>3837</v>
      </c>
      <c r="V720" s="14">
        <f ca="1">TODAY()-Inventory_Table[[#This Row],[Last_Order_Date]]</f>
        <v>513</v>
      </c>
    </row>
    <row r="721" spans="1:22" x14ac:dyDescent="0.35">
      <c r="A721" t="s">
        <v>1021</v>
      </c>
      <c r="B721" t="s">
        <v>36</v>
      </c>
      <c r="C721" t="s">
        <v>846</v>
      </c>
      <c r="D721" t="s">
        <v>2937</v>
      </c>
      <c r="E721" t="s">
        <v>30</v>
      </c>
      <c r="F721" t="s">
        <v>2938</v>
      </c>
      <c r="G721" t="s">
        <v>2939</v>
      </c>
      <c r="H721" s="1">
        <v>46134</v>
      </c>
      <c r="I721" s="6">
        <v>45535</v>
      </c>
      <c r="J721" s="6">
        <v>46363</v>
      </c>
      <c r="K721">
        <v>67</v>
      </c>
      <c r="L721">
        <v>98</v>
      </c>
      <c r="M721">
        <v>92</v>
      </c>
      <c r="N721" s="8">
        <v>5</v>
      </c>
      <c r="O721">
        <v>35</v>
      </c>
      <c r="P721">
        <v>98</v>
      </c>
      <c r="Q721" s="3">
        <v>-0.61</v>
      </c>
      <c r="R721">
        <f>Inventory_Table[[#This Row],[Stock_Quantity]]*Inventory_Table[[#This Row],[Unit_Price]]</f>
        <v>335</v>
      </c>
      <c r="S721">
        <f>Inventory_Table[[#This Row],[Sales_Volume]]*Inventory_Table[[#This Row],[Unit_Price]]</f>
        <v>175</v>
      </c>
      <c r="T721" t="str">
        <f>IF(Inventory_Table[[#This Row],[Stock_Quantity]]&lt;=Inventory_Table[[#This Row],[Reorder_Level]],"REORDER","OK")</f>
        <v>REORDER</v>
      </c>
      <c r="U721" t="s">
        <v>3836</v>
      </c>
      <c r="V721" s="14">
        <f ca="1">TODAY()-Inventory_Table[[#This Row],[Last_Order_Date]]</f>
        <v>641</v>
      </c>
    </row>
    <row r="722" spans="1:22" x14ac:dyDescent="0.35">
      <c r="A722" t="s">
        <v>1311</v>
      </c>
      <c r="B722" t="s">
        <v>36</v>
      </c>
      <c r="C722" t="s">
        <v>2760</v>
      </c>
      <c r="D722" t="s">
        <v>2940</v>
      </c>
      <c r="E722" t="s">
        <v>21</v>
      </c>
      <c r="F722" t="s">
        <v>2941</v>
      </c>
      <c r="G722" t="s">
        <v>2942</v>
      </c>
      <c r="H722" s="1">
        <v>46134</v>
      </c>
      <c r="I722" s="6">
        <v>45389</v>
      </c>
      <c r="J722" s="6">
        <v>46433</v>
      </c>
      <c r="K722">
        <v>85</v>
      </c>
      <c r="L722">
        <v>89</v>
      </c>
      <c r="M722">
        <v>41</v>
      </c>
      <c r="N722" s="8">
        <v>8</v>
      </c>
      <c r="O722">
        <v>68</v>
      </c>
      <c r="P722">
        <v>93</v>
      </c>
      <c r="Q722" s="3">
        <v>-1.8</v>
      </c>
      <c r="R722">
        <f>Inventory_Table[[#This Row],[Stock_Quantity]]*Inventory_Table[[#This Row],[Unit_Price]]</f>
        <v>680</v>
      </c>
      <c r="S722">
        <f>Inventory_Table[[#This Row],[Sales_Volume]]*Inventory_Table[[#This Row],[Unit_Price]]</f>
        <v>544</v>
      </c>
      <c r="T722" t="str">
        <f>IF(Inventory_Table[[#This Row],[Stock_Quantity]]&lt;=Inventory_Table[[#This Row],[Reorder_Level]],"REORDER","OK")</f>
        <v>REORDER</v>
      </c>
      <c r="U722" t="s">
        <v>3836</v>
      </c>
      <c r="V722" s="14">
        <f ca="1">TODAY()-Inventory_Table[[#This Row],[Last_Order_Date]]</f>
        <v>787</v>
      </c>
    </row>
    <row r="723" spans="1:22" x14ac:dyDescent="0.35">
      <c r="A723" t="s">
        <v>74</v>
      </c>
      <c r="B723" t="s">
        <v>75</v>
      </c>
      <c r="C723" t="s">
        <v>2304</v>
      </c>
      <c r="D723" t="s">
        <v>2943</v>
      </c>
      <c r="E723" t="s">
        <v>68</v>
      </c>
      <c r="F723" t="s">
        <v>2944</v>
      </c>
      <c r="G723" t="s">
        <v>2945</v>
      </c>
      <c r="H723" s="1">
        <v>46134</v>
      </c>
      <c r="I723" s="6">
        <v>45455</v>
      </c>
      <c r="J723" s="6">
        <v>46269</v>
      </c>
      <c r="K723">
        <v>93</v>
      </c>
      <c r="L723">
        <v>51</v>
      </c>
      <c r="M723">
        <v>70</v>
      </c>
      <c r="N723" s="8">
        <v>10</v>
      </c>
      <c r="O723">
        <v>81</v>
      </c>
      <c r="P723">
        <v>18</v>
      </c>
      <c r="Q723" s="3">
        <v>-0.37</v>
      </c>
      <c r="R723">
        <f>Inventory_Table[[#This Row],[Stock_Quantity]]*Inventory_Table[[#This Row],[Unit_Price]]</f>
        <v>930</v>
      </c>
      <c r="S723">
        <f>Inventory_Table[[#This Row],[Sales_Volume]]*Inventory_Table[[#This Row],[Unit_Price]]</f>
        <v>810</v>
      </c>
      <c r="T723" t="str">
        <f>IF(Inventory_Table[[#This Row],[Stock_Quantity]]&lt;=Inventory_Table[[#This Row],[Reorder_Level]],"REORDER","OK")</f>
        <v>OK</v>
      </c>
      <c r="U723" t="s">
        <v>3836</v>
      </c>
      <c r="V723" s="14">
        <f ca="1">TODAY()-Inventory_Table[[#This Row],[Last_Order_Date]]</f>
        <v>721</v>
      </c>
    </row>
    <row r="724" spans="1:22" x14ac:dyDescent="0.35">
      <c r="A724" t="s">
        <v>2946</v>
      </c>
      <c r="B724" t="s">
        <v>65</v>
      </c>
      <c r="C724" t="s">
        <v>123</v>
      </c>
      <c r="D724" t="s">
        <v>2947</v>
      </c>
      <c r="E724" t="s">
        <v>30</v>
      </c>
      <c r="F724" t="s">
        <v>2948</v>
      </c>
      <c r="G724" t="s">
        <v>2949</v>
      </c>
      <c r="H724" s="1">
        <v>46135</v>
      </c>
      <c r="I724" s="6">
        <v>45658</v>
      </c>
      <c r="J724" s="6">
        <v>46194</v>
      </c>
      <c r="K724">
        <v>100</v>
      </c>
      <c r="L724">
        <v>10</v>
      </c>
      <c r="M724">
        <v>89</v>
      </c>
      <c r="N724" s="8">
        <v>1.5</v>
      </c>
      <c r="O724">
        <v>76</v>
      </c>
      <c r="P724">
        <v>38</v>
      </c>
      <c r="Q724" s="3">
        <v>0.78</v>
      </c>
      <c r="R724">
        <f>Inventory_Table[[#This Row],[Stock_Quantity]]*Inventory_Table[[#This Row],[Unit_Price]]</f>
        <v>150</v>
      </c>
      <c r="S724">
        <f>Inventory_Table[[#This Row],[Sales_Volume]]*Inventory_Table[[#This Row],[Unit_Price]]</f>
        <v>114</v>
      </c>
      <c r="T724" t="str">
        <f>IF(Inventory_Table[[#This Row],[Stock_Quantity]]&lt;=Inventory_Table[[#This Row],[Reorder_Level]],"REORDER","OK")</f>
        <v>OK</v>
      </c>
      <c r="U724" t="s">
        <v>3837</v>
      </c>
      <c r="V724" s="14">
        <f ca="1">TODAY()-Inventory_Table[[#This Row],[Last_Order_Date]]</f>
        <v>518</v>
      </c>
    </row>
    <row r="725" spans="1:22" x14ac:dyDescent="0.35">
      <c r="A725" t="s">
        <v>142</v>
      </c>
      <c r="B725" t="s">
        <v>36</v>
      </c>
      <c r="C725" t="s">
        <v>2019</v>
      </c>
      <c r="D725" t="s">
        <v>2950</v>
      </c>
      <c r="E725" t="s">
        <v>21</v>
      </c>
      <c r="F725" t="s">
        <v>2951</v>
      </c>
      <c r="G725" t="s">
        <v>2952</v>
      </c>
      <c r="H725" s="1">
        <v>46136</v>
      </c>
      <c r="I725" s="6">
        <v>45445</v>
      </c>
      <c r="J725" s="6">
        <v>46248</v>
      </c>
      <c r="K725">
        <v>88</v>
      </c>
      <c r="L725">
        <v>4</v>
      </c>
      <c r="M725">
        <v>79</v>
      </c>
      <c r="N725" s="8">
        <v>6</v>
      </c>
      <c r="O725">
        <v>23</v>
      </c>
      <c r="P725">
        <v>39</v>
      </c>
      <c r="Q725" s="3">
        <v>0.5</v>
      </c>
      <c r="R725">
        <f>Inventory_Table[[#This Row],[Stock_Quantity]]*Inventory_Table[[#This Row],[Unit_Price]]</f>
        <v>528</v>
      </c>
      <c r="S725">
        <f>Inventory_Table[[#This Row],[Sales_Volume]]*Inventory_Table[[#This Row],[Unit_Price]]</f>
        <v>138</v>
      </c>
      <c r="T725" t="str">
        <f>IF(Inventory_Table[[#This Row],[Stock_Quantity]]&lt;=Inventory_Table[[#This Row],[Reorder_Level]],"REORDER","OK")</f>
        <v>OK</v>
      </c>
      <c r="U725" t="s">
        <v>3836</v>
      </c>
      <c r="V725" s="14">
        <f ca="1">TODAY()-Inventory_Table[[#This Row],[Last_Order_Date]]</f>
        <v>731</v>
      </c>
    </row>
    <row r="726" spans="1:22" x14ac:dyDescent="0.35">
      <c r="A726" t="s">
        <v>113</v>
      </c>
      <c r="B726" t="s">
        <v>114</v>
      </c>
      <c r="C726" t="s">
        <v>37</v>
      </c>
      <c r="D726" t="s">
        <v>2953</v>
      </c>
      <c r="E726" t="s">
        <v>30</v>
      </c>
      <c r="F726" t="s">
        <v>2954</v>
      </c>
      <c r="G726" t="s">
        <v>2955</v>
      </c>
      <c r="H726" s="1">
        <v>46137</v>
      </c>
      <c r="I726" s="6">
        <v>45679</v>
      </c>
      <c r="J726" s="6">
        <v>46353</v>
      </c>
      <c r="K726">
        <v>97</v>
      </c>
      <c r="L726">
        <v>99</v>
      </c>
      <c r="M726">
        <v>96</v>
      </c>
      <c r="N726" s="8">
        <v>4</v>
      </c>
      <c r="O726">
        <v>57</v>
      </c>
      <c r="P726">
        <v>42</v>
      </c>
      <c r="Q726" s="3">
        <v>-0.7</v>
      </c>
      <c r="R726">
        <f>Inventory_Table[[#This Row],[Stock_Quantity]]*Inventory_Table[[#This Row],[Unit_Price]]</f>
        <v>388</v>
      </c>
      <c r="S726">
        <f>Inventory_Table[[#This Row],[Sales_Volume]]*Inventory_Table[[#This Row],[Unit_Price]]</f>
        <v>228</v>
      </c>
      <c r="T726" t="str">
        <f>IF(Inventory_Table[[#This Row],[Stock_Quantity]]&lt;=Inventory_Table[[#This Row],[Reorder_Level]],"REORDER","OK")</f>
        <v>REORDER</v>
      </c>
      <c r="U726" t="s">
        <v>3836</v>
      </c>
      <c r="V726" s="14">
        <f ca="1">TODAY()-Inventory_Table[[#This Row],[Last_Order_Date]]</f>
        <v>497</v>
      </c>
    </row>
    <row r="727" spans="1:22" x14ac:dyDescent="0.35">
      <c r="A727" t="s">
        <v>135</v>
      </c>
      <c r="B727" t="s">
        <v>36</v>
      </c>
      <c r="C727" t="s">
        <v>1775</v>
      </c>
      <c r="D727" t="s">
        <v>2956</v>
      </c>
      <c r="E727" t="s">
        <v>21</v>
      </c>
      <c r="F727" t="s">
        <v>2957</v>
      </c>
      <c r="G727" t="s">
        <v>2958</v>
      </c>
      <c r="H727" s="1">
        <v>46137</v>
      </c>
      <c r="I727" s="6">
        <v>45494</v>
      </c>
      <c r="J727" s="6">
        <v>46103</v>
      </c>
      <c r="K727">
        <v>19</v>
      </c>
      <c r="L727">
        <v>100</v>
      </c>
      <c r="M727">
        <v>83</v>
      </c>
      <c r="N727" s="8">
        <v>2.5</v>
      </c>
      <c r="O727">
        <v>66</v>
      </c>
      <c r="P727">
        <v>28</v>
      </c>
      <c r="Q727" s="3">
        <v>0.26</v>
      </c>
      <c r="R727">
        <f>Inventory_Table[[#This Row],[Stock_Quantity]]*Inventory_Table[[#This Row],[Unit_Price]]</f>
        <v>47.5</v>
      </c>
      <c r="S727">
        <f>Inventory_Table[[#This Row],[Sales_Volume]]*Inventory_Table[[#This Row],[Unit_Price]]</f>
        <v>165</v>
      </c>
      <c r="T727" t="str">
        <f>IF(Inventory_Table[[#This Row],[Stock_Quantity]]&lt;=Inventory_Table[[#This Row],[Reorder_Level]],"REORDER","OK")</f>
        <v>REORDER</v>
      </c>
      <c r="U727" t="s">
        <v>3838</v>
      </c>
      <c r="V727" s="14">
        <f ca="1">TODAY()-Inventory_Table[[#This Row],[Last_Order_Date]]</f>
        <v>682</v>
      </c>
    </row>
    <row r="728" spans="1:22" x14ac:dyDescent="0.35">
      <c r="A728" t="s">
        <v>177</v>
      </c>
      <c r="B728" t="s">
        <v>18</v>
      </c>
      <c r="C728" t="s">
        <v>2960</v>
      </c>
      <c r="D728" t="s">
        <v>2961</v>
      </c>
      <c r="E728" t="s">
        <v>21</v>
      </c>
      <c r="F728" t="s">
        <v>2962</v>
      </c>
      <c r="G728" t="s">
        <v>2963</v>
      </c>
      <c r="H728" s="1">
        <v>46138</v>
      </c>
      <c r="I728" s="6">
        <v>45712</v>
      </c>
      <c r="J728" s="6">
        <v>46351</v>
      </c>
      <c r="K728">
        <v>24</v>
      </c>
      <c r="L728">
        <v>55</v>
      </c>
      <c r="M728">
        <v>51</v>
      </c>
      <c r="N728" s="8">
        <v>5</v>
      </c>
      <c r="O728">
        <v>39</v>
      </c>
      <c r="P728">
        <v>15</v>
      </c>
      <c r="Q728" s="3">
        <v>0.57999999999999996</v>
      </c>
      <c r="R728">
        <f>Inventory_Table[[#This Row],[Stock_Quantity]]*Inventory_Table[[#This Row],[Unit_Price]]</f>
        <v>120</v>
      </c>
      <c r="S728">
        <f>Inventory_Table[[#This Row],[Sales_Volume]]*Inventory_Table[[#This Row],[Unit_Price]]</f>
        <v>195</v>
      </c>
      <c r="T728" t="str">
        <f>IF(Inventory_Table[[#This Row],[Stock_Quantity]]&lt;=Inventory_Table[[#This Row],[Reorder_Level]],"REORDER","OK")</f>
        <v>REORDER</v>
      </c>
      <c r="U728" t="s">
        <v>3836</v>
      </c>
      <c r="V728" s="14">
        <f ca="1">TODAY()-Inventory_Table[[#This Row],[Last_Order_Date]]</f>
        <v>464</v>
      </c>
    </row>
    <row r="729" spans="1:22" x14ac:dyDescent="0.35">
      <c r="A729" t="s">
        <v>893</v>
      </c>
      <c r="B729" t="s">
        <v>65</v>
      </c>
      <c r="C729" t="s">
        <v>143</v>
      </c>
      <c r="D729" t="s">
        <v>2964</v>
      </c>
      <c r="E729" t="s">
        <v>30</v>
      </c>
      <c r="F729" t="s">
        <v>2965</v>
      </c>
      <c r="G729" t="s">
        <v>2966</v>
      </c>
      <c r="H729" s="1">
        <v>46138</v>
      </c>
      <c r="I729" s="6">
        <v>45587</v>
      </c>
      <c r="J729" s="6">
        <v>46126</v>
      </c>
      <c r="K729">
        <v>55</v>
      </c>
      <c r="L729">
        <v>13</v>
      </c>
      <c r="M729">
        <v>71</v>
      </c>
      <c r="N729" s="8">
        <v>4.45</v>
      </c>
      <c r="O729">
        <v>37</v>
      </c>
      <c r="P729">
        <v>4</v>
      </c>
      <c r="Q729" s="3">
        <v>0.62</v>
      </c>
      <c r="R729">
        <f>Inventory_Table[[#This Row],[Stock_Quantity]]*Inventory_Table[[#This Row],[Unit_Price]]</f>
        <v>244.75</v>
      </c>
      <c r="S729">
        <f>Inventory_Table[[#This Row],[Sales_Volume]]*Inventory_Table[[#This Row],[Unit_Price]]</f>
        <v>164.65</v>
      </c>
      <c r="T729" t="str">
        <f>IF(Inventory_Table[[#This Row],[Stock_Quantity]]&lt;=Inventory_Table[[#This Row],[Reorder_Level]],"REORDER","OK")</f>
        <v>OK</v>
      </c>
      <c r="U729" t="s">
        <v>3838</v>
      </c>
      <c r="V729" s="14">
        <f ca="1">TODAY()-Inventory_Table[[#This Row],[Last_Order_Date]]</f>
        <v>589</v>
      </c>
    </row>
    <row r="730" spans="1:22" x14ac:dyDescent="0.35">
      <c r="A730" t="s">
        <v>880</v>
      </c>
      <c r="B730" t="s">
        <v>27</v>
      </c>
      <c r="C730" t="s">
        <v>1088</v>
      </c>
      <c r="D730" t="s">
        <v>2967</v>
      </c>
      <c r="E730" t="s">
        <v>21</v>
      </c>
      <c r="F730" t="s">
        <v>2968</v>
      </c>
      <c r="G730" t="s">
        <v>2969</v>
      </c>
      <c r="H730" s="1">
        <v>46139</v>
      </c>
      <c r="I730" s="6">
        <v>45586</v>
      </c>
      <c r="J730" s="6">
        <v>46440</v>
      </c>
      <c r="K730">
        <v>91</v>
      </c>
      <c r="L730">
        <v>82</v>
      </c>
      <c r="M730">
        <v>58</v>
      </c>
      <c r="N730" s="8">
        <v>2.2999999999999998</v>
      </c>
      <c r="O730">
        <v>43</v>
      </c>
      <c r="P730">
        <v>45</v>
      </c>
      <c r="Q730" s="3">
        <v>0.89</v>
      </c>
      <c r="R730">
        <f>Inventory_Table[[#This Row],[Stock_Quantity]]*Inventory_Table[[#This Row],[Unit_Price]]</f>
        <v>209.29999999999998</v>
      </c>
      <c r="S730">
        <f>Inventory_Table[[#This Row],[Sales_Volume]]*Inventory_Table[[#This Row],[Unit_Price]]</f>
        <v>98.899999999999991</v>
      </c>
      <c r="T730" t="str">
        <f>IF(Inventory_Table[[#This Row],[Stock_Quantity]]&lt;=Inventory_Table[[#This Row],[Reorder_Level]],"REORDER","OK")</f>
        <v>OK</v>
      </c>
      <c r="U730" t="s">
        <v>3836</v>
      </c>
      <c r="V730" s="14">
        <f ca="1">TODAY()-Inventory_Table[[#This Row],[Last_Order_Date]]</f>
        <v>590</v>
      </c>
    </row>
    <row r="731" spans="1:22" x14ac:dyDescent="0.35">
      <c r="A731" t="s">
        <v>17</v>
      </c>
      <c r="B731" t="s">
        <v>18</v>
      </c>
      <c r="C731" t="s">
        <v>1884</v>
      </c>
      <c r="D731" t="s">
        <v>2971</v>
      </c>
      <c r="E731" t="s">
        <v>30</v>
      </c>
      <c r="F731" t="s">
        <v>2972</v>
      </c>
      <c r="G731" t="s">
        <v>2973</v>
      </c>
      <c r="H731" s="1">
        <v>46139</v>
      </c>
      <c r="I731" s="6">
        <v>45413</v>
      </c>
      <c r="J731" s="6">
        <v>46139</v>
      </c>
      <c r="K731">
        <v>49</v>
      </c>
      <c r="L731">
        <v>93</v>
      </c>
      <c r="M731">
        <v>15</v>
      </c>
      <c r="N731" s="8">
        <v>4.5</v>
      </c>
      <c r="O731">
        <v>52</v>
      </c>
      <c r="P731">
        <v>31</v>
      </c>
      <c r="Q731" s="3">
        <v>-0.05</v>
      </c>
      <c r="R731">
        <f>Inventory_Table[[#This Row],[Stock_Quantity]]*Inventory_Table[[#This Row],[Unit_Price]]</f>
        <v>220.5</v>
      </c>
      <c r="S731">
        <f>Inventory_Table[[#This Row],[Sales_Volume]]*Inventory_Table[[#This Row],[Unit_Price]]</f>
        <v>234</v>
      </c>
      <c r="T731" t="str">
        <f>IF(Inventory_Table[[#This Row],[Stock_Quantity]]&lt;=Inventory_Table[[#This Row],[Reorder_Level]],"REORDER","OK")</f>
        <v>REORDER</v>
      </c>
      <c r="U731" t="s">
        <v>3838</v>
      </c>
      <c r="V731" s="14">
        <f ca="1">TODAY()-Inventory_Table[[#This Row],[Last_Order_Date]]</f>
        <v>763</v>
      </c>
    </row>
    <row r="732" spans="1:22" x14ac:dyDescent="0.35">
      <c r="A732" t="s">
        <v>435</v>
      </c>
      <c r="B732" t="s">
        <v>18</v>
      </c>
      <c r="C732" t="s">
        <v>2974</v>
      </c>
      <c r="D732" t="s">
        <v>2975</v>
      </c>
      <c r="E732" t="s">
        <v>30</v>
      </c>
      <c r="F732" t="s">
        <v>2976</v>
      </c>
      <c r="G732" t="s">
        <v>2977</v>
      </c>
      <c r="H732" s="1">
        <v>46139</v>
      </c>
      <c r="I732" s="6">
        <v>45591</v>
      </c>
      <c r="J732" s="6">
        <v>46248</v>
      </c>
      <c r="K732">
        <v>66</v>
      </c>
      <c r="L732">
        <v>28</v>
      </c>
      <c r="M732">
        <v>7</v>
      </c>
      <c r="N732" s="8">
        <v>6</v>
      </c>
      <c r="O732">
        <v>85</v>
      </c>
      <c r="P732">
        <v>6</v>
      </c>
      <c r="Q732" s="3">
        <v>0.4</v>
      </c>
      <c r="R732">
        <f>Inventory_Table[[#This Row],[Stock_Quantity]]*Inventory_Table[[#This Row],[Unit_Price]]</f>
        <v>396</v>
      </c>
      <c r="S732">
        <f>Inventory_Table[[#This Row],[Sales_Volume]]*Inventory_Table[[#This Row],[Unit_Price]]</f>
        <v>510</v>
      </c>
      <c r="T732" t="str">
        <f>IF(Inventory_Table[[#This Row],[Stock_Quantity]]&lt;=Inventory_Table[[#This Row],[Reorder_Level]],"REORDER","OK")</f>
        <v>OK</v>
      </c>
      <c r="U732" t="s">
        <v>3836</v>
      </c>
      <c r="V732" s="14">
        <f ca="1">TODAY()-Inventory_Table[[#This Row],[Last_Order_Date]]</f>
        <v>585</v>
      </c>
    </row>
    <row r="733" spans="1:22" x14ac:dyDescent="0.35">
      <c r="A733" t="s">
        <v>690</v>
      </c>
      <c r="B733" t="s">
        <v>36</v>
      </c>
      <c r="C733" t="s">
        <v>254</v>
      </c>
      <c r="D733" t="s">
        <v>2978</v>
      </c>
      <c r="E733" t="s">
        <v>30</v>
      </c>
      <c r="F733" t="s">
        <v>2979</v>
      </c>
      <c r="G733" t="s">
        <v>2980</v>
      </c>
      <c r="H733" s="1">
        <v>46140</v>
      </c>
      <c r="I733" s="6">
        <v>45707</v>
      </c>
      <c r="J733" s="6">
        <v>46354</v>
      </c>
      <c r="K733">
        <v>14</v>
      </c>
      <c r="L733">
        <v>63</v>
      </c>
      <c r="M733">
        <v>74</v>
      </c>
      <c r="N733" s="8">
        <v>2.5</v>
      </c>
      <c r="O733">
        <v>59</v>
      </c>
      <c r="P733">
        <v>63</v>
      </c>
      <c r="Q733" s="3">
        <v>0.93</v>
      </c>
      <c r="R733">
        <f>Inventory_Table[[#This Row],[Stock_Quantity]]*Inventory_Table[[#This Row],[Unit_Price]]</f>
        <v>35</v>
      </c>
      <c r="S733">
        <f>Inventory_Table[[#This Row],[Sales_Volume]]*Inventory_Table[[#This Row],[Unit_Price]]</f>
        <v>147.5</v>
      </c>
      <c r="T733" t="str">
        <f>IF(Inventory_Table[[#This Row],[Stock_Quantity]]&lt;=Inventory_Table[[#This Row],[Reorder_Level]],"REORDER","OK")</f>
        <v>REORDER</v>
      </c>
      <c r="U733" t="s">
        <v>3836</v>
      </c>
      <c r="V733" s="14">
        <f ca="1">TODAY()-Inventory_Table[[#This Row],[Last_Order_Date]]</f>
        <v>469</v>
      </c>
    </row>
    <row r="734" spans="1:22" x14ac:dyDescent="0.35">
      <c r="A734" t="s">
        <v>1782</v>
      </c>
      <c r="B734" t="s">
        <v>36</v>
      </c>
      <c r="C734" t="s">
        <v>2555</v>
      </c>
      <c r="D734" t="s">
        <v>2981</v>
      </c>
      <c r="E734" t="s">
        <v>21</v>
      </c>
      <c r="F734" t="s">
        <v>2982</v>
      </c>
      <c r="G734" t="s">
        <v>2983</v>
      </c>
      <c r="H734" s="1">
        <v>46140</v>
      </c>
      <c r="I734" s="6">
        <v>45380</v>
      </c>
      <c r="J734" s="6">
        <v>46239</v>
      </c>
      <c r="K734">
        <v>36</v>
      </c>
      <c r="L734">
        <v>82</v>
      </c>
      <c r="M734">
        <v>85</v>
      </c>
      <c r="N734" s="8">
        <v>7.1</v>
      </c>
      <c r="O734">
        <v>27</v>
      </c>
      <c r="P734">
        <v>67</v>
      </c>
      <c r="Q734" s="3">
        <v>-7.0000000000000007E-2</v>
      </c>
      <c r="R734">
        <f>Inventory_Table[[#This Row],[Stock_Quantity]]*Inventory_Table[[#This Row],[Unit_Price]]</f>
        <v>255.6</v>
      </c>
      <c r="S734">
        <f>Inventory_Table[[#This Row],[Sales_Volume]]*Inventory_Table[[#This Row],[Unit_Price]]</f>
        <v>191.7</v>
      </c>
      <c r="T734" t="str">
        <f>IF(Inventory_Table[[#This Row],[Stock_Quantity]]&lt;=Inventory_Table[[#This Row],[Reorder_Level]],"REORDER","OK")</f>
        <v>REORDER</v>
      </c>
      <c r="U734" t="s">
        <v>3836</v>
      </c>
      <c r="V734" s="14">
        <f ca="1">TODAY()-Inventory_Table[[#This Row],[Last_Order_Date]]</f>
        <v>796</v>
      </c>
    </row>
    <row r="735" spans="1:22" x14ac:dyDescent="0.35">
      <c r="A735" t="s">
        <v>350</v>
      </c>
      <c r="B735" t="s">
        <v>36</v>
      </c>
      <c r="C735" t="s">
        <v>714</v>
      </c>
      <c r="D735" t="s">
        <v>2985</v>
      </c>
      <c r="E735" t="s">
        <v>30</v>
      </c>
      <c r="F735" t="s">
        <v>2986</v>
      </c>
      <c r="G735" t="s">
        <v>2987</v>
      </c>
      <c r="H735" s="1">
        <v>46140</v>
      </c>
      <c r="I735" s="6">
        <v>45617</v>
      </c>
      <c r="J735" s="6">
        <v>46420</v>
      </c>
      <c r="K735">
        <v>52</v>
      </c>
      <c r="L735">
        <v>31</v>
      </c>
      <c r="M735">
        <v>18</v>
      </c>
      <c r="N735" s="8">
        <v>1</v>
      </c>
      <c r="O735">
        <v>77</v>
      </c>
      <c r="P735">
        <v>16</v>
      </c>
      <c r="Q735" s="3">
        <v>-1.48</v>
      </c>
      <c r="R735">
        <f>Inventory_Table[[#This Row],[Stock_Quantity]]*Inventory_Table[[#This Row],[Unit_Price]]</f>
        <v>52</v>
      </c>
      <c r="S735">
        <f>Inventory_Table[[#This Row],[Sales_Volume]]*Inventory_Table[[#This Row],[Unit_Price]]</f>
        <v>77</v>
      </c>
      <c r="T735" t="str">
        <f>IF(Inventory_Table[[#This Row],[Stock_Quantity]]&lt;=Inventory_Table[[#This Row],[Reorder_Level]],"REORDER","OK")</f>
        <v>OK</v>
      </c>
      <c r="U735" t="s">
        <v>3836</v>
      </c>
      <c r="V735" s="14">
        <f ca="1">TODAY()-Inventory_Table[[#This Row],[Last_Order_Date]]</f>
        <v>559</v>
      </c>
    </row>
    <row r="736" spans="1:22" x14ac:dyDescent="0.35">
      <c r="A736" t="s">
        <v>1603</v>
      </c>
      <c r="B736" t="s">
        <v>36</v>
      </c>
      <c r="C736" t="s">
        <v>1217</v>
      </c>
      <c r="D736" t="s">
        <v>2988</v>
      </c>
      <c r="E736" t="s">
        <v>21</v>
      </c>
      <c r="F736" t="s">
        <v>2989</v>
      </c>
      <c r="G736" t="s">
        <v>2990</v>
      </c>
      <c r="H736" s="1">
        <v>46141</v>
      </c>
      <c r="I736" s="6">
        <v>45475</v>
      </c>
      <c r="J736" s="6">
        <v>46263</v>
      </c>
      <c r="K736">
        <v>48</v>
      </c>
      <c r="L736">
        <v>71</v>
      </c>
      <c r="M736">
        <v>86</v>
      </c>
      <c r="N736" s="8">
        <v>3</v>
      </c>
      <c r="O736">
        <v>95</v>
      </c>
      <c r="P736">
        <v>3</v>
      </c>
      <c r="Q736" s="3">
        <v>0.79</v>
      </c>
      <c r="R736">
        <f>Inventory_Table[[#This Row],[Stock_Quantity]]*Inventory_Table[[#This Row],[Unit_Price]]</f>
        <v>144</v>
      </c>
      <c r="S736">
        <f>Inventory_Table[[#This Row],[Sales_Volume]]*Inventory_Table[[#This Row],[Unit_Price]]</f>
        <v>285</v>
      </c>
      <c r="T736" t="str">
        <f>IF(Inventory_Table[[#This Row],[Stock_Quantity]]&lt;=Inventory_Table[[#This Row],[Reorder_Level]],"REORDER","OK")</f>
        <v>REORDER</v>
      </c>
      <c r="U736" t="s">
        <v>3836</v>
      </c>
      <c r="V736" s="14">
        <f ca="1">TODAY()-Inventory_Table[[#This Row],[Last_Order_Date]]</f>
        <v>701</v>
      </c>
    </row>
    <row r="737" spans="1:22" x14ac:dyDescent="0.35">
      <c r="A737" t="s">
        <v>296</v>
      </c>
      <c r="B737" t="s">
        <v>27</v>
      </c>
      <c r="C737" t="s">
        <v>703</v>
      </c>
      <c r="D737" t="s">
        <v>2991</v>
      </c>
      <c r="E737" t="s">
        <v>30</v>
      </c>
      <c r="F737" t="s">
        <v>2992</v>
      </c>
      <c r="G737" t="s">
        <v>2993</v>
      </c>
      <c r="H737" s="1">
        <v>46141</v>
      </c>
      <c r="I737" s="6">
        <v>45424</v>
      </c>
      <c r="J737" s="6">
        <v>46442</v>
      </c>
      <c r="K737">
        <v>58</v>
      </c>
      <c r="L737">
        <v>23</v>
      </c>
      <c r="M737">
        <v>66</v>
      </c>
      <c r="N737" s="8">
        <v>1.8</v>
      </c>
      <c r="O737">
        <v>82</v>
      </c>
      <c r="P737">
        <v>61</v>
      </c>
      <c r="Q737" s="3">
        <v>0.97</v>
      </c>
      <c r="R737">
        <f>Inventory_Table[[#This Row],[Stock_Quantity]]*Inventory_Table[[#This Row],[Unit_Price]]</f>
        <v>104.4</v>
      </c>
      <c r="S737">
        <f>Inventory_Table[[#This Row],[Sales_Volume]]*Inventory_Table[[#This Row],[Unit_Price]]</f>
        <v>147.6</v>
      </c>
      <c r="T737" t="str">
        <f>IF(Inventory_Table[[#This Row],[Stock_Quantity]]&lt;=Inventory_Table[[#This Row],[Reorder_Level]],"REORDER","OK")</f>
        <v>OK</v>
      </c>
      <c r="U737" t="s">
        <v>3836</v>
      </c>
      <c r="V737" s="14">
        <f ca="1">TODAY()-Inventory_Table[[#This Row],[Last_Order_Date]]</f>
        <v>752</v>
      </c>
    </row>
    <row r="738" spans="1:22" x14ac:dyDescent="0.35">
      <c r="A738" t="s">
        <v>671</v>
      </c>
      <c r="B738" t="s">
        <v>65</v>
      </c>
      <c r="C738" t="s">
        <v>2645</v>
      </c>
      <c r="D738" t="s">
        <v>2994</v>
      </c>
      <c r="E738" t="s">
        <v>30</v>
      </c>
      <c r="F738" t="s">
        <v>2995</v>
      </c>
      <c r="G738" t="s">
        <v>2996</v>
      </c>
      <c r="H738" s="1">
        <v>46141</v>
      </c>
      <c r="I738" s="6">
        <v>45369</v>
      </c>
      <c r="J738" s="6">
        <v>46133</v>
      </c>
      <c r="K738">
        <v>39</v>
      </c>
      <c r="L738">
        <v>2</v>
      </c>
      <c r="M738">
        <v>71</v>
      </c>
      <c r="N738" s="8">
        <v>1.45</v>
      </c>
      <c r="O738">
        <v>20</v>
      </c>
      <c r="P738">
        <v>70</v>
      </c>
      <c r="Q738" s="3">
        <v>0.26</v>
      </c>
      <c r="R738">
        <f>Inventory_Table[[#This Row],[Stock_Quantity]]*Inventory_Table[[#This Row],[Unit_Price]]</f>
        <v>56.55</v>
      </c>
      <c r="S738">
        <f>Inventory_Table[[#This Row],[Sales_Volume]]*Inventory_Table[[#This Row],[Unit_Price]]</f>
        <v>29</v>
      </c>
      <c r="T738" t="str">
        <f>IF(Inventory_Table[[#This Row],[Stock_Quantity]]&lt;=Inventory_Table[[#This Row],[Reorder_Level]],"REORDER","OK")</f>
        <v>OK</v>
      </c>
      <c r="U738" t="s">
        <v>3838</v>
      </c>
      <c r="V738" s="14">
        <f ca="1">TODAY()-Inventory_Table[[#This Row],[Last_Order_Date]]</f>
        <v>807</v>
      </c>
    </row>
    <row r="739" spans="1:22" x14ac:dyDescent="0.35">
      <c r="A739" t="s">
        <v>1603</v>
      </c>
      <c r="B739" t="s">
        <v>36</v>
      </c>
      <c r="C739" t="s">
        <v>429</v>
      </c>
      <c r="D739" t="s">
        <v>2997</v>
      </c>
      <c r="E739" t="s">
        <v>21</v>
      </c>
      <c r="F739" t="s">
        <v>2998</v>
      </c>
      <c r="G739" t="s">
        <v>2999</v>
      </c>
      <c r="H739" s="1">
        <v>46142</v>
      </c>
      <c r="I739" s="6">
        <v>45586</v>
      </c>
      <c r="J739" s="6">
        <v>46287</v>
      </c>
      <c r="K739">
        <v>51</v>
      </c>
      <c r="L739">
        <v>100</v>
      </c>
      <c r="M739">
        <v>70</v>
      </c>
      <c r="N739" s="8">
        <v>3</v>
      </c>
      <c r="O739">
        <v>40</v>
      </c>
      <c r="P739">
        <v>21</v>
      </c>
      <c r="Q739" s="3">
        <v>-2.5</v>
      </c>
      <c r="R739">
        <f>Inventory_Table[[#This Row],[Stock_Quantity]]*Inventory_Table[[#This Row],[Unit_Price]]</f>
        <v>153</v>
      </c>
      <c r="S739">
        <f>Inventory_Table[[#This Row],[Sales_Volume]]*Inventory_Table[[#This Row],[Unit_Price]]</f>
        <v>120</v>
      </c>
      <c r="T739" t="str">
        <f>IF(Inventory_Table[[#This Row],[Stock_Quantity]]&lt;=Inventory_Table[[#This Row],[Reorder_Level]],"REORDER","OK")</f>
        <v>REORDER</v>
      </c>
      <c r="U739" t="s">
        <v>3836</v>
      </c>
      <c r="V739" s="14">
        <f ca="1">TODAY()-Inventory_Table[[#This Row],[Last_Order_Date]]</f>
        <v>590</v>
      </c>
    </row>
    <row r="740" spans="1:22" x14ac:dyDescent="0.35">
      <c r="A740" t="s">
        <v>793</v>
      </c>
      <c r="B740" t="s">
        <v>75</v>
      </c>
      <c r="C740" t="s">
        <v>3000</v>
      </c>
      <c r="D740" t="s">
        <v>3001</v>
      </c>
      <c r="E740" t="s">
        <v>68</v>
      </c>
      <c r="F740" t="s">
        <v>3002</v>
      </c>
      <c r="G740" t="s">
        <v>3003</v>
      </c>
      <c r="H740" s="1">
        <v>46142</v>
      </c>
      <c r="I740" s="6">
        <v>45583</v>
      </c>
      <c r="J740" s="6">
        <v>46180</v>
      </c>
      <c r="K740">
        <v>16</v>
      </c>
      <c r="L740">
        <v>20</v>
      </c>
      <c r="M740">
        <v>45</v>
      </c>
      <c r="N740" s="8">
        <v>8</v>
      </c>
      <c r="O740">
        <v>81</v>
      </c>
      <c r="P740">
        <v>62</v>
      </c>
      <c r="Q740" s="3">
        <v>0.48</v>
      </c>
      <c r="R740">
        <f>Inventory_Table[[#This Row],[Stock_Quantity]]*Inventory_Table[[#This Row],[Unit_Price]]</f>
        <v>128</v>
      </c>
      <c r="S740">
        <f>Inventory_Table[[#This Row],[Sales_Volume]]*Inventory_Table[[#This Row],[Unit_Price]]</f>
        <v>648</v>
      </c>
      <c r="T740" t="str">
        <f>IF(Inventory_Table[[#This Row],[Stock_Quantity]]&lt;=Inventory_Table[[#This Row],[Reorder_Level]],"REORDER","OK")</f>
        <v>REORDER</v>
      </c>
      <c r="U740" t="s">
        <v>3837</v>
      </c>
      <c r="V740" s="14">
        <f ca="1">TODAY()-Inventory_Table[[#This Row],[Last_Order_Date]]</f>
        <v>593</v>
      </c>
    </row>
    <row r="741" spans="1:22" x14ac:dyDescent="0.35">
      <c r="A741" t="s">
        <v>653</v>
      </c>
      <c r="B741" t="s">
        <v>163</v>
      </c>
      <c r="C741" t="s">
        <v>2002</v>
      </c>
      <c r="D741" t="s">
        <v>3004</v>
      </c>
      <c r="E741" t="s">
        <v>30</v>
      </c>
      <c r="F741" t="s">
        <v>3005</v>
      </c>
      <c r="G741" t="s">
        <v>3006</v>
      </c>
      <c r="H741" s="1">
        <v>46142</v>
      </c>
      <c r="I741" s="6">
        <v>45453</v>
      </c>
      <c r="J741" s="6">
        <v>46424</v>
      </c>
      <c r="K741">
        <v>62</v>
      </c>
      <c r="L741">
        <v>31</v>
      </c>
      <c r="M741">
        <v>24</v>
      </c>
      <c r="N741" s="8">
        <v>25</v>
      </c>
      <c r="O741">
        <v>89</v>
      </c>
      <c r="P741">
        <v>100</v>
      </c>
      <c r="Q741" s="3">
        <v>0.23</v>
      </c>
      <c r="R741">
        <f>Inventory_Table[[#This Row],[Stock_Quantity]]*Inventory_Table[[#This Row],[Unit_Price]]</f>
        <v>1550</v>
      </c>
      <c r="S741">
        <f>Inventory_Table[[#This Row],[Sales_Volume]]*Inventory_Table[[#This Row],[Unit_Price]]</f>
        <v>2225</v>
      </c>
      <c r="T741" t="str">
        <f>IF(Inventory_Table[[#This Row],[Stock_Quantity]]&lt;=Inventory_Table[[#This Row],[Reorder_Level]],"REORDER","OK")</f>
        <v>OK</v>
      </c>
      <c r="U741" t="s">
        <v>3836</v>
      </c>
      <c r="V741" s="14">
        <f ca="1">TODAY()-Inventory_Table[[#This Row],[Last_Order_Date]]</f>
        <v>723</v>
      </c>
    </row>
    <row r="742" spans="1:22" x14ac:dyDescent="0.35">
      <c r="A742" t="s">
        <v>435</v>
      </c>
      <c r="B742" t="s">
        <v>18</v>
      </c>
      <c r="C742" t="s">
        <v>538</v>
      </c>
      <c r="D742" t="s">
        <v>3007</v>
      </c>
      <c r="E742" t="s">
        <v>68</v>
      </c>
      <c r="F742" t="s">
        <v>3008</v>
      </c>
      <c r="G742" t="s">
        <v>3009</v>
      </c>
      <c r="H742" s="1">
        <v>46155</v>
      </c>
      <c r="I742" s="6">
        <v>45516</v>
      </c>
      <c r="J742" s="6">
        <v>46261</v>
      </c>
      <c r="K742">
        <v>60</v>
      </c>
      <c r="L742">
        <v>61</v>
      </c>
      <c r="M742">
        <v>2</v>
      </c>
      <c r="N742" s="8">
        <v>6</v>
      </c>
      <c r="O742">
        <v>96</v>
      </c>
      <c r="P742">
        <v>50</v>
      </c>
      <c r="Q742" s="3">
        <v>-0.12</v>
      </c>
      <c r="R742">
        <f>Inventory_Table[[#This Row],[Stock_Quantity]]*Inventory_Table[[#This Row],[Unit_Price]]</f>
        <v>360</v>
      </c>
      <c r="S742">
        <f>Inventory_Table[[#This Row],[Sales_Volume]]*Inventory_Table[[#This Row],[Unit_Price]]</f>
        <v>576</v>
      </c>
      <c r="T742" t="str">
        <f>IF(Inventory_Table[[#This Row],[Stock_Quantity]]&lt;=Inventory_Table[[#This Row],[Reorder_Level]],"REORDER","OK")</f>
        <v>REORDER</v>
      </c>
      <c r="U742" t="s">
        <v>3836</v>
      </c>
      <c r="V742" s="14">
        <f ca="1">TODAY()-Inventory_Table[[#This Row],[Last_Order_Date]]</f>
        <v>660</v>
      </c>
    </row>
    <row r="743" spans="1:22" x14ac:dyDescent="0.35">
      <c r="A743" t="s">
        <v>750</v>
      </c>
      <c r="B743" t="s">
        <v>36</v>
      </c>
      <c r="C743" t="s">
        <v>213</v>
      </c>
      <c r="D743" t="s">
        <v>3010</v>
      </c>
      <c r="E743" t="s">
        <v>21</v>
      </c>
      <c r="F743" t="s">
        <v>3011</v>
      </c>
      <c r="G743" t="s">
        <v>3012</v>
      </c>
      <c r="H743" s="1">
        <v>46155</v>
      </c>
      <c r="I743" s="6">
        <v>45472</v>
      </c>
      <c r="J743" s="6">
        <v>46087</v>
      </c>
      <c r="K743">
        <v>47</v>
      </c>
      <c r="L743">
        <v>2</v>
      </c>
      <c r="M743">
        <v>76</v>
      </c>
      <c r="N743" s="8">
        <v>2.5</v>
      </c>
      <c r="O743">
        <v>48</v>
      </c>
      <c r="P743">
        <v>36</v>
      </c>
      <c r="Q743" s="3">
        <v>0.48</v>
      </c>
      <c r="R743">
        <f>Inventory_Table[[#This Row],[Stock_Quantity]]*Inventory_Table[[#This Row],[Unit_Price]]</f>
        <v>117.5</v>
      </c>
      <c r="S743">
        <f>Inventory_Table[[#This Row],[Sales_Volume]]*Inventory_Table[[#This Row],[Unit_Price]]</f>
        <v>120</v>
      </c>
      <c r="T743" t="str">
        <f>IF(Inventory_Table[[#This Row],[Stock_Quantity]]&lt;=Inventory_Table[[#This Row],[Reorder_Level]],"REORDER","OK")</f>
        <v>OK</v>
      </c>
      <c r="U743" t="s">
        <v>3838</v>
      </c>
      <c r="V743" s="14">
        <f ca="1">TODAY()-Inventory_Table[[#This Row],[Last_Order_Date]]</f>
        <v>704</v>
      </c>
    </row>
    <row r="744" spans="1:22" x14ac:dyDescent="0.35">
      <c r="A744" t="s">
        <v>350</v>
      </c>
      <c r="B744" t="s">
        <v>36</v>
      </c>
      <c r="C744" t="s">
        <v>3013</v>
      </c>
      <c r="D744" t="s">
        <v>3014</v>
      </c>
      <c r="E744" t="s">
        <v>21</v>
      </c>
      <c r="F744" t="s">
        <v>3015</v>
      </c>
      <c r="G744" t="s">
        <v>3016</v>
      </c>
      <c r="H744" s="1">
        <v>46155</v>
      </c>
      <c r="I744" s="6">
        <v>45709</v>
      </c>
      <c r="J744" s="6">
        <v>46402</v>
      </c>
      <c r="K744">
        <v>23</v>
      </c>
      <c r="L744">
        <v>38</v>
      </c>
      <c r="M744">
        <v>25</v>
      </c>
      <c r="N744" s="8">
        <v>1</v>
      </c>
      <c r="O744">
        <v>84</v>
      </c>
      <c r="P744">
        <v>78</v>
      </c>
      <c r="Q744" s="3">
        <v>0.25</v>
      </c>
      <c r="R744">
        <f>Inventory_Table[[#This Row],[Stock_Quantity]]*Inventory_Table[[#This Row],[Unit_Price]]</f>
        <v>23</v>
      </c>
      <c r="S744">
        <f>Inventory_Table[[#This Row],[Sales_Volume]]*Inventory_Table[[#This Row],[Unit_Price]]</f>
        <v>84</v>
      </c>
      <c r="T744" t="str">
        <f>IF(Inventory_Table[[#This Row],[Stock_Quantity]]&lt;=Inventory_Table[[#This Row],[Reorder_Level]],"REORDER","OK")</f>
        <v>REORDER</v>
      </c>
      <c r="U744" t="s">
        <v>3836</v>
      </c>
      <c r="V744" s="14">
        <f ca="1">TODAY()-Inventory_Table[[#This Row],[Last_Order_Date]]</f>
        <v>467</v>
      </c>
    </row>
    <row r="745" spans="1:22" x14ac:dyDescent="0.35">
      <c r="A745" t="s">
        <v>308</v>
      </c>
      <c r="B745" t="s">
        <v>27</v>
      </c>
      <c r="C745" t="s">
        <v>2475</v>
      </c>
      <c r="D745" t="s">
        <v>3017</v>
      </c>
      <c r="E745" t="s">
        <v>21</v>
      </c>
      <c r="F745" t="s">
        <v>3018</v>
      </c>
      <c r="G745" t="s">
        <v>3019</v>
      </c>
      <c r="H745" s="1">
        <v>46155</v>
      </c>
      <c r="I745" s="6">
        <v>45707</v>
      </c>
      <c r="J745" s="6">
        <v>46218</v>
      </c>
      <c r="K745">
        <v>85</v>
      </c>
      <c r="L745">
        <v>15</v>
      </c>
      <c r="M745">
        <v>16</v>
      </c>
      <c r="N745" s="8">
        <v>6.5</v>
      </c>
      <c r="O745">
        <v>46</v>
      </c>
      <c r="P745">
        <v>24</v>
      </c>
      <c r="Q745" s="3">
        <v>7.0000000000000007E-2</v>
      </c>
      <c r="R745">
        <f>Inventory_Table[[#This Row],[Stock_Quantity]]*Inventory_Table[[#This Row],[Unit_Price]]</f>
        <v>552.5</v>
      </c>
      <c r="S745">
        <f>Inventory_Table[[#This Row],[Sales_Volume]]*Inventory_Table[[#This Row],[Unit_Price]]</f>
        <v>299</v>
      </c>
      <c r="T745" t="str">
        <f>IF(Inventory_Table[[#This Row],[Stock_Quantity]]&lt;=Inventory_Table[[#This Row],[Reorder_Level]],"REORDER","OK")</f>
        <v>OK</v>
      </c>
      <c r="U745" t="s">
        <v>3836</v>
      </c>
      <c r="V745" s="14">
        <f ca="1">TODAY()-Inventory_Table[[#This Row],[Last_Order_Date]]</f>
        <v>469</v>
      </c>
    </row>
    <row r="746" spans="1:22" x14ac:dyDescent="0.35">
      <c r="A746" t="s">
        <v>480</v>
      </c>
      <c r="B746" t="s">
        <v>36</v>
      </c>
      <c r="C746" t="s">
        <v>2059</v>
      </c>
      <c r="D746" t="s">
        <v>3020</v>
      </c>
      <c r="E746" t="s">
        <v>30</v>
      </c>
      <c r="F746" t="s">
        <v>3021</v>
      </c>
      <c r="G746" t="s">
        <v>3022</v>
      </c>
      <c r="H746" s="1">
        <v>46155</v>
      </c>
      <c r="I746" s="6">
        <v>45353</v>
      </c>
      <c r="J746" s="6">
        <v>46416</v>
      </c>
      <c r="K746">
        <v>55</v>
      </c>
      <c r="L746">
        <v>25</v>
      </c>
      <c r="M746">
        <v>87</v>
      </c>
      <c r="N746" s="8">
        <v>4</v>
      </c>
      <c r="O746">
        <v>69</v>
      </c>
      <c r="P746">
        <v>48</v>
      </c>
      <c r="Q746" s="3">
        <v>0.48</v>
      </c>
      <c r="R746">
        <f>Inventory_Table[[#This Row],[Stock_Quantity]]*Inventory_Table[[#This Row],[Unit_Price]]</f>
        <v>220</v>
      </c>
      <c r="S746">
        <f>Inventory_Table[[#This Row],[Sales_Volume]]*Inventory_Table[[#This Row],[Unit_Price]]</f>
        <v>276</v>
      </c>
      <c r="T746" t="str">
        <f>IF(Inventory_Table[[#This Row],[Stock_Quantity]]&lt;=Inventory_Table[[#This Row],[Reorder_Level]],"REORDER","OK")</f>
        <v>OK</v>
      </c>
      <c r="U746" t="s">
        <v>3836</v>
      </c>
      <c r="V746" s="14">
        <f ca="1">TODAY()-Inventory_Table[[#This Row],[Last_Order_Date]]</f>
        <v>823</v>
      </c>
    </row>
    <row r="747" spans="1:22" x14ac:dyDescent="0.35">
      <c r="A747" t="s">
        <v>270</v>
      </c>
      <c r="B747" t="s">
        <v>36</v>
      </c>
      <c r="C747" t="s">
        <v>1728</v>
      </c>
      <c r="D747" t="s">
        <v>3023</v>
      </c>
      <c r="E747" t="s">
        <v>30</v>
      </c>
      <c r="F747" t="s">
        <v>3024</v>
      </c>
      <c r="G747" t="s">
        <v>3025</v>
      </c>
      <c r="H747" s="1">
        <v>46155</v>
      </c>
      <c r="I747" s="6">
        <v>45439</v>
      </c>
      <c r="J747" s="6">
        <v>46374</v>
      </c>
      <c r="K747">
        <v>81</v>
      </c>
      <c r="L747">
        <v>76</v>
      </c>
      <c r="M747">
        <v>10</v>
      </c>
      <c r="N747" s="8">
        <v>4</v>
      </c>
      <c r="O747">
        <v>68</v>
      </c>
      <c r="P747">
        <v>100</v>
      </c>
      <c r="Q747" s="3">
        <v>0.3</v>
      </c>
      <c r="R747">
        <f>Inventory_Table[[#This Row],[Stock_Quantity]]*Inventory_Table[[#This Row],[Unit_Price]]</f>
        <v>324</v>
      </c>
      <c r="S747">
        <f>Inventory_Table[[#This Row],[Sales_Volume]]*Inventory_Table[[#This Row],[Unit_Price]]</f>
        <v>272</v>
      </c>
      <c r="T747" t="str">
        <f>IF(Inventory_Table[[#This Row],[Stock_Quantity]]&lt;=Inventory_Table[[#This Row],[Reorder_Level]],"REORDER","OK")</f>
        <v>OK</v>
      </c>
      <c r="U747" t="s">
        <v>3836</v>
      </c>
      <c r="V747" s="14">
        <f ca="1">TODAY()-Inventory_Table[[#This Row],[Last_Order_Date]]</f>
        <v>737</v>
      </c>
    </row>
    <row r="748" spans="1:22" x14ac:dyDescent="0.35">
      <c r="A748" t="s">
        <v>832</v>
      </c>
      <c r="B748" t="s">
        <v>18</v>
      </c>
      <c r="C748" t="s">
        <v>1822</v>
      </c>
      <c r="D748" t="s">
        <v>3026</v>
      </c>
      <c r="E748" t="s">
        <v>21</v>
      </c>
      <c r="F748" t="s">
        <v>3027</v>
      </c>
      <c r="G748" t="s">
        <v>3028</v>
      </c>
      <c r="H748" s="1">
        <v>46157</v>
      </c>
      <c r="I748" s="6">
        <v>45519</v>
      </c>
      <c r="J748" s="6">
        <v>46153</v>
      </c>
      <c r="K748">
        <v>28</v>
      </c>
      <c r="L748">
        <v>27</v>
      </c>
      <c r="M748">
        <v>22</v>
      </c>
      <c r="N748" s="8">
        <v>6</v>
      </c>
      <c r="O748">
        <v>70</v>
      </c>
      <c r="P748">
        <v>30</v>
      </c>
      <c r="Q748" s="3">
        <v>-0.47</v>
      </c>
      <c r="R748">
        <f>Inventory_Table[[#This Row],[Stock_Quantity]]*Inventory_Table[[#This Row],[Unit_Price]]</f>
        <v>168</v>
      </c>
      <c r="S748">
        <f>Inventory_Table[[#This Row],[Sales_Volume]]*Inventory_Table[[#This Row],[Unit_Price]]</f>
        <v>420</v>
      </c>
      <c r="T748" t="str">
        <f>IF(Inventory_Table[[#This Row],[Stock_Quantity]]&lt;=Inventory_Table[[#This Row],[Reorder_Level]],"REORDER","OK")</f>
        <v>OK</v>
      </c>
      <c r="U748" t="s">
        <v>3838</v>
      </c>
      <c r="V748" s="14">
        <f ca="1">TODAY()-Inventory_Table[[#This Row],[Last_Order_Date]]</f>
        <v>657</v>
      </c>
    </row>
    <row r="749" spans="1:22" x14ac:dyDescent="0.35">
      <c r="A749" t="s">
        <v>685</v>
      </c>
      <c r="B749" t="s">
        <v>114</v>
      </c>
      <c r="C749" t="s">
        <v>775</v>
      </c>
      <c r="D749" t="s">
        <v>3029</v>
      </c>
      <c r="E749" t="s">
        <v>68</v>
      </c>
      <c r="F749" t="s">
        <v>3030</v>
      </c>
      <c r="G749" t="s">
        <v>3031</v>
      </c>
      <c r="H749" s="1">
        <v>46157</v>
      </c>
      <c r="I749" s="6">
        <v>45489</v>
      </c>
      <c r="J749" s="6">
        <v>46370</v>
      </c>
      <c r="K749">
        <v>99</v>
      </c>
      <c r="L749">
        <v>6</v>
      </c>
      <c r="M749">
        <v>88</v>
      </c>
      <c r="N749" s="8">
        <v>3</v>
      </c>
      <c r="O749">
        <v>49</v>
      </c>
      <c r="P749">
        <v>9</v>
      </c>
      <c r="Q749" s="3">
        <v>0.56999999999999995</v>
      </c>
      <c r="R749">
        <f>Inventory_Table[[#This Row],[Stock_Quantity]]*Inventory_Table[[#This Row],[Unit_Price]]</f>
        <v>297</v>
      </c>
      <c r="S749">
        <f>Inventory_Table[[#This Row],[Sales_Volume]]*Inventory_Table[[#This Row],[Unit_Price]]</f>
        <v>147</v>
      </c>
      <c r="T749" t="str">
        <f>IF(Inventory_Table[[#This Row],[Stock_Quantity]]&lt;=Inventory_Table[[#This Row],[Reorder_Level]],"REORDER","OK")</f>
        <v>OK</v>
      </c>
      <c r="U749" t="s">
        <v>3836</v>
      </c>
      <c r="V749" s="14">
        <f ca="1">TODAY()-Inventory_Table[[#This Row],[Last_Order_Date]]</f>
        <v>687</v>
      </c>
    </row>
    <row r="750" spans="1:22" x14ac:dyDescent="0.35">
      <c r="A750" t="s">
        <v>194</v>
      </c>
      <c r="B750" t="s">
        <v>114</v>
      </c>
      <c r="C750" t="s">
        <v>3032</v>
      </c>
      <c r="D750" t="s">
        <v>3033</v>
      </c>
      <c r="E750" t="s">
        <v>21</v>
      </c>
      <c r="F750" t="s">
        <v>3034</v>
      </c>
      <c r="G750" t="s">
        <v>3035</v>
      </c>
      <c r="H750" s="1">
        <v>46158</v>
      </c>
      <c r="I750" s="6">
        <v>45572</v>
      </c>
      <c r="J750" s="6">
        <v>46113</v>
      </c>
      <c r="K750">
        <v>34</v>
      </c>
      <c r="L750">
        <v>42</v>
      </c>
      <c r="M750">
        <v>86</v>
      </c>
      <c r="N750" s="8">
        <v>4</v>
      </c>
      <c r="O750">
        <v>28</v>
      </c>
      <c r="P750">
        <v>23</v>
      </c>
      <c r="Q750" s="3">
        <v>0.82</v>
      </c>
      <c r="R750">
        <f>Inventory_Table[[#This Row],[Stock_Quantity]]*Inventory_Table[[#This Row],[Unit_Price]]</f>
        <v>136</v>
      </c>
      <c r="S750">
        <f>Inventory_Table[[#This Row],[Sales_Volume]]*Inventory_Table[[#This Row],[Unit_Price]]</f>
        <v>112</v>
      </c>
      <c r="T750" t="str">
        <f>IF(Inventory_Table[[#This Row],[Stock_Quantity]]&lt;=Inventory_Table[[#This Row],[Reorder_Level]],"REORDER","OK")</f>
        <v>REORDER</v>
      </c>
      <c r="U750" t="s">
        <v>3838</v>
      </c>
      <c r="V750" s="14">
        <f ca="1">TODAY()-Inventory_Table[[#This Row],[Last_Order_Date]]</f>
        <v>604</v>
      </c>
    </row>
    <row r="751" spans="1:22" x14ac:dyDescent="0.35">
      <c r="A751" t="s">
        <v>450</v>
      </c>
      <c r="B751" t="s">
        <v>18</v>
      </c>
      <c r="C751" t="s">
        <v>3036</v>
      </c>
      <c r="D751" t="s">
        <v>3037</v>
      </c>
      <c r="E751" t="s">
        <v>68</v>
      </c>
      <c r="F751" t="s">
        <v>3038</v>
      </c>
      <c r="G751" t="s">
        <v>3039</v>
      </c>
      <c r="H751" s="1">
        <v>46158</v>
      </c>
      <c r="I751" s="6">
        <v>45479</v>
      </c>
      <c r="J751" s="6">
        <v>46386</v>
      </c>
      <c r="K751">
        <v>62</v>
      </c>
      <c r="L751">
        <v>79</v>
      </c>
      <c r="M751">
        <v>95</v>
      </c>
      <c r="N751" s="8">
        <v>1</v>
      </c>
      <c r="O751">
        <v>34</v>
      </c>
      <c r="P751">
        <v>12</v>
      </c>
      <c r="Q751" s="3">
        <v>0.18</v>
      </c>
      <c r="R751">
        <f>Inventory_Table[[#This Row],[Stock_Quantity]]*Inventory_Table[[#This Row],[Unit_Price]]</f>
        <v>62</v>
      </c>
      <c r="S751">
        <f>Inventory_Table[[#This Row],[Sales_Volume]]*Inventory_Table[[#This Row],[Unit_Price]]</f>
        <v>34</v>
      </c>
      <c r="T751" t="str">
        <f>IF(Inventory_Table[[#This Row],[Stock_Quantity]]&lt;=Inventory_Table[[#This Row],[Reorder_Level]],"REORDER","OK")</f>
        <v>REORDER</v>
      </c>
      <c r="U751" t="s">
        <v>3836</v>
      </c>
      <c r="V751" s="14">
        <f ca="1">TODAY()-Inventory_Table[[#This Row],[Last_Order_Date]]</f>
        <v>697</v>
      </c>
    </row>
    <row r="752" spans="1:22" x14ac:dyDescent="0.35">
      <c r="A752" t="s">
        <v>326</v>
      </c>
      <c r="B752" t="s">
        <v>18</v>
      </c>
      <c r="C752" t="s">
        <v>714</v>
      </c>
      <c r="D752" t="s">
        <v>3040</v>
      </c>
      <c r="E752" t="s">
        <v>21</v>
      </c>
      <c r="F752" t="s">
        <v>3041</v>
      </c>
      <c r="G752" t="s">
        <v>3042</v>
      </c>
      <c r="H752" s="1">
        <v>46158</v>
      </c>
      <c r="I752" s="6">
        <v>45423</v>
      </c>
      <c r="J752" s="6">
        <v>46179</v>
      </c>
      <c r="K752">
        <v>55</v>
      </c>
      <c r="L752">
        <v>96</v>
      </c>
      <c r="M752">
        <v>40</v>
      </c>
      <c r="N752" s="8">
        <v>5</v>
      </c>
      <c r="O752">
        <v>23</v>
      </c>
      <c r="P752">
        <v>47</v>
      </c>
      <c r="Q752" s="3">
        <v>0.65</v>
      </c>
      <c r="R752">
        <f>Inventory_Table[[#This Row],[Stock_Quantity]]*Inventory_Table[[#This Row],[Unit_Price]]</f>
        <v>275</v>
      </c>
      <c r="S752">
        <f>Inventory_Table[[#This Row],[Sales_Volume]]*Inventory_Table[[#This Row],[Unit_Price]]</f>
        <v>115</v>
      </c>
      <c r="T752" t="str">
        <f>IF(Inventory_Table[[#This Row],[Stock_Quantity]]&lt;=Inventory_Table[[#This Row],[Reorder_Level]],"REORDER","OK")</f>
        <v>REORDER</v>
      </c>
      <c r="U752" t="s">
        <v>3837</v>
      </c>
      <c r="V752" s="14">
        <f ca="1">TODAY()-Inventory_Table[[#This Row],[Last_Order_Date]]</f>
        <v>753</v>
      </c>
    </row>
    <row r="753" spans="1:22" x14ac:dyDescent="0.35">
      <c r="A753" t="s">
        <v>718</v>
      </c>
      <c r="B753" t="s">
        <v>65</v>
      </c>
      <c r="C753" t="s">
        <v>723</v>
      </c>
      <c r="D753" t="s">
        <v>3043</v>
      </c>
      <c r="E753" t="s">
        <v>30</v>
      </c>
      <c r="F753" t="s">
        <v>3044</v>
      </c>
      <c r="G753" t="s">
        <v>3045</v>
      </c>
      <c r="H753" s="1">
        <v>46160</v>
      </c>
      <c r="I753" s="6">
        <v>45555</v>
      </c>
      <c r="J753" s="6">
        <v>46142</v>
      </c>
      <c r="K753">
        <v>47</v>
      </c>
      <c r="L753">
        <v>7</v>
      </c>
      <c r="M753">
        <v>63</v>
      </c>
      <c r="N753" s="8">
        <v>2</v>
      </c>
      <c r="O753">
        <v>29</v>
      </c>
      <c r="P753">
        <v>20</v>
      </c>
      <c r="Q753" s="3">
        <v>-1.04</v>
      </c>
      <c r="R753">
        <f>Inventory_Table[[#This Row],[Stock_Quantity]]*Inventory_Table[[#This Row],[Unit_Price]]</f>
        <v>94</v>
      </c>
      <c r="S753">
        <f>Inventory_Table[[#This Row],[Sales_Volume]]*Inventory_Table[[#This Row],[Unit_Price]]</f>
        <v>58</v>
      </c>
      <c r="T753" t="str">
        <f>IF(Inventory_Table[[#This Row],[Stock_Quantity]]&lt;=Inventory_Table[[#This Row],[Reorder_Level]],"REORDER","OK")</f>
        <v>OK</v>
      </c>
      <c r="U753" t="s">
        <v>3838</v>
      </c>
      <c r="V753" s="14">
        <f ca="1">TODAY()-Inventory_Table[[#This Row],[Last_Order_Date]]</f>
        <v>621</v>
      </c>
    </row>
    <row r="754" spans="1:22" x14ac:dyDescent="0.35">
      <c r="A754" t="s">
        <v>1008</v>
      </c>
      <c r="B754" t="s">
        <v>18</v>
      </c>
      <c r="C754" t="s">
        <v>3046</v>
      </c>
      <c r="D754" t="s">
        <v>3047</v>
      </c>
      <c r="E754" t="s">
        <v>30</v>
      </c>
      <c r="F754" t="s">
        <v>3048</v>
      </c>
      <c r="G754" t="s">
        <v>3049</v>
      </c>
      <c r="H754" s="1">
        <v>46160</v>
      </c>
      <c r="I754" s="6">
        <v>45662</v>
      </c>
      <c r="J754" s="6">
        <v>46129</v>
      </c>
      <c r="K754">
        <v>12</v>
      </c>
      <c r="L754">
        <v>28</v>
      </c>
      <c r="M754">
        <v>11</v>
      </c>
      <c r="N754" s="8">
        <v>3</v>
      </c>
      <c r="O754">
        <v>46</v>
      </c>
      <c r="P754">
        <v>88</v>
      </c>
      <c r="Q754" s="3">
        <v>0.31</v>
      </c>
      <c r="R754">
        <f>Inventory_Table[[#This Row],[Stock_Quantity]]*Inventory_Table[[#This Row],[Unit_Price]]</f>
        <v>36</v>
      </c>
      <c r="S754">
        <f>Inventory_Table[[#This Row],[Sales_Volume]]*Inventory_Table[[#This Row],[Unit_Price]]</f>
        <v>138</v>
      </c>
      <c r="T754" t="str">
        <f>IF(Inventory_Table[[#This Row],[Stock_Quantity]]&lt;=Inventory_Table[[#This Row],[Reorder_Level]],"REORDER","OK")</f>
        <v>REORDER</v>
      </c>
      <c r="U754" t="s">
        <v>3838</v>
      </c>
      <c r="V754" s="14">
        <f ca="1">TODAY()-Inventory_Table[[#This Row],[Last_Order_Date]]</f>
        <v>514</v>
      </c>
    </row>
    <row r="755" spans="1:22" x14ac:dyDescent="0.35">
      <c r="A755" t="s">
        <v>1003</v>
      </c>
      <c r="B755" t="s">
        <v>18</v>
      </c>
      <c r="C755" t="s">
        <v>2771</v>
      </c>
      <c r="D755" t="s">
        <v>3050</v>
      </c>
      <c r="E755" t="s">
        <v>21</v>
      </c>
      <c r="F755" t="s">
        <v>3051</v>
      </c>
      <c r="G755" t="s">
        <v>3052</v>
      </c>
      <c r="H755" s="1">
        <v>46160</v>
      </c>
      <c r="I755" s="6">
        <v>45567</v>
      </c>
      <c r="J755" s="6">
        <v>46380</v>
      </c>
      <c r="K755">
        <v>84</v>
      </c>
      <c r="L755">
        <v>46</v>
      </c>
      <c r="M755">
        <v>80</v>
      </c>
      <c r="N755" s="8">
        <v>3.5</v>
      </c>
      <c r="O755">
        <v>66</v>
      </c>
      <c r="P755">
        <v>84</v>
      </c>
      <c r="Q755" s="3">
        <v>-0.91</v>
      </c>
      <c r="R755">
        <f>Inventory_Table[[#This Row],[Stock_Quantity]]*Inventory_Table[[#This Row],[Unit_Price]]</f>
        <v>294</v>
      </c>
      <c r="S755">
        <f>Inventory_Table[[#This Row],[Sales_Volume]]*Inventory_Table[[#This Row],[Unit_Price]]</f>
        <v>231</v>
      </c>
      <c r="T755" t="str">
        <f>IF(Inventory_Table[[#This Row],[Stock_Quantity]]&lt;=Inventory_Table[[#This Row],[Reorder_Level]],"REORDER","OK")</f>
        <v>OK</v>
      </c>
      <c r="U755" t="s">
        <v>3836</v>
      </c>
      <c r="V755" s="14">
        <f ca="1">TODAY()-Inventory_Table[[#This Row],[Last_Order_Date]]</f>
        <v>609</v>
      </c>
    </row>
    <row r="756" spans="1:22" x14ac:dyDescent="0.35">
      <c r="A756" t="s">
        <v>1201</v>
      </c>
      <c r="B756" t="s">
        <v>18</v>
      </c>
      <c r="C756" t="s">
        <v>1874</v>
      </c>
      <c r="D756" t="s">
        <v>3053</v>
      </c>
      <c r="E756" t="s">
        <v>68</v>
      </c>
      <c r="F756" t="s">
        <v>3054</v>
      </c>
      <c r="G756" t="s">
        <v>3055</v>
      </c>
      <c r="H756" s="1">
        <v>46161</v>
      </c>
      <c r="I756" s="6">
        <v>45701</v>
      </c>
      <c r="J756" s="6">
        <v>46149</v>
      </c>
      <c r="K756">
        <v>47</v>
      </c>
      <c r="L756">
        <v>63</v>
      </c>
      <c r="M756">
        <v>86</v>
      </c>
      <c r="N756" s="8">
        <v>4</v>
      </c>
      <c r="O756">
        <v>76</v>
      </c>
      <c r="P756">
        <v>29</v>
      </c>
      <c r="Q756" s="3">
        <v>-0.27</v>
      </c>
      <c r="R756">
        <f>Inventory_Table[[#This Row],[Stock_Quantity]]*Inventory_Table[[#This Row],[Unit_Price]]</f>
        <v>188</v>
      </c>
      <c r="S756">
        <f>Inventory_Table[[#This Row],[Sales_Volume]]*Inventory_Table[[#This Row],[Unit_Price]]</f>
        <v>304</v>
      </c>
      <c r="T756" t="str">
        <f>IF(Inventory_Table[[#This Row],[Stock_Quantity]]&lt;=Inventory_Table[[#This Row],[Reorder_Level]],"REORDER","OK")</f>
        <v>REORDER</v>
      </c>
      <c r="U756" t="s">
        <v>3838</v>
      </c>
      <c r="V756" s="14">
        <f ca="1">TODAY()-Inventory_Table[[#This Row],[Last_Order_Date]]</f>
        <v>475</v>
      </c>
    </row>
    <row r="757" spans="1:22" x14ac:dyDescent="0.35">
      <c r="A757" t="s">
        <v>532</v>
      </c>
      <c r="B757" t="s">
        <v>75</v>
      </c>
      <c r="C757" t="s">
        <v>1153</v>
      </c>
      <c r="D757" t="s">
        <v>3056</v>
      </c>
      <c r="E757" t="s">
        <v>68</v>
      </c>
      <c r="F757" t="s">
        <v>3057</v>
      </c>
      <c r="G757" t="s">
        <v>3058</v>
      </c>
      <c r="H757" s="1">
        <v>46162</v>
      </c>
      <c r="I757" s="6">
        <v>45620</v>
      </c>
      <c r="J757" s="6">
        <v>46146</v>
      </c>
      <c r="K757">
        <v>87</v>
      </c>
      <c r="L757">
        <v>24</v>
      </c>
      <c r="M757">
        <v>66</v>
      </c>
      <c r="N757" s="8">
        <v>18</v>
      </c>
      <c r="O757">
        <v>22</v>
      </c>
      <c r="P757">
        <v>34</v>
      </c>
      <c r="Q757" s="3">
        <v>0.62</v>
      </c>
      <c r="R757">
        <f>Inventory_Table[[#This Row],[Stock_Quantity]]*Inventory_Table[[#This Row],[Unit_Price]]</f>
        <v>1566</v>
      </c>
      <c r="S757">
        <f>Inventory_Table[[#This Row],[Sales_Volume]]*Inventory_Table[[#This Row],[Unit_Price]]</f>
        <v>396</v>
      </c>
      <c r="T757" t="str">
        <f>IF(Inventory_Table[[#This Row],[Stock_Quantity]]&lt;=Inventory_Table[[#This Row],[Reorder_Level]],"REORDER","OK")</f>
        <v>OK</v>
      </c>
      <c r="U757" t="s">
        <v>3838</v>
      </c>
      <c r="V757" s="14">
        <f ca="1">TODAY()-Inventory_Table[[#This Row],[Last_Order_Date]]</f>
        <v>556</v>
      </c>
    </row>
    <row r="758" spans="1:22" x14ac:dyDescent="0.35">
      <c r="A758" t="s">
        <v>596</v>
      </c>
      <c r="B758" t="s">
        <v>18</v>
      </c>
      <c r="C758" t="s">
        <v>866</v>
      </c>
      <c r="D758" t="s">
        <v>3059</v>
      </c>
      <c r="E758" t="s">
        <v>30</v>
      </c>
      <c r="F758" t="s">
        <v>3060</v>
      </c>
      <c r="G758" t="s">
        <v>3061</v>
      </c>
      <c r="H758" s="1">
        <v>46163</v>
      </c>
      <c r="I758" s="6">
        <v>45381</v>
      </c>
      <c r="J758" s="6">
        <v>46142</v>
      </c>
      <c r="K758">
        <v>47</v>
      </c>
      <c r="L758">
        <v>72</v>
      </c>
      <c r="M758">
        <v>73</v>
      </c>
      <c r="N758" s="8">
        <v>4</v>
      </c>
      <c r="O758">
        <v>93</v>
      </c>
      <c r="P758">
        <v>27</v>
      </c>
      <c r="Q758" s="3">
        <v>-0.55000000000000004</v>
      </c>
      <c r="R758">
        <f>Inventory_Table[[#This Row],[Stock_Quantity]]*Inventory_Table[[#This Row],[Unit_Price]]</f>
        <v>188</v>
      </c>
      <c r="S758">
        <f>Inventory_Table[[#This Row],[Sales_Volume]]*Inventory_Table[[#This Row],[Unit_Price]]</f>
        <v>372</v>
      </c>
      <c r="T758" t="str">
        <f>IF(Inventory_Table[[#This Row],[Stock_Quantity]]&lt;=Inventory_Table[[#This Row],[Reorder_Level]],"REORDER","OK")</f>
        <v>REORDER</v>
      </c>
      <c r="U758" t="s">
        <v>3838</v>
      </c>
      <c r="V758" s="14">
        <f ca="1">TODAY()-Inventory_Table[[#This Row],[Last_Order_Date]]</f>
        <v>795</v>
      </c>
    </row>
    <row r="759" spans="1:22" x14ac:dyDescent="0.35">
      <c r="A759" t="s">
        <v>872</v>
      </c>
      <c r="B759" t="s">
        <v>18</v>
      </c>
      <c r="C759" t="s">
        <v>1009</v>
      </c>
      <c r="D759" t="s">
        <v>3062</v>
      </c>
      <c r="E759" t="s">
        <v>68</v>
      </c>
      <c r="F759" t="s">
        <v>3063</v>
      </c>
      <c r="G759" t="s">
        <v>3064</v>
      </c>
      <c r="H759" s="1">
        <v>46164</v>
      </c>
      <c r="I759" s="6">
        <v>45419</v>
      </c>
      <c r="J759" s="6">
        <v>46190</v>
      </c>
      <c r="K759">
        <v>61</v>
      </c>
      <c r="L759">
        <v>17</v>
      </c>
      <c r="M759">
        <v>69</v>
      </c>
      <c r="N759" s="8">
        <v>2.52</v>
      </c>
      <c r="O759">
        <v>31</v>
      </c>
      <c r="P759">
        <v>29</v>
      </c>
      <c r="Q759" s="3">
        <v>0.71</v>
      </c>
      <c r="R759">
        <f>Inventory_Table[[#This Row],[Stock_Quantity]]*Inventory_Table[[#This Row],[Unit_Price]]</f>
        <v>153.72</v>
      </c>
      <c r="S759">
        <f>Inventory_Table[[#This Row],[Sales_Volume]]*Inventory_Table[[#This Row],[Unit_Price]]</f>
        <v>78.12</v>
      </c>
      <c r="T759" t="str">
        <f>IF(Inventory_Table[[#This Row],[Stock_Quantity]]&lt;=Inventory_Table[[#This Row],[Reorder_Level]],"REORDER","OK")</f>
        <v>OK</v>
      </c>
      <c r="U759" t="s">
        <v>3837</v>
      </c>
      <c r="V759" s="14">
        <f ca="1">TODAY()-Inventory_Table[[#This Row],[Last_Order_Date]]</f>
        <v>757</v>
      </c>
    </row>
    <row r="760" spans="1:22" x14ac:dyDescent="0.35">
      <c r="A760" t="s">
        <v>591</v>
      </c>
      <c r="B760" t="s">
        <v>36</v>
      </c>
      <c r="C760" t="s">
        <v>1657</v>
      </c>
      <c r="D760" t="s">
        <v>3066</v>
      </c>
      <c r="E760" t="s">
        <v>21</v>
      </c>
      <c r="F760" t="s">
        <v>3067</v>
      </c>
      <c r="G760" t="s">
        <v>3068</v>
      </c>
      <c r="H760" s="1">
        <v>46165</v>
      </c>
      <c r="I760" s="6">
        <v>45583</v>
      </c>
      <c r="J760" s="6">
        <v>46270</v>
      </c>
      <c r="K760">
        <v>62</v>
      </c>
      <c r="L760">
        <v>2</v>
      </c>
      <c r="M760">
        <v>98</v>
      </c>
      <c r="N760" s="8">
        <v>3</v>
      </c>
      <c r="O760">
        <v>50</v>
      </c>
      <c r="P760">
        <v>11</v>
      </c>
      <c r="Q760" s="3">
        <v>0.06</v>
      </c>
      <c r="R760">
        <f>Inventory_Table[[#This Row],[Stock_Quantity]]*Inventory_Table[[#This Row],[Unit_Price]]</f>
        <v>186</v>
      </c>
      <c r="S760">
        <f>Inventory_Table[[#This Row],[Sales_Volume]]*Inventory_Table[[#This Row],[Unit_Price]]</f>
        <v>150</v>
      </c>
      <c r="T760" t="str">
        <f>IF(Inventory_Table[[#This Row],[Stock_Quantity]]&lt;=Inventory_Table[[#This Row],[Reorder_Level]],"REORDER","OK")</f>
        <v>OK</v>
      </c>
      <c r="U760" t="s">
        <v>3836</v>
      </c>
      <c r="V760" s="14">
        <f ca="1">TODAY()-Inventory_Table[[#This Row],[Last_Order_Date]]</f>
        <v>593</v>
      </c>
    </row>
    <row r="761" spans="1:22" x14ac:dyDescent="0.35">
      <c r="A761" t="s">
        <v>793</v>
      </c>
      <c r="B761" t="s">
        <v>75</v>
      </c>
      <c r="C761" t="s">
        <v>1987</v>
      </c>
      <c r="D761" t="s">
        <v>3069</v>
      </c>
      <c r="E761" t="s">
        <v>68</v>
      </c>
      <c r="F761" t="s">
        <v>3070</v>
      </c>
      <c r="G761" t="s">
        <v>3071</v>
      </c>
      <c r="H761" s="1">
        <v>46165</v>
      </c>
      <c r="I761" s="6">
        <v>45486</v>
      </c>
      <c r="J761" s="6">
        <v>46143</v>
      </c>
      <c r="K761">
        <v>31</v>
      </c>
      <c r="L761">
        <v>87</v>
      </c>
      <c r="M761">
        <v>19</v>
      </c>
      <c r="N761" s="8">
        <v>8</v>
      </c>
      <c r="O761">
        <v>41</v>
      </c>
      <c r="P761">
        <v>10</v>
      </c>
      <c r="Q761" s="3">
        <v>0.78</v>
      </c>
      <c r="R761">
        <f>Inventory_Table[[#This Row],[Stock_Quantity]]*Inventory_Table[[#This Row],[Unit_Price]]</f>
        <v>248</v>
      </c>
      <c r="S761">
        <f>Inventory_Table[[#This Row],[Sales_Volume]]*Inventory_Table[[#This Row],[Unit_Price]]</f>
        <v>328</v>
      </c>
      <c r="T761" t="str">
        <f>IF(Inventory_Table[[#This Row],[Stock_Quantity]]&lt;=Inventory_Table[[#This Row],[Reorder_Level]],"REORDER","OK")</f>
        <v>REORDER</v>
      </c>
      <c r="U761" t="s">
        <v>3838</v>
      </c>
      <c r="V761" s="14">
        <f ca="1">TODAY()-Inventory_Table[[#This Row],[Last_Order_Date]]</f>
        <v>690</v>
      </c>
    </row>
    <row r="762" spans="1:22" x14ac:dyDescent="0.35">
      <c r="A762" t="s">
        <v>685</v>
      </c>
      <c r="B762" t="s">
        <v>114</v>
      </c>
      <c r="C762" t="s">
        <v>2028</v>
      </c>
      <c r="D762" t="s">
        <v>3072</v>
      </c>
      <c r="E762" t="s">
        <v>30</v>
      </c>
      <c r="F762" t="s">
        <v>3073</v>
      </c>
      <c r="G762" t="s">
        <v>3074</v>
      </c>
      <c r="H762" s="1">
        <v>46165</v>
      </c>
      <c r="I762" s="6">
        <v>45680</v>
      </c>
      <c r="J762" s="6">
        <v>46192</v>
      </c>
      <c r="K762">
        <v>28</v>
      </c>
      <c r="L762">
        <v>94</v>
      </c>
      <c r="M762">
        <v>80</v>
      </c>
      <c r="N762" s="8">
        <v>2.8</v>
      </c>
      <c r="O762">
        <v>31</v>
      </c>
      <c r="P762">
        <v>1</v>
      </c>
      <c r="Q762" s="3">
        <v>0.76</v>
      </c>
      <c r="R762">
        <f>Inventory_Table[[#This Row],[Stock_Quantity]]*Inventory_Table[[#This Row],[Unit_Price]]</f>
        <v>78.399999999999991</v>
      </c>
      <c r="S762">
        <f>Inventory_Table[[#This Row],[Sales_Volume]]*Inventory_Table[[#This Row],[Unit_Price]]</f>
        <v>86.8</v>
      </c>
      <c r="T762" t="str">
        <f>IF(Inventory_Table[[#This Row],[Stock_Quantity]]&lt;=Inventory_Table[[#This Row],[Reorder_Level]],"REORDER","OK")</f>
        <v>REORDER</v>
      </c>
      <c r="U762" t="s">
        <v>3837</v>
      </c>
      <c r="V762" s="14">
        <f ca="1">TODAY()-Inventory_Table[[#This Row],[Last_Order_Date]]</f>
        <v>496</v>
      </c>
    </row>
    <row r="763" spans="1:22" x14ac:dyDescent="0.35">
      <c r="A763" t="s">
        <v>1704</v>
      </c>
      <c r="B763" t="s">
        <v>18</v>
      </c>
      <c r="C763" t="s">
        <v>1213</v>
      </c>
      <c r="D763" t="s">
        <v>3075</v>
      </c>
      <c r="E763" t="s">
        <v>30</v>
      </c>
      <c r="F763" t="s">
        <v>3076</v>
      </c>
      <c r="G763" t="s">
        <v>3077</v>
      </c>
      <c r="H763" s="1">
        <v>46165</v>
      </c>
      <c r="I763" s="6">
        <v>45614</v>
      </c>
      <c r="J763" s="6">
        <v>46232</v>
      </c>
      <c r="K763">
        <v>28</v>
      </c>
      <c r="L763">
        <v>86</v>
      </c>
      <c r="M763">
        <v>44</v>
      </c>
      <c r="N763" s="8">
        <v>10</v>
      </c>
      <c r="O763">
        <v>48</v>
      </c>
      <c r="P763">
        <v>12</v>
      </c>
      <c r="Q763" s="3">
        <v>0.97</v>
      </c>
      <c r="R763">
        <f>Inventory_Table[[#This Row],[Stock_Quantity]]*Inventory_Table[[#This Row],[Unit_Price]]</f>
        <v>280</v>
      </c>
      <c r="S763">
        <f>Inventory_Table[[#This Row],[Sales_Volume]]*Inventory_Table[[#This Row],[Unit_Price]]</f>
        <v>480</v>
      </c>
      <c r="T763" t="str">
        <f>IF(Inventory_Table[[#This Row],[Stock_Quantity]]&lt;=Inventory_Table[[#This Row],[Reorder_Level]],"REORDER","OK")</f>
        <v>REORDER</v>
      </c>
      <c r="U763" t="s">
        <v>3836</v>
      </c>
      <c r="V763" s="14">
        <f ca="1">TODAY()-Inventory_Table[[#This Row],[Last_Order_Date]]</f>
        <v>562</v>
      </c>
    </row>
    <row r="764" spans="1:22" x14ac:dyDescent="0.35">
      <c r="A764" t="s">
        <v>240</v>
      </c>
      <c r="B764" t="s">
        <v>36</v>
      </c>
      <c r="C764" t="s">
        <v>37</v>
      </c>
      <c r="D764" t="s">
        <v>3078</v>
      </c>
      <c r="E764" t="s">
        <v>21</v>
      </c>
      <c r="F764" t="s">
        <v>3079</v>
      </c>
      <c r="G764" t="s">
        <v>3080</v>
      </c>
      <c r="H764" s="1">
        <v>46165</v>
      </c>
      <c r="I764" s="6">
        <v>45695</v>
      </c>
      <c r="J764" s="6">
        <v>46220</v>
      </c>
      <c r="K764">
        <v>74</v>
      </c>
      <c r="L764">
        <v>90</v>
      </c>
      <c r="M764">
        <v>26</v>
      </c>
      <c r="N764" s="8">
        <v>1</v>
      </c>
      <c r="O764">
        <v>24</v>
      </c>
      <c r="P764">
        <v>11</v>
      </c>
      <c r="Q764" s="3">
        <v>0.75</v>
      </c>
      <c r="R764">
        <f>Inventory_Table[[#This Row],[Stock_Quantity]]*Inventory_Table[[#This Row],[Unit_Price]]</f>
        <v>74</v>
      </c>
      <c r="S764">
        <f>Inventory_Table[[#This Row],[Sales_Volume]]*Inventory_Table[[#This Row],[Unit_Price]]</f>
        <v>24</v>
      </c>
      <c r="T764" t="str">
        <f>IF(Inventory_Table[[#This Row],[Stock_Quantity]]&lt;=Inventory_Table[[#This Row],[Reorder_Level]],"REORDER","OK")</f>
        <v>REORDER</v>
      </c>
      <c r="U764" t="s">
        <v>3836</v>
      </c>
      <c r="V764" s="14">
        <f ca="1">TODAY()-Inventory_Table[[#This Row],[Last_Order_Date]]</f>
        <v>481</v>
      </c>
    </row>
    <row r="765" spans="1:22" x14ac:dyDescent="0.35">
      <c r="A765" t="s">
        <v>148</v>
      </c>
      <c r="B765" t="s">
        <v>18</v>
      </c>
      <c r="C765" t="s">
        <v>838</v>
      </c>
      <c r="D765" t="s">
        <v>3081</v>
      </c>
      <c r="E765" t="s">
        <v>68</v>
      </c>
      <c r="F765" t="s">
        <v>3082</v>
      </c>
      <c r="G765" t="s">
        <v>3083</v>
      </c>
      <c r="H765" s="1">
        <v>46166</v>
      </c>
      <c r="I765" s="6">
        <v>45515</v>
      </c>
      <c r="J765" s="6">
        <v>46159</v>
      </c>
      <c r="K765">
        <v>49</v>
      </c>
      <c r="L765">
        <v>89</v>
      </c>
      <c r="M765">
        <v>65</v>
      </c>
      <c r="N765" s="8">
        <v>3</v>
      </c>
      <c r="O765">
        <v>37</v>
      </c>
      <c r="P765">
        <v>48</v>
      </c>
      <c r="Q765" s="3">
        <v>0.54</v>
      </c>
      <c r="R765">
        <f>Inventory_Table[[#This Row],[Stock_Quantity]]*Inventory_Table[[#This Row],[Unit_Price]]</f>
        <v>147</v>
      </c>
      <c r="S765">
        <f>Inventory_Table[[#This Row],[Sales_Volume]]*Inventory_Table[[#This Row],[Unit_Price]]</f>
        <v>111</v>
      </c>
      <c r="T765" t="str">
        <f>IF(Inventory_Table[[#This Row],[Stock_Quantity]]&lt;=Inventory_Table[[#This Row],[Reorder_Level]],"REORDER","OK")</f>
        <v>REORDER</v>
      </c>
      <c r="U765" t="s">
        <v>3838</v>
      </c>
      <c r="V765" s="14">
        <f ca="1">TODAY()-Inventory_Table[[#This Row],[Last_Order_Date]]</f>
        <v>661</v>
      </c>
    </row>
    <row r="766" spans="1:22" x14ac:dyDescent="0.35">
      <c r="A766" t="s">
        <v>142</v>
      </c>
      <c r="B766" t="s">
        <v>36</v>
      </c>
      <c r="C766" t="s">
        <v>3032</v>
      </c>
      <c r="D766" t="s">
        <v>3084</v>
      </c>
      <c r="E766" t="s">
        <v>21</v>
      </c>
      <c r="F766" t="s">
        <v>3085</v>
      </c>
      <c r="G766" t="s">
        <v>3086</v>
      </c>
      <c r="H766" s="1">
        <v>46166</v>
      </c>
      <c r="I766" s="6">
        <v>45526</v>
      </c>
      <c r="J766" s="6">
        <v>46159</v>
      </c>
      <c r="K766">
        <v>64</v>
      </c>
      <c r="L766">
        <v>95</v>
      </c>
      <c r="M766">
        <v>62</v>
      </c>
      <c r="N766" s="8">
        <v>6</v>
      </c>
      <c r="O766">
        <v>55</v>
      </c>
      <c r="P766">
        <v>1</v>
      </c>
      <c r="Q766" s="3">
        <v>-0.3</v>
      </c>
      <c r="R766">
        <f>Inventory_Table[[#This Row],[Stock_Quantity]]*Inventory_Table[[#This Row],[Unit_Price]]</f>
        <v>384</v>
      </c>
      <c r="S766">
        <f>Inventory_Table[[#This Row],[Sales_Volume]]*Inventory_Table[[#This Row],[Unit_Price]]</f>
        <v>330</v>
      </c>
      <c r="T766" t="str">
        <f>IF(Inventory_Table[[#This Row],[Stock_Quantity]]&lt;=Inventory_Table[[#This Row],[Reorder_Level]],"REORDER","OK")</f>
        <v>REORDER</v>
      </c>
      <c r="U766" t="s">
        <v>3838</v>
      </c>
      <c r="V766" s="14">
        <f ca="1">TODAY()-Inventory_Table[[#This Row],[Last_Order_Date]]</f>
        <v>650</v>
      </c>
    </row>
    <row r="767" spans="1:22" x14ac:dyDescent="0.35">
      <c r="A767" t="s">
        <v>1415</v>
      </c>
      <c r="B767" t="s">
        <v>114</v>
      </c>
      <c r="C767" t="s">
        <v>2085</v>
      </c>
      <c r="D767" t="s">
        <v>3087</v>
      </c>
      <c r="E767" t="s">
        <v>30</v>
      </c>
      <c r="F767" t="s">
        <v>3088</v>
      </c>
      <c r="G767" t="s">
        <v>3089</v>
      </c>
      <c r="H767" s="1">
        <v>46167</v>
      </c>
      <c r="I767" s="6">
        <v>45501</v>
      </c>
      <c r="J767" s="6">
        <v>46406</v>
      </c>
      <c r="K767">
        <v>93</v>
      </c>
      <c r="L767">
        <v>76</v>
      </c>
      <c r="M767">
        <v>82</v>
      </c>
      <c r="N767" s="8">
        <v>2.5</v>
      </c>
      <c r="O767">
        <v>76</v>
      </c>
      <c r="P767">
        <v>51</v>
      </c>
      <c r="Q767" s="3">
        <v>0.98</v>
      </c>
      <c r="R767">
        <f>Inventory_Table[[#This Row],[Stock_Quantity]]*Inventory_Table[[#This Row],[Unit_Price]]</f>
        <v>232.5</v>
      </c>
      <c r="S767">
        <f>Inventory_Table[[#This Row],[Sales_Volume]]*Inventory_Table[[#This Row],[Unit_Price]]</f>
        <v>190</v>
      </c>
      <c r="T767" t="str">
        <f>IF(Inventory_Table[[#This Row],[Stock_Quantity]]&lt;=Inventory_Table[[#This Row],[Reorder_Level]],"REORDER","OK")</f>
        <v>OK</v>
      </c>
      <c r="U767" t="s">
        <v>3836</v>
      </c>
      <c r="V767" s="14">
        <f ca="1">TODAY()-Inventory_Table[[#This Row],[Last_Order_Date]]</f>
        <v>675</v>
      </c>
    </row>
    <row r="768" spans="1:22" x14ac:dyDescent="0.35">
      <c r="A768" t="s">
        <v>1527</v>
      </c>
      <c r="B768" t="s">
        <v>18</v>
      </c>
      <c r="C768" t="s">
        <v>1478</v>
      </c>
      <c r="D768" t="s">
        <v>3090</v>
      </c>
      <c r="E768" t="s">
        <v>30</v>
      </c>
      <c r="F768" t="s">
        <v>3091</v>
      </c>
      <c r="G768" t="s">
        <v>3092</v>
      </c>
      <c r="H768" s="1">
        <v>46167</v>
      </c>
      <c r="I768" s="6">
        <v>45435</v>
      </c>
      <c r="J768" s="6">
        <v>46282</v>
      </c>
      <c r="K768">
        <v>24</v>
      </c>
      <c r="L768">
        <v>25</v>
      </c>
      <c r="M768">
        <v>52</v>
      </c>
      <c r="N768" s="8">
        <v>4.5</v>
      </c>
      <c r="O768">
        <v>24</v>
      </c>
      <c r="P768">
        <v>77</v>
      </c>
      <c r="Q768" s="3">
        <v>0.33</v>
      </c>
      <c r="R768">
        <f>Inventory_Table[[#This Row],[Stock_Quantity]]*Inventory_Table[[#This Row],[Unit_Price]]</f>
        <v>108</v>
      </c>
      <c r="S768">
        <f>Inventory_Table[[#This Row],[Sales_Volume]]*Inventory_Table[[#This Row],[Unit_Price]]</f>
        <v>108</v>
      </c>
      <c r="T768" t="str">
        <f>IF(Inventory_Table[[#This Row],[Stock_Quantity]]&lt;=Inventory_Table[[#This Row],[Reorder_Level]],"REORDER","OK")</f>
        <v>REORDER</v>
      </c>
      <c r="U768" t="s">
        <v>3836</v>
      </c>
      <c r="V768" s="14">
        <f ca="1">TODAY()-Inventory_Table[[#This Row],[Last_Order_Date]]</f>
        <v>741</v>
      </c>
    </row>
    <row r="769" spans="1:22" x14ac:dyDescent="0.35">
      <c r="A769" t="s">
        <v>557</v>
      </c>
      <c r="B769" t="s">
        <v>18</v>
      </c>
      <c r="C769" t="s">
        <v>3093</v>
      </c>
      <c r="D769" t="s">
        <v>3094</v>
      </c>
      <c r="E769" t="s">
        <v>30</v>
      </c>
      <c r="F769" t="s">
        <v>3095</v>
      </c>
      <c r="G769" t="s">
        <v>3096</v>
      </c>
      <c r="H769" s="1">
        <v>46167</v>
      </c>
      <c r="I769" s="6">
        <v>45446</v>
      </c>
      <c r="J769" s="6">
        <v>46233</v>
      </c>
      <c r="K769">
        <v>85</v>
      </c>
      <c r="L769">
        <v>90</v>
      </c>
      <c r="M769">
        <v>16</v>
      </c>
      <c r="N769" s="8">
        <v>5</v>
      </c>
      <c r="O769">
        <v>61</v>
      </c>
      <c r="P769">
        <v>80</v>
      </c>
      <c r="Q769" s="3">
        <v>-2.21</v>
      </c>
      <c r="R769">
        <f>Inventory_Table[[#This Row],[Stock_Quantity]]*Inventory_Table[[#This Row],[Unit_Price]]</f>
        <v>425</v>
      </c>
      <c r="S769">
        <f>Inventory_Table[[#This Row],[Sales_Volume]]*Inventory_Table[[#This Row],[Unit_Price]]</f>
        <v>305</v>
      </c>
      <c r="T769" t="str">
        <f>IF(Inventory_Table[[#This Row],[Stock_Quantity]]&lt;=Inventory_Table[[#This Row],[Reorder_Level]],"REORDER","OK")</f>
        <v>REORDER</v>
      </c>
      <c r="U769" t="s">
        <v>3836</v>
      </c>
      <c r="V769" s="14">
        <f ca="1">TODAY()-Inventory_Table[[#This Row],[Last_Order_Date]]</f>
        <v>730</v>
      </c>
    </row>
    <row r="770" spans="1:22" x14ac:dyDescent="0.35">
      <c r="A770" t="s">
        <v>624</v>
      </c>
      <c r="B770" t="s">
        <v>18</v>
      </c>
      <c r="C770" t="s">
        <v>1113</v>
      </c>
      <c r="D770" t="s">
        <v>3097</v>
      </c>
      <c r="E770" t="s">
        <v>68</v>
      </c>
      <c r="F770" t="s">
        <v>3098</v>
      </c>
      <c r="G770" t="s">
        <v>3099</v>
      </c>
      <c r="H770" s="1">
        <v>46168</v>
      </c>
      <c r="I770" s="6">
        <v>45420</v>
      </c>
      <c r="J770" s="6">
        <v>46219</v>
      </c>
      <c r="K770">
        <v>81</v>
      </c>
      <c r="L770">
        <v>23</v>
      </c>
      <c r="M770">
        <v>17</v>
      </c>
      <c r="N770" s="8">
        <v>6.25</v>
      </c>
      <c r="O770">
        <v>92</v>
      </c>
      <c r="P770">
        <v>78</v>
      </c>
      <c r="Q770" s="3">
        <v>-0.31</v>
      </c>
      <c r="R770">
        <f>Inventory_Table[[#This Row],[Stock_Quantity]]*Inventory_Table[[#This Row],[Unit_Price]]</f>
        <v>506.25</v>
      </c>
      <c r="S770">
        <f>Inventory_Table[[#This Row],[Sales_Volume]]*Inventory_Table[[#This Row],[Unit_Price]]</f>
        <v>575</v>
      </c>
      <c r="T770" t="str">
        <f>IF(Inventory_Table[[#This Row],[Stock_Quantity]]&lt;=Inventory_Table[[#This Row],[Reorder_Level]],"REORDER","OK")</f>
        <v>OK</v>
      </c>
      <c r="U770" t="s">
        <v>3836</v>
      </c>
      <c r="V770" s="14">
        <f ca="1">TODAY()-Inventory_Table[[#This Row],[Last_Order_Date]]</f>
        <v>756</v>
      </c>
    </row>
    <row r="771" spans="1:22" x14ac:dyDescent="0.35">
      <c r="A771" t="s">
        <v>337</v>
      </c>
      <c r="B771" t="s">
        <v>27</v>
      </c>
      <c r="C771" t="s">
        <v>1298</v>
      </c>
      <c r="D771" t="s">
        <v>3100</v>
      </c>
      <c r="E771" t="s">
        <v>21</v>
      </c>
      <c r="F771" t="s">
        <v>3101</v>
      </c>
      <c r="G771" t="s">
        <v>3102</v>
      </c>
      <c r="H771" s="1">
        <v>46169</v>
      </c>
      <c r="I771" s="6">
        <v>45417</v>
      </c>
      <c r="J771" s="6">
        <v>46339</v>
      </c>
      <c r="K771">
        <v>52</v>
      </c>
      <c r="L771">
        <v>88</v>
      </c>
      <c r="M771">
        <v>55</v>
      </c>
      <c r="N771" s="8">
        <v>6</v>
      </c>
      <c r="O771">
        <v>100</v>
      </c>
      <c r="P771">
        <v>46</v>
      </c>
      <c r="Q771" s="3">
        <v>0.15</v>
      </c>
      <c r="R771">
        <f>Inventory_Table[[#This Row],[Stock_Quantity]]*Inventory_Table[[#This Row],[Unit_Price]]</f>
        <v>312</v>
      </c>
      <c r="S771">
        <f>Inventory_Table[[#This Row],[Sales_Volume]]*Inventory_Table[[#This Row],[Unit_Price]]</f>
        <v>600</v>
      </c>
      <c r="T771" t="str">
        <f>IF(Inventory_Table[[#This Row],[Stock_Quantity]]&lt;=Inventory_Table[[#This Row],[Reorder_Level]],"REORDER","OK")</f>
        <v>REORDER</v>
      </c>
      <c r="U771" t="s">
        <v>3836</v>
      </c>
      <c r="V771" s="14">
        <f ca="1">TODAY()-Inventory_Table[[#This Row],[Last_Order_Date]]</f>
        <v>759</v>
      </c>
    </row>
    <row r="772" spans="1:22" x14ac:dyDescent="0.35">
      <c r="A772" t="s">
        <v>727</v>
      </c>
      <c r="B772" t="s">
        <v>36</v>
      </c>
      <c r="C772" t="s">
        <v>1624</v>
      </c>
      <c r="D772" t="s">
        <v>3103</v>
      </c>
      <c r="E772" t="s">
        <v>68</v>
      </c>
      <c r="F772" t="s">
        <v>3104</v>
      </c>
      <c r="G772" t="s">
        <v>3105</v>
      </c>
      <c r="H772" s="1">
        <v>46169</v>
      </c>
      <c r="I772" s="6">
        <v>45571</v>
      </c>
      <c r="J772" s="6">
        <v>46374</v>
      </c>
      <c r="K772">
        <v>78</v>
      </c>
      <c r="L772">
        <v>61</v>
      </c>
      <c r="M772">
        <v>6</v>
      </c>
      <c r="N772" s="8">
        <v>0.8</v>
      </c>
      <c r="O772">
        <v>49</v>
      </c>
      <c r="P772">
        <v>60</v>
      </c>
      <c r="Q772" s="3">
        <v>0.54</v>
      </c>
      <c r="R772">
        <f>Inventory_Table[[#This Row],[Stock_Quantity]]*Inventory_Table[[#This Row],[Unit_Price]]</f>
        <v>62.400000000000006</v>
      </c>
      <c r="S772">
        <f>Inventory_Table[[#This Row],[Sales_Volume]]*Inventory_Table[[#This Row],[Unit_Price]]</f>
        <v>39.200000000000003</v>
      </c>
      <c r="T772" t="str">
        <f>IF(Inventory_Table[[#This Row],[Stock_Quantity]]&lt;=Inventory_Table[[#This Row],[Reorder_Level]],"REORDER","OK")</f>
        <v>OK</v>
      </c>
      <c r="U772" t="s">
        <v>3836</v>
      </c>
      <c r="V772" s="14">
        <f ca="1">TODAY()-Inventory_Table[[#This Row],[Last_Order_Date]]</f>
        <v>605</v>
      </c>
    </row>
    <row r="773" spans="1:22" x14ac:dyDescent="0.35">
      <c r="A773" t="s">
        <v>74</v>
      </c>
      <c r="B773" t="s">
        <v>75</v>
      </c>
      <c r="C773" t="s">
        <v>1653</v>
      </c>
      <c r="D773" t="s">
        <v>3106</v>
      </c>
      <c r="E773" t="s">
        <v>21</v>
      </c>
      <c r="F773" t="s">
        <v>3107</v>
      </c>
      <c r="G773" t="s">
        <v>3108</v>
      </c>
      <c r="H773" s="1">
        <v>46169</v>
      </c>
      <c r="I773" s="6">
        <v>45392</v>
      </c>
      <c r="J773" s="6">
        <v>46371</v>
      </c>
      <c r="K773">
        <v>44</v>
      </c>
      <c r="L773">
        <v>97</v>
      </c>
      <c r="M773">
        <v>76</v>
      </c>
      <c r="N773" s="8">
        <v>10</v>
      </c>
      <c r="O773">
        <v>80</v>
      </c>
      <c r="P773">
        <v>33</v>
      </c>
      <c r="Q773" s="3">
        <v>-0.22</v>
      </c>
      <c r="R773">
        <f>Inventory_Table[[#This Row],[Stock_Quantity]]*Inventory_Table[[#This Row],[Unit_Price]]</f>
        <v>440</v>
      </c>
      <c r="S773">
        <f>Inventory_Table[[#This Row],[Sales_Volume]]*Inventory_Table[[#This Row],[Unit_Price]]</f>
        <v>800</v>
      </c>
      <c r="T773" t="str">
        <f>IF(Inventory_Table[[#This Row],[Stock_Quantity]]&lt;=Inventory_Table[[#This Row],[Reorder_Level]],"REORDER","OK")</f>
        <v>REORDER</v>
      </c>
      <c r="U773" t="s">
        <v>3836</v>
      </c>
      <c r="V773" s="14">
        <f ca="1">TODAY()-Inventory_Table[[#This Row],[Last_Order_Date]]</f>
        <v>784</v>
      </c>
    </row>
    <row r="774" spans="1:22" x14ac:dyDescent="0.35">
      <c r="A774" t="s">
        <v>228</v>
      </c>
      <c r="B774" t="s">
        <v>18</v>
      </c>
      <c r="C774" t="s">
        <v>1009</v>
      </c>
      <c r="D774" t="s">
        <v>3109</v>
      </c>
      <c r="E774" t="s">
        <v>21</v>
      </c>
      <c r="F774" t="s">
        <v>3110</v>
      </c>
      <c r="G774" t="s">
        <v>3111</v>
      </c>
      <c r="H774" s="1">
        <v>46169</v>
      </c>
      <c r="I774" s="6">
        <v>45415</v>
      </c>
      <c r="J774" s="6">
        <v>46255</v>
      </c>
      <c r="K774">
        <v>38</v>
      </c>
      <c r="L774">
        <v>94</v>
      </c>
      <c r="M774">
        <v>87</v>
      </c>
      <c r="N774" s="8">
        <v>1.8</v>
      </c>
      <c r="O774">
        <v>89</v>
      </c>
      <c r="P774">
        <v>100</v>
      </c>
      <c r="Q774" s="3">
        <v>0.59</v>
      </c>
      <c r="R774">
        <f>Inventory_Table[[#This Row],[Stock_Quantity]]*Inventory_Table[[#This Row],[Unit_Price]]</f>
        <v>68.400000000000006</v>
      </c>
      <c r="S774">
        <f>Inventory_Table[[#This Row],[Sales_Volume]]*Inventory_Table[[#This Row],[Unit_Price]]</f>
        <v>160.20000000000002</v>
      </c>
      <c r="T774" t="str">
        <f>IF(Inventory_Table[[#This Row],[Stock_Quantity]]&lt;=Inventory_Table[[#This Row],[Reorder_Level]],"REORDER","OK")</f>
        <v>REORDER</v>
      </c>
      <c r="U774" t="s">
        <v>3836</v>
      </c>
      <c r="V774" s="14">
        <f ca="1">TODAY()-Inventory_Table[[#This Row],[Last_Order_Date]]</f>
        <v>761</v>
      </c>
    </row>
    <row r="775" spans="1:22" x14ac:dyDescent="0.35">
      <c r="A775" t="s">
        <v>2946</v>
      </c>
      <c r="B775" t="s">
        <v>65</v>
      </c>
      <c r="C775" t="s">
        <v>513</v>
      </c>
      <c r="D775" t="s">
        <v>3113</v>
      </c>
      <c r="E775" t="s">
        <v>30</v>
      </c>
      <c r="F775" t="s">
        <v>3114</v>
      </c>
      <c r="G775" t="s">
        <v>3115</v>
      </c>
      <c r="H775" s="1">
        <v>46170</v>
      </c>
      <c r="I775" s="6">
        <v>45710</v>
      </c>
      <c r="J775" s="6">
        <v>46172</v>
      </c>
      <c r="K775">
        <v>31</v>
      </c>
      <c r="L775">
        <v>43</v>
      </c>
      <c r="M775">
        <v>80</v>
      </c>
      <c r="N775" s="8">
        <v>1.5</v>
      </c>
      <c r="O775">
        <v>46</v>
      </c>
      <c r="P775">
        <v>78</v>
      </c>
      <c r="Q775" s="3">
        <v>-0.12</v>
      </c>
      <c r="R775">
        <f>Inventory_Table[[#This Row],[Stock_Quantity]]*Inventory_Table[[#This Row],[Unit_Price]]</f>
        <v>46.5</v>
      </c>
      <c r="S775">
        <f>Inventory_Table[[#This Row],[Sales_Volume]]*Inventory_Table[[#This Row],[Unit_Price]]</f>
        <v>69</v>
      </c>
      <c r="T775" t="str">
        <f>IF(Inventory_Table[[#This Row],[Stock_Quantity]]&lt;=Inventory_Table[[#This Row],[Reorder_Level]],"REORDER","OK")</f>
        <v>REORDER</v>
      </c>
      <c r="U775" t="s">
        <v>3838</v>
      </c>
      <c r="V775" s="14">
        <f ca="1">TODAY()-Inventory_Table[[#This Row],[Last_Order_Date]]</f>
        <v>466</v>
      </c>
    </row>
    <row r="776" spans="1:22" x14ac:dyDescent="0.35">
      <c r="A776" t="s">
        <v>842</v>
      </c>
      <c r="B776" t="s">
        <v>75</v>
      </c>
      <c r="C776" t="s">
        <v>647</v>
      </c>
      <c r="D776" t="s">
        <v>3116</v>
      </c>
      <c r="E776" t="s">
        <v>21</v>
      </c>
      <c r="F776" t="s">
        <v>3117</v>
      </c>
      <c r="G776" t="s">
        <v>3118</v>
      </c>
      <c r="H776" s="1">
        <v>46170</v>
      </c>
      <c r="I776" s="6">
        <v>45593</v>
      </c>
      <c r="J776" s="6">
        <v>46382</v>
      </c>
      <c r="K776">
        <v>46</v>
      </c>
      <c r="L776">
        <v>28</v>
      </c>
      <c r="M776">
        <v>73</v>
      </c>
      <c r="N776" s="8">
        <v>9</v>
      </c>
      <c r="O776">
        <v>65</v>
      </c>
      <c r="P776">
        <v>57</v>
      </c>
      <c r="Q776" s="3">
        <v>-0.7</v>
      </c>
      <c r="R776">
        <f>Inventory_Table[[#This Row],[Stock_Quantity]]*Inventory_Table[[#This Row],[Unit_Price]]</f>
        <v>414</v>
      </c>
      <c r="S776">
        <f>Inventory_Table[[#This Row],[Sales_Volume]]*Inventory_Table[[#This Row],[Unit_Price]]</f>
        <v>585</v>
      </c>
      <c r="T776" t="str">
        <f>IF(Inventory_Table[[#This Row],[Stock_Quantity]]&lt;=Inventory_Table[[#This Row],[Reorder_Level]],"REORDER","OK")</f>
        <v>OK</v>
      </c>
      <c r="U776" t="s">
        <v>3836</v>
      </c>
      <c r="V776" s="14">
        <f ca="1">TODAY()-Inventory_Table[[#This Row],[Last_Order_Date]]</f>
        <v>583</v>
      </c>
    </row>
    <row r="777" spans="1:22" x14ac:dyDescent="0.35">
      <c r="A777" t="s">
        <v>96</v>
      </c>
      <c r="B777" t="s">
        <v>36</v>
      </c>
      <c r="C777" t="s">
        <v>2572</v>
      </c>
      <c r="D777" t="s">
        <v>3119</v>
      </c>
      <c r="E777" t="s">
        <v>68</v>
      </c>
      <c r="F777" t="s">
        <v>3120</v>
      </c>
      <c r="G777" t="s">
        <v>3121</v>
      </c>
      <c r="H777" s="1">
        <v>46170</v>
      </c>
      <c r="I777" s="6">
        <v>45443</v>
      </c>
      <c r="J777" s="6">
        <v>46258</v>
      </c>
      <c r="K777">
        <v>88</v>
      </c>
      <c r="L777">
        <v>74</v>
      </c>
      <c r="M777">
        <v>97</v>
      </c>
      <c r="N777" s="8">
        <v>9</v>
      </c>
      <c r="O777">
        <v>79</v>
      </c>
      <c r="P777">
        <v>5</v>
      </c>
      <c r="Q777" s="3">
        <v>0.12</v>
      </c>
      <c r="R777">
        <f>Inventory_Table[[#This Row],[Stock_Quantity]]*Inventory_Table[[#This Row],[Unit_Price]]</f>
        <v>792</v>
      </c>
      <c r="S777">
        <f>Inventory_Table[[#This Row],[Sales_Volume]]*Inventory_Table[[#This Row],[Unit_Price]]</f>
        <v>711</v>
      </c>
      <c r="T777" t="str">
        <f>IF(Inventory_Table[[#This Row],[Stock_Quantity]]&lt;=Inventory_Table[[#This Row],[Reorder_Level]],"REORDER","OK")</f>
        <v>OK</v>
      </c>
      <c r="U777" t="s">
        <v>3836</v>
      </c>
      <c r="V777" s="14">
        <f ca="1">TODAY()-Inventory_Table[[#This Row],[Last_Order_Date]]</f>
        <v>733</v>
      </c>
    </row>
    <row r="778" spans="1:22" x14ac:dyDescent="0.35">
      <c r="A778" t="s">
        <v>2946</v>
      </c>
      <c r="B778" t="s">
        <v>65</v>
      </c>
      <c r="C778" t="s">
        <v>1302</v>
      </c>
      <c r="D778" t="s">
        <v>3122</v>
      </c>
      <c r="E778" t="s">
        <v>21</v>
      </c>
      <c r="F778" t="s">
        <v>3123</v>
      </c>
      <c r="G778" t="s">
        <v>3124</v>
      </c>
      <c r="H778" s="1">
        <v>46170</v>
      </c>
      <c r="I778" s="6">
        <v>45553</v>
      </c>
      <c r="J778" s="6">
        <v>46441</v>
      </c>
      <c r="K778">
        <v>90</v>
      </c>
      <c r="L778">
        <v>75</v>
      </c>
      <c r="M778">
        <v>43</v>
      </c>
      <c r="N778" s="8">
        <v>1.5</v>
      </c>
      <c r="O778">
        <v>80</v>
      </c>
      <c r="P778">
        <v>57</v>
      </c>
      <c r="Q778" s="3">
        <v>0.94</v>
      </c>
      <c r="R778">
        <f>Inventory_Table[[#This Row],[Stock_Quantity]]*Inventory_Table[[#This Row],[Unit_Price]]</f>
        <v>135</v>
      </c>
      <c r="S778">
        <f>Inventory_Table[[#This Row],[Sales_Volume]]*Inventory_Table[[#This Row],[Unit_Price]]</f>
        <v>120</v>
      </c>
      <c r="T778" t="str">
        <f>IF(Inventory_Table[[#This Row],[Stock_Quantity]]&lt;=Inventory_Table[[#This Row],[Reorder_Level]],"REORDER","OK")</f>
        <v>OK</v>
      </c>
      <c r="U778" t="s">
        <v>3836</v>
      </c>
      <c r="V778" s="14">
        <f ca="1">TODAY()-Inventory_Table[[#This Row],[Last_Order_Date]]</f>
        <v>623</v>
      </c>
    </row>
    <row r="779" spans="1:22" x14ac:dyDescent="0.35">
      <c r="A779" t="s">
        <v>1307</v>
      </c>
      <c r="B779" t="s">
        <v>163</v>
      </c>
      <c r="C779" t="s">
        <v>2023</v>
      </c>
      <c r="D779" t="s">
        <v>3125</v>
      </c>
      <c r="E779" t="s">
        <v>21</v>
      </c>
      <c r="F779" t="s">
        <v>3126</v>
      </c>
      <c r="G779" t="s">
        <v>3127</v>
      </c>
      <c r="H779" s="1">
        <v>46170</v>
      </c>
      <c r="I779" s="6">
        <v>45671</v>
      </c>
      <c r="J779" s="6">
        <v>46253</v>
      </c>
      <c r="K779">
        <v>64</v>
      </c>
      <c r="L779">
        <v>66</v>
      </c>
      <c r="M779">
        <v>28</v>
      </c>
      <c r="N779" s="8">
        <v>8</v>
      </c>
      <c r="O779">
        <v>25</v>
      </c>
      <c r="P779">
        <v>52</v>
      </c>
      <c r="Q779" s="3">
        <v>0.28999999999999998</v>
      </c>
      <c r="R779">
        <f>Inventory_Table[[#This Row],[Stock_Quantity]]*Inventory_Table[[#This Row],[Unit_Price]]</f>
        <v>512</v>
      </c>
      <c r="S779">
        <f>Inventory_Table[[#This Row],[Sales_Volume]]*Inventory_Table[[#This Row],[Unit_Price]]</f>
        <v>200</v>
      </c>
      <c r="T779" t="str">
        <f>IF(Inventory_Table[[#This Row],[Stock_Quantity]]&lt;=Inventory_Table[[#This Row],[Reorder_Level]],"REORDER","OK")</f>
        <v>REORDER</v>
      </c>
      <c r="U779" t="s">
        <v>3836</v>
      </c>
      <c r="V779" s="14">
        <f ca="1">TODAY()-Inventory_Table[[#This Row],[Last_Order_Date]]</f>
        <v>505</v>
      </c>
    </row>
    <row r="780" spans="1:22" x14ac:dyDescent="0.35">
      <c r="A780" t="s">
        <v>162</v>
      </c>
      <c r="B780" t="s">
        <v>163</v>
      </c>
      <c r="C780" t="s">
        <v>3036</v>
      </c>
      <c r="D780" t="s">
        <v>3128</v>
      </c>
      <c r="E780" t="s">
        <v>68</v>
      </c>
      <c r="F780" t="s">
        <v>3129</v>
      </c>
      <c r="G780" t="s">
        <v>3130</v>
      </c>
      <c r="H780" s="1">
        <v>46171</v>
      </c>
      <c r="I780" s="6">
        <v>45604</v>
      </c>
      <c r="J780" s="6">
        <v>46147</v>
      </c>
      <c r="K780">
        <v>55</v>
      </c>
      <c r="L780">
        <v>93</v>
      </c>
      <c r="M780">
        <v>84</v>
      </c>
      <c r="N780" s="8">
        <v>20</v>
      </c>
      <c r="O780">
        <v>46</v>
      </c>
      <c r="P780">
        <v>84</v>
      </c>
      <c r="Q780" s="3">
        <v>-1.08</v>
      </c>
      <c r="R780">
        <f>Inventory_Table[[#This Row],[Stock_Quantity]]*Inventory_Table[[#This Row],[Unit_Price]]</f>
        <v>1100</v>
      </c>
      <c r="S780">
        <f>Inventory_Table[[#This Row],[Sales_Volume]]*Inventory_Table[[#This Row],[Unit_Price]]</f>
        <v>920</v>
      </c>
      <c r="T780" t="str">
        <f>IF(Inventory_Table[[#This Row],[Stock_Quantity]]&lt;=Inventory_Table[[#This Row],[Reorder_Level]],"REORDER","OK")</f>
        <v>REORDER</v>
      </c>
      <c r="U780" t="s">
        <v>3838</v>
      </c>
      <c r="V780" s="14">
        <f ca="1">TODAY()-Inventory_Table[[#This Row],[Last_Order_Date]]</f>
        <v>572</v>
      </c>
    </row>
    <row r="781" spans="1:22" x14ac:dyDescent="0.35">
      <c r="A781" t="s">
        <v>1196</v>
      </c>
      <c r="B781" t="s">
        <v>75</v>
      </c>
      <c r="C781" t="s">
        <v>1829</v>
      </c>
      <c r="D781" t="s">
        <v>3131</v>
      </c>
      <c r="E781" t="s">
        <v>21</v>
      </c>
      <c r="F781" t="s">
        <v>3132</v>
      </c>
      <c r="G781" t="s">
        <v>3133</v>
      </c>
      <c r="H781" s="1">
        <v>46171</v>
      </c>
      <c r="I781" s="6">
        <v>45544</v>
      </c>
      <c r="J781" s="6">
        <v>46320</v>
      </c>
      <c r="K781">
        <v>88</v>
      </c>
      <c r="L781">
        <v>83</v>
      </c>
      <c r="M781">
        <v>42</v>
      </c>
      <c r="N781" s="8">
        <v>15</v>
      </c>
      <c r="O781">
        <v>61</v>
      </c>
      <c r="P781">
        <v>59</v>
      </c>
      <c r="Q781" s="3">
        <v>-0.83</v>
      </c>
      <c r="R781">
        <f>Inventory_Table[[#This Row],[Stock_Quantity]]*Inventory_Table[[#This Row],[Unit_Price]]</f>
        <v>1320</v>
      </c>
      <c r="S781">
        <f>Inventory_Table[[#This Row],[Sales_Volume]]*Inventory_Table[[#This Row],[Unit_Price]]</f>
        <v>915</v>
      </c>
      <c r="T781" t="str">
        <f>IF(Inventory_Table[[#This Row],[Stock_Quantity]]&lt;=Inventory_Table[[#This Row],[Reorder_Level]],"REORDER","OK")</f>
        <v>OK</v>
      </c>
      <c r="U781" t="s">
        <v>3836</v>
      </c>
      <c r="V781" s="14">
        <f ca="1">TODAY()-Inventory_Table[[#This Row],[Last_Order_Date]]</f>
        <v>632</v>
      </c>
    </row>
    <row r="782" spans="1:22" x14ac:dyDescent="0.35">
      <c r="A782" t="s">
        <v>270</v>
      </c>
      <c r="B782" t="s">
        <v>36</v>
      </c>
      <c r="C782" t="s">
        <v>1547</v>
      </c>
      <c r="D782" t="s">
        <v>3134</v>
      </c>
      <c r="E782" t="s">
        <v>30</v>
      </c>
      <c r="F782" t="s">
        <v>3135</v>
      </c>
      <c r="G782" t="s">
        <v>3136</v>
      </c>
      <c r="H782" s="1">
        <v>46171</v>
      </c>
      <c r="I782" s="6">
        <v>45599</v>
      </c>
      <c r="J782" s="6">
        <v>46118</v>
      </c>
      <c r="K782">
        <v>29</v>
      </c>
      <c r="L782">
        <v>39</v>
      </c>
      <c r="M782">
        <v>80</v>
      </c>
      <c r="N782" s="8">
        <v>4</v>
      </c>
      <c r="O782">
        <v>23</v>
      </c>
      <c r="P782">
        <v>85</v>
      </c>
      <c r="Q782" s="3">
        <v>0.03</v>
      </c>
      <c r="R782">
        <f>Inventory_Table[[#This Row],[Stock_Quantity]]*Inventory_Table[[#This Row],[Unit_Price]]</f>
        <v>116</v>
      </c>
      <c r="S782">
        <f>Inventory_Table[[#This Row],[Sales_Volume]]*Inventory_Table[[#This Row],[Unit_Price]]</f>
        <v>92</v>
      </c>
      <c r="T782" t="str">
        <f>IF(Inventory_Table[[#This Row],[Stock_Quantity]]&lt;=Inventory_Table[[#This Row],[Reorder_Level]],"REORDER","OK")</f>
        <v>REORDER</v>
      </c>
      <c r="U782" t="s">
        <v>3838</v>
      </c>
      <c r="V782" s="14">
        <f ca="1">TODAY()-Inventory_Table[[#This Row],[Last_Order_Date]]</f>
        <v>577</v>
      </c>
    </row>
    <row r="783" spans="1:22" x14ac:dyDescent="0.35">
      <c r="A783" t="s">
        <v>148</v>
      </c>
      <c r="B783" t="s">
        <v>18</v>
      </c>
      <c r="C783" t="s">
        <v>409</v>
      </c>
      <c r="D783" t="s">
        <v>3137</v>
      </c>
      <c r="E783" t="s">
        <v>21</v>
      </c>
      <c r="F783" t="s">
        <v>3138</v>
      </c>
      <c r="G783" t="s">
        <v>3139</v>
      </c>
      <c r="H783" s="1">
        <v>46172</v>
      </c>
      <c r="I783" s="6">
        <v>45428</v>
      </c>
      <c r="J783" s="6">
        <v>46239</v>
      </c>
      <c r="K783">
        <v>31</v>
      </c>
      <c r="L783">
        <v>44</v>
      </c>
      <c r="M783">
        <v>9</v>
      </c>
      <c r="N783" s="8">
        <v>3</v>
      </c>
      <c r="O783">
        <v>46</v>
      </c>
      <c r="P783">
        <v>9</v>
      </c>
      <c r="Q783" s="3">
        <v>-2.7</v>
      </c>
      <c r="R783">
        <f>Inventory_Table[[#This Row],[Stock_Quantity]]*Inventory_Table[[#This Row],[Unit_Price]]</f>
        <v>93</v>
      </c>
      <c r="S783">
        <f>Inventory_Table[[#This Row],[Sales_Volume]]*Inventory_Table[[#This Row],[Unit_Price]]</f>
        <v>138</v>
      </c>
      <c r="T783" t="str">
        <f>IF(Inventory_Table[[#This Row],[Stock_Quantity]]&lt;=Inventory_Table[[#This Row],[Reorder_Level]],"REORDER","OK")</f>
        <v>REORDER</v>
      </c>
      <c r="U783" t="s">
        <v>3836</v>
      </c>
      <c r="V783" s="14">
        <f ca="1">TODAY()-Inventory_Table[[#This Row],[Last_Order_Date]]</f>
        <v>748</v>
      </c>
    </row>
    <row r="784" spans="1:22" x14ac:dyDescent="0.35">
      <c r="A784" t="s">
        <v>1623</v>
      </c>
      <c r="B784" t="s">
        <v>36</v>
      </c>
      <c r="C784" t="s">
        <v>3140</v>
      </c>
      <c r="D784" t="s">
        <v>3141</v>
      </c>
      <c r="E784" t="s">
        <v>21</v>
      </c>
      <c r="F784" t="s">
        <v>3142</v>
      </c>
      <c r="G784" t="s">
        <v>3143</v>
      </c>
      <c r="H784" s="1">
        <v>46172</v>
      </c>
      <c r="I784" s="6">
        <v>45706</v>
      </c>
      <c r="J784" s="6">
        <v>46221</v>
      </c>
      <c r="K784">
        <v>63</v>
      </c>
      <c r="L784">
        <v>48</v>
      </c>
      <c r="M784">
        <v>22</v>
      </c>
      <c r="N784" s="8">
        <v>4</v>
      </c>
      <c r="O784">
        <v>21</v>
      </c>
      <c r="P784">
        <v>90</v>
      </c>
      <c r="Q784" s="3">
        <v>0.8</v>
      </c>
      <c r="R784">
        <f>Inventory_Table[[#This Row],[Stock_Quantity]]*Inventory_Table[[#This Row],[Unit_Price]]</f>
        <v>252</v>
      </c>
      <c r="S784">
        <f>Inventory_Table[[#This Row],[Sales_Volume]]*Inventory_Table[[#This Row],[Unit_Price]]</f>
        <v>84</v>
      </c>
      <c r="T784" t="str">
        <f>IF(Inventory_Table[[#This Row],[Stock_Quantity]]&lt;=Inventory_Table[[#This Row],[Reorder_Level]],"REORDER","OK")</f>
        <v>OK</v>
      </c>
      <c r="U784" t="s">
        <v>3836</v>
      </c>
      <c r="V784" s="14">
        <f ca="1">TODAY()-Inventory_Table[[#This Row],[Last_Order_Date]]</f>
        <v>470</v>
      </c>
    </row>
    <row r="785" spans="1:22" x14ac:dyDescent="0.35">
      <c r="A785" t="s">
        <v>17</v>
      </c>
      <c r="B785" t="s">
        <v>18</v>
      </c>
      <c r="C785" t="s">
        <v>3144</v>
      </c>
      <c r="D785" t="s">
        <v>3145</v>
      </c>
      <c r="E785" t="s">
        <v>21</v>
      </c>
      <c r="F785" t="s">
        <v>3146</v>
      </c>
      <c r="G785" t="s">
        <v>3147</v>
      </c>
      <c r="H785" s="1">
        <v>46172</v>
      </c>
      <c r="I785" s="6">
        <v>45452</v>
      </c>
      <c r="J785" s="6">
        <v>46197</v>
      </c>
      <c r="K785">
        <v>75</v>
      </c>
      <c r="L785">
        <v>85</v>
      </c>
      <c r="M785">
        <v>27</v>
      </c>
      <c r="N785" s="8">
        <v>4.5</v>
      </c>
      <c r="O785">
        <v>26</v>
      </c>
      <c r="P785">
        <v>68</v>
      </c>
      <c r="Q785" s="3">
        <v>-3.29</v>
      </c>
      <c r="R785">
        <f>Inventory_Table[[#This Row],[Stock_Quantity]]*Inventory_Table[[#This Row],[Unit_Price]]</f>
        <v>337.5</v>
      </c>
      <c r="S785">
        <f>Inventory_Table[[#This Row],[Sales_Volume]]*Inventory_Table[[#This Row],[Unit_Price]]</f>
        <v>117</v>
      </c>
      <c r="T785" t="str">
        <f>IF(Inventory_Table[[#This Row],[Stock_Quantity]]&lt;=Inventory_Table[[#This Row],[Reorder_Level]],"REORDER","OK")</f>
        <v>REORDER</v>
      </c>
      <c r="U785" t="s">
        <v>3837</v>
      </c>
      <c r="V785" s="14">
        <f ca="1">TODAY()-Inventory_Table[[#This Row],[Last_Order_Date]]</f>
        <v>724</v>
      </c>
    </row>
    <row r="786" spans="1:22" x14ac:dyDescent="0.35">
      <c r="A786" t="s">
        <v>122</v>
      </c>
      <c r="B786" t="s">
        <v>18</v>
      </c>
      <c r="C786" t="s">
        <v>213</v>
      </c>
      <c r="D786" t="s">
        <v>3148</v>
      </c>
      <c r="E786" t="s">
        <v>30</v>
      </c>
      <c r="F786" t="s">
        <v>3149</v>
      </c>
      <c r="G786" t="s">
        <v>3150</v>
      </c>
      <c r="H786" s="1">
        <v>46172</v>
      </c>
      <c r="I786" s="6">
        <v>45372</v>
      </c>
      <c r="J786" s="6">
        <v>46409</v>
      </c>
      <c r="K786">
        <v>63</v>
      </c>
      <c r="L786">
        <v>62</v>
      </c>
      <c r="M786">
        <v>98</v>
      </c>
      <c r="N786" s="8">
        <v>2.5</v>
      </c>
      <c r="O786">
        <v>62</v>
      </c>
      <c r="P786">
        <v>45</v>
      </c>
      <c r="Q786" s="3">
        <v>-1.62</v>
      </c>
      <c r="R786">
        <f>Inventory_Table[[#This Row],[Stock_Quantity]]*Inventory_Table[[#This Row],[Unit_Price]]</f>
        <v>157.5</v>
      </c>
      <c r="S786">
        <f>Inventory_Table[[#This Row],[Sales_Volume]]*Inventory_Table[[#This Row],[Unit_Price]]</f>
        <v>155</v>
      </c>
      <c r="T786" t="str">
        <f>IF(Inventory_Table[[#This Row],[Stock_Quantity]]&lt;=Inventory_Table[[#This Row],[Reorder_Level]],"REORDER","OK")</f>
        <v>OK</v>
      </c>
      <c r="U786" t="s">
        <v>3836</v>
      </c>
      <c r="V786" s="14">
        <f ca="1">TODAY()-Inventory_Table[[#This Row],[Last_Order_Date]]</f>
        <v>804</v>
      </c>
    </row>
    <row r="787" spans="1:22" x14ac:dyDescent="0.35">
      <c r="A787" t="s">
        <v>557</v>
      </c>
      <c r="B787" t="s">
        <v>18</v>
      </c>
      <c r="C787" t="s">
        <v>2489</v>
      </c>
      <c r="D787" t="s">
        <v>3151</v>
      </c>
      <c r="E787" t="s">
        <v>30</v>
      </c>
      <c r="F787" t="s">
        <v>3152</v>
      </c>
      <c r="G787" t="s">
        <v>3153</v>
      </c>
      <c r="H787" s="1">
        <v>46172</v>
      </c>
      <c r="I787" s="6">
        <v>45616</v>
      </c>
      <c r="J787" s="6">
        <v>46401</v>
      </c>
      <c r="K787">
        <v>32</v>
      </c>
      <c r="L787">
        <v>27</v>
      </c>
      <c r="M787">
        <v>26</v>
      </c>
      <c r="N787" s="8">
        <v>5</v>
      </c>
      <c r="O787">
        <v>38</v>
      </c>
      <c r="P787">
        <v>79</v>
      </c>
      <c r="Q787" s="3">
        <v>0.27</v>
      </c>
      <c r="R787">
        <f>Inventory_Table[[#This Row],[Stock_Quantity]]*Inventory_Table[[#This Row],[Unit_Price]]</f>
        <v>160</v>
      </c>
      <c r="S787">
        <f>Inventory_Table[[#This Row],[Sales_Volume]]*Inventory_Table[[#This Row],[Unit_Price]]</f>
        <v>190</v>
      </c>
      <c r="T787" t="str">
        <f>IF(Inventory_Table[[#This Row],[Stock_Quantity]]&lt;=Inventory_Table[[#This Row],[Reorder_Level]],"REORDER","OK")</f>
        <v>OK</v>
      </c>
      <c r="U787" t="s">
        <v>3836</v>
      </c>
      <c r="V787" s="14">
        <f ca="1">TODAY()-Inventory_Table[[#This Row],[Last_Order_Date]]</f>
        <v>560</v>
      </c>
    </row>
    <row r="788" spans="1:22" x14ac:dyDescent="0.35">
      <c r="A788" t="s">
        <v>718</v>
      </c>
      <c r="B788" t="s">
        <v>65</v>
      </c>
      <c r="C788" t="s">
        <v>1088</v>
      </c>
      <c r="D788" t="s">
        <v>3154</v>
      </c>
      <c r="E788" t="s">
        <v>30</v>
      </c>
      <c r="F788" t="s">
        <v>3155</v>
      </c>
      <c r="G788" t="s">
        <v>3156</v>
      </c>
      <c r="H788" s="1">
        <v>46173</v>
      </c>
      <c r="I788" s="6">
        <v>45696</v>
      </c>
      <c r="J788" s="6">
        <v>46384</v>
      </c>
      <c r="K788">
        <v>65</v>
      </c>
      <c r="L788">
        <v>61</v>
      </c>
      <c r="M788">
        <v>82</v>
      </c>
      <c r="N788" s="8">
        <v>2</v>
      </c>
      <c r="O788">
        <v>29</v>
      </c>
      <c r="P788">
        <v>11</v>
      </c>
      <c r="Q788" s="3">
        <v>-1.08</v>
      </c>
      <c r="R788">
        <f>Inventory_Table[[#This Row],[Stock_Quantity]]*Inventory_Table[[#This Row],[Unit_Price]]</f>
        <v>130</v>
      </c>
      <c r="S788">
        <f>Inventory_Table[[#This Row],[Sales_Volume]]*Inventory_Table[[#This Row],[Unit_Price]]</f>
        <v>58</v>
      </c>
      <c r="T788" t="str">
        <f>IF(Inventory_Table[[#This Row],[Stock_Quantity]]&lt;=Inventory_Table[[#This Row],[Reorder_Level]],"REORDER","OK")</f>
        <v>OK</v>
      </c>
      <c r="U788" t="s">
        <v>3836</v>
      </c>
      <c r="V788" s="14">
        <f ca="1">TODAY()-Inventory_Table[[#This Row],[Last_Order_Date]]</f>
        <v>480</v>
      </c>
    </row>
    <row r="789" spans="1:22" x14ac:dyDescent="0.35">
      <c r="A789" t="s">
        <v>122</v>
      </c>
      <c r="B789" t="s">
        <v>18</v>
      </c>
      <c r="C789" t="s">
        <v>672</v>
      </c>
      <c r="D789" t="s">
        <v>3157</v>
      </c>
      <c r="E789" t="s">
        <v>21</v>
      </c>
      <c r="F789" t="s">
        <v>3158</v>
      </c>
      <c r="G789" t="s">
        <v>3159</v>
      </c>
      <c r="H789" s="1">
        <v>46186</v>
      </c>
      <c r="I789" s="6">
        <v>45627</v>
      </c>
      <c r="J789" s="6">
        <v>46238</v>
      </c>
      <c r="K789">
        <v>57</v>
      </c>
      <c r="L789">
        <v>43</v>
      </c>
      <c r="M789">
        <v>46</v>
      </c>
      <c r="N789" s="8">
        <v>2.5</v>
      </c>
      <c r="O789">
        <v>87</v>
      </c>
      <c r="P789">
        <v>88</v>
      </c>
      <c r="Q789" s="3">
        <v>0.62</v>
      </c>
      <c r="R789">
        <f>Inventory_Table[[#This Row],[Stock_Quantity]]*Inventory_Table[[#This Row],[Unit_Price]]</f>
        <v>142.5</v>
      </c>
      <c r="S789">
        <f>Inventory_Table[[#This Row],[Sales_Volume]]*Inventory_Table[[#This Row],[Unit_Price]]</f>
        <v>217.5</v>
      </c>
      <c r="T789" t="str">
        <f>IF(Inventory_Table[[#This Row],[Stock_Quantity]]&lt;=Inventory_Table[[#This Row],[Reorder_Level]],"REORDER","OK")</f>
        <v>OK</v>
      </c>
      <c r="U789" t="s">
        <v>3836</v>
      </c>
      <c r="V789" s="14">
        <f ca="1">TODAY()-Inventory_Table[[#This Row],[Last_Order_Date]]</f>
        <v>549</v>
      </c>
    </row>
    <row r="790" spans="1:22" x14ac:dyDescent="0.35">
      <c r="A790" t="s">
        <v>122</v>
      </c>
      <c r="B790" t="s">
        <v>18</v>
      </c>
      <c r="C790" t="s">
        <v>2028</v>
      </c>
      <c r="D790" t="s">
        <v>3160</v>
      </c>
      <c r="E790" t="s">
        <v>68</v>
      </c>
      <c r="F790" t="s">
        <v>3161</v>
      </c>
      <c r="G790" t="s">
        <v>3162</v>
      </c>
      <c r="H790" s="1">
        <v>46187</v>
      </c>
      <c r="I790" s="6">
        <v>45347</v>
      </c>
      <c r="J790" s="6">
        <v>46156</v>
      </c>
      <c r="K790">
        <v>57</v>
      </c>
      <c r="L790">
        <v>25</v>
      </c>
      <c r="M790">
        <v>98</v>
      </c>
      <c r="N790" s="8">
        <v>2.5</v>
      </c>
      <c r="O790">
        <v>78</v>
      </c>
      <c r="P790">
        <v>37</v>
      </c>
      <c r="Q790" s="3">
        <v>-0.01</v>
      </c>
      <c r="R790">
        <f>Inventory_Table[[#This Row],[Stock_Quantity]]*Inventory_Table[[#This Row],[Unit_Price]]</f>
        <v>142.5</v>
      </c>
      <c r="S790">
        <f>Inventory_Table[[#This Row],[Sales_Volume]]*Inventory_Table[[#This Row],[Unit_Price]]</f>
        <v>195</v>
      </c>
      <c r="T790" t="str">
        <f>IF(Inventory_Table[[#This Row],[Stock_Quantity]]&lt;=Inventory_Table[[#This Row],[Reorder_Level]],"REORDER","OK")</f>
        <v>OK</v>
      </c>
      <c r="U790" t="s">
        <v>3838</v>
      </c>
      <c r="V790" s="14">
        <f ca="1">TODAY()-Inventory_Table[[#This Row],[Last_Order_Date]]</f>
        <v>829</v>
      </c>
    </row>
    <row r="791" spans="1:22" x14ac:dyDescent="0.35">
      <c r="A791" t="s">
        <v>1030</v>
      </c>
      <c r="B791" t="s">
        <v>114</v>
      </c>
      <c r="C791" t="s">
        <v>1870</v>
      </c>
      <c r="D791" t="s">
        <v>3163</v>
      </c>
      <c r="E791" t="s">
        <v>30</v>
      </c>
      <c r="F791" t="s">
        <v>3164</v>
      </c>
      <c r="G791" t="s">
        <v>3165</v>
      </c>
      <c r="H791" s="1">
        <v>46187</v>
      </c>
      <c r="I791" s="6">
        <v>45570</v>
      </c>
      <c r="J791" s="6">
        <v>46217</v>
      </c>
      <c r="K791">
        <v>38</v>
      </c>
      <c r="L791">
        <v>37</v>
      </c>
      <c r="M791">
        <v>27</v>
      </c>
      <c r="N791" s="8">
        <v>3.5</v>
      </c>
      <c r="O791">
        <v>45</v>
      </c>
      <c r="P791">
        <v>88</v>
      </c>
      <c r="Q791" s="3">
        <v>0.53</v>
      </c>
      <c r="R791">
        <f>Inventory_Table[[#This Row],[Stock_Quantity]]*Inventory_Table[[#This Row],[Unit_Price]]</f>
        <v>133</v>
      </c>
      <c r="S791">
        <f>Inventory_Table[[#This Row],[Sales_Volume]]*Inventory_Table[[#This Row],[Unit_Price]]</f>
        <v>157.5</v>
      </c>
      <c r="T791" t="str">
        <f>IF(Inventory_Table[[#This Row],[Stock_Quantity]]&lt;=Inventory_Table[[#This Row],[Reorder_Level]],"REORDER","OK")</f>
        <v>OK</v>
      </c>
      <c r="U791" t="s">
        <v>3836</v>
      </c>
      <c r="V791" s="14">
        <f ca="1">TODAY()-Inventory_Table[[#This Row],[Last_Order_Date]]</f>
        <v>606</v>
      </c>
    </row>
    <row r="792" spans="1:22" x14ac:dyDescent="0.35">
      <c r="A792" t="s">
        <v>89</v>
      </c>
      <c r="B792" t="s">
        <v>36</v>
      </c>
      <c r="C792" t="s">
        <v>1084</v>
      </c>
      <c r="D792" t="s">
        <v>3166</v>
      </c>
      <c r="E792" t="s">
        <v>21</v>
      </c>
      <c r="F792" t="s">
        <v>3167</v>
      </c>
      <c r="G792" t="s">
        <v>3168</v>
      </c>
      <c r="H792" s="1">
        <v>46188</v>
      </c>
      <c r="I792" s="6">
        <v>45470</v>
      </c>
      <c r="J792" s="6">
        <v>46419</v>
      </c>
      <c r="K792">
        <v>59</v>
      </c>
      <c r="L792">
        <v>27</v>
      </c>
      <c r="M792">
        <v>63</v>
      </c>
      <c r="N792" s="8">
        <v>1.75</v>
      </c>
      <c r="O792">
        <v>92</v>
      </c>
      <c r="P792">
        <v>82</v>
      </c>
      <c r="Q792" s="3">
        <v>-0.96</v>
      </c>
      <c r="R792">
        <f>Inventory_Table[[#This Row],[Stock_Quantity]]*Inventory_Table[[#This Row],[Unit_Price]]</f>
        <v>103.25</v>
      </c>
      <c r="S792">
        <f>Inventory_Table[[#This Row],[Sales_Volume]]*Inventory_Table[[#This Row],[Unit_Price]]</f>
        <v>161</v>
      </c>
      <c r="T792" t="str">
        <f>IF(Inventory_Table[[#This Row],[Stock_Quantity]]&lt;=Inventory_Table[[#This Row],[Reorder_Level]],"REORDER","OK")</f>
        <v>OK</v>
      </c>
      <c r="U792" t="s">
        <v>3836</v>
      </c>
      <c r="V792" s="14">
        <f ca="1">TODAY()-Inventory_Table[[#This Row],[Last_Order_Date]]</f>
        <v>706</v>
      </c>
    </row>
    <row r="793" spans="1:22" x14ac:dyDescent="0.35">
      <c r="A793" t="s">
        <v>596</v>
      </c>
      <c r="B793" t="s">
        <v>18</v>
      </c>
      <c r="C793" t="s">
        <v>1261</v>
      </c>
      <c r="D793" t="s">
        <v>3169</v>
      </c>
      <c r="E793" t="s">
        <v>68</v>
      </c>
      <c r="F793" t="s">
        <v>3170</v>
      </c>
      <c r="G793" t="s">
        <v>3171</v>
      </c>
      <c r="H793" s="1">
        <v>46188</v>
      </c>
      <c r="I793" s="6">
        <v>45537</v>
      </c>
      <c r="J793" s="6">
        <v>46254</v>
      </c>
      <c r="K793">
        <v>37</v>
      </c>
      <c r="L793">
        <v>38</v>
      </c>
      <c r="M793">
        <v>24</v>
      </c>
      <c r="N793" s="8">
        <v>4</v>
      </c>
      <c r="O793">
        <v>93</v>
      </c>
      <c r="P793">
        <v>32</v>
      </c>
      <c r="Q793" s="3">
        <v>0.11</v>
      </c>
      <c r="R793">
        <f>Inventory_Table[[#This Row],[Stock_Quantity]]*Inventory_Table[[#This Row],[Unit_Price]]</f>
        <v>148</v>
      </c>
      <c r="S793">
        <f>Inventory_Table[[#This Row],[Sales_Volume]]*Inventory_Table[[#This Row],[Unit_Price]]</f>
        <v>372</v>
      </c>
      <c r="T793" t="str">
        <f>IF(Inventory_Table[[#This Row],[Stock_Quantity]]&lt;=Inventory_Table[[#This Row],[Reorder_Level]],"REORDER","OK")</f>
        <v>REORDER</v>
      </c>
      <c r="U793" t="s">
        <v>3836</v>
      </c>
      <c r="V793" s="14">
        <f ca="1">TODAY()-Inventory_Table[[#This Row],[Last_Order_Date]]</f>
        <v>639</v>
      </c>
    </row>
    <row r="794" spans="1:22" x14ac:dyDescent="0.35">
      <c r="A794" t="s">
        <v>861</v>
      </c>
      <c r="B794" t="s">
        <v>36</v>
      </c>
      <c r="C794" t="s">
        <v>44</v>
      </c>
      <c r="D794" t="s">
        <v>3172</v>
      </c>
      <c r="E794" t="s">
        <v>68</v>
      </c>
      <c r="F794" t="s">
        <v>3173</v>
      </c>
      <c r="G794" t="s">
        <v>3174</v>
      </c>
      <c r="H794" s="1">
        <v>46188</v>
      </c>
      <c r="I794" s="6">
        <v>45416</v>
      </c>
      <c r="J794" s="6">
        <v>46284</v>
      </c>
      <c r="K794">
        <v>48</v>
      </c>
      <c r="L794">
        <v>12</v>
      </c>
      <c r="M794">
        <v>62</v>
      </c>
      <c r="N794" s="8">
        <v>7</v>
      </c>
      <c r="O794">
        <v>59</v>
      </c>
      <c r="P794">
        <v>23</v>
      </c>
      <c r="Q794" s="3">
        <v>0.66</v>
      </c>
      <c r="R794">
        <f>Inventory_Table[[#This Row],[Stock_Quantity]]*Inventory_Table[[#This Row],[Unit_Price]]</f>
        <v>336</v>
      </c>
      <c r="S794">
        <f>Inventory_Table[[#This Row],[Sales_Volume]]*Inventory_Table[[#This Row],[Unit_Price]]</f>
        <v>413</v>
      </c>
      <c r="T794" t="str">
        <f>IF(Inventory_Table[[#This Row],[Stock_Quantity]]&lt;=Inventory_Table[[#This Row],[Reorder_Level]],"REORDER","OK")</f>
        <v>OK</v>
      </c>
      <c r="U794" t="s">
        <v>3836</v>
      </c>
      <c r="V794" s="14">
        <f ca="1">TODAY()-Inventory_Table[[#This Row],[Last_Order_Date]]</f>
        <v>760</v>
      </c>
    </row>
    <row r="795" spans="1:22" x14ac:dyDescent="0.35">
      <c r="A795" t="s">
        <v>1350</v>
      </c>
      <c r="B795" t="s">
        <v>114</v>
      </c>
      <c r="C795" t="s">
        <v>2817</v>
      </c>
      <c r="D795" t="s">
        <v>3175</v>
      </c>
      <c r="E795" t="s">
        <v>21</v>
      </c>
      <c r="F795" t="s">
        <v>3176</v>
      </c>
      <c r="G795" t="s">
        <v>3177</v>
      </c>
      <c r="H795" s="1">
        <v>46189</v>
      </c>
      <c r="I795" s="6">
        <v>45436</v>
      </c>
      <c r="J795" s="6">
        <v>46384</v>
      </c>
      <c r="K795">
        <v>33</v>
      </c>
      <c r="L795">
        <v>60</v>
      </c>
      <c r="M795">
        <v>67</v>
      </c>
      <c r="N795" s="8">
        <v>6</v>
      </c>
      <c r="O795">
        <v>20</v>
      </c>
      <c r="P795">
        <v>7</v>
      </c>
      <c r="Q795" s="3">
        <v>0.61</v>
      </c>
      <c r="R795">
        <f>Inventory_Table[[#This Row],[Stock_Quantity]]*Inventory_Table[[#This Row],[Unit_Price]]</f>
        <v>198</v>
      </c>
      <c r="S795">
        <f>Inventory_Table[[#This Row],[Sales_Volume]]*Inventory_Table[[#This Row],[Unit_Price]]</f>
        <v>120</v>
      </c>
      <c r="T795" t="str">
        <f>IF(Inventory_Table[[#This Row],[Stock_Quantity]]&lt;=Inventory_Table[[#This Row],[Reorder_Level]],"REORDER","OK")</f>
        <v>REORDER</v>
      </c>
      <c r="U795" t="s">
        <v>3836</v>
      </c>
      <c r="V795" s="14">
        <f ca="1">TODAY()-Inventory_Table[[#This Row],[Last_Order_Date]]</f>
        <v>740</v>
      </c>
    </row>
    <row r="796" spans="1:22" x14ac:dyDescent="0.35">
      <c r="A796" t="s">
        <v>1234</v>
      </c>
      <c r="B796" t="s">
        <v>27</v>
      </c>
      <c r="C796" t="s">
        <v>1810</v>
      </c>
      <c r="D796" t="s">
        <v>3178</v>
      </c>
      <c r="E796" t="s">
        <v>21</v>
      </c>
      <c r="F796" t="s">
        <v>3179</v>
      </c>
      <c r="G796" t="s">
        <v>3180</v>
      </c>
      <c r="H796" s="1">
        <v>46189</v>
      </c>
      <c r="I796" s="6">
        <v>45441</v>
      </c>
      <c r="J796" s="6">
        <v>46420</v>
      </c>
      <c r="K796">
        <v>32</v>
      </c>
      <c r="L796">
        <v>38</v>
      </c>
      <c r="M796">
        <v>23</v>
      </c>
      <c r="N796" s="8">
        <v>2.5</v>
      </c>
      <c r="O796">
        <v>52</v>
      </c>
      <c r="P796">
        <v>11</v>
      </c>
      <c r="Q796" s="3">
        <v>0.65</v>
      </c>
      <c r="R796">
        <f>Inventory_Table[[#This Row],[Stock_Quantity]]*Inventory_Table[[#This Row],[Unit_Price]]</f>
        <v>80</v>
      </c>
      <c r="S796">
        <f>Inventory_Table[[#This Row],[Sales_Volume]]*Inventory_Table[[#This Row],[Unit_Price]]</f>
        <v>130</v>
      </c>
      <c r="T796" t="str">
        <f>IF(Inventory_Table[[#This Row],[Stock_Quantity]]&lt;=Inventory_Table[[#This Row],[Reorder_Level]],"REORDER","OK")</f>
        <v>REORDER</v>
      </c>
      <c r="U796" t="s">
        <v>3836</v>
      </c>
      <c r="V796" s="14">
        <f ca="1">TODAY()-Inventory_Table[[#This Row],[Last_Order_Date]]</f>
        <v>735</v>
      </c>
    </row>
    <row r="797" spans="1:22" x14ac:dyDescent="0.35">
      <c r="A797" t="s">
        <v>1320</v>
      </c>
      <c r="B797" t="s">
        <v>18</v>
      </c>
      <c r="C797" t="s">
        <v>3181</v>
      </c>
      <c r="D797" t="s">
        <v>3182</v>
      </c>
      <c r="E797" t="s">
        <v>68</v>
      </c>
      <c r="F797" t="s">
        <v>3183</v>
      </c>
      <c r="G797" t="s">
        <v>3184</v>
      </c>
      <c r="H797" s="1">
        <v>46189</v>
      </c>
      <c r="I797" s="6">
        <v>45390</v>
      </c>
      <c r="J797" s="6">
        <v>46174</v>
      </c>
      <c r="K797">
        <v>43</v>
      </c>
      <c r="L797">
        <v>41</v>
      </c>
      <c r="M797">
        <v>100</v>
      </c>
      <c r="N797" s="8">
        <v>8</v>
      </c>
      <c r="O797">
        <v>27</v>
      </c>
      <c r="P797">
        <v>78</v>
      </c>
      <c r="Q797" s="3">
        <v>0.79</v>
      </c>
      <c r="R797">
        <f>Inventory_Table[[#This Row],[Stock_Quantity]]*Inventory_Table[[#This Row],[Unit_Price]]</f>
        <v>344</v>
      </c>
      <c r="S797">
        <f>Inventory_Table[[#This Row],[Sales_Volume]]*Inventory_Table[[#This Row],[Unit_Price]]</f>
        <v>216</v>
      </c>
      <c r="T797" t="str">
        <f>IF(Inventory_Table[[#This Row],[Stock_Quantity]]&lt;=Inventory_Table[[#This Row],[Reorder_Level]],"REORDER","OK")</f>
        <v>OK</v>
      </c>
      <c r="U797" t="s">
        <v>3837</v>
      </c>
      <c r="V797" s="14">
        <f ca="1">TODAY()-Inventory_Table[[#This Row],[Last_Order_Date]]</f>
        <v>786</v>
      </c>
    </row>
    <row r="798" spans="1:22" x14ac:dyDescent="0.35">
      <c r="A798" t="s">
        <v>308</v>
      </c>
      <c r="B798" t="s">
        <v>27</v>
      </c>
      <c r="C798" t="s">
        <v>1142</v>
      </c>
      <c r="D798" t="s">
        <v>3185</v>
      </c>
      <c r="E798" t="s">
        <v>68</v>
      </c>
      <c r="F798" t="s">
        <v>3186</v>
      </c>
      <c r="G798" t="s">
        <v>3187</v>
      </c>
      <c r="H798" s="1">
        <v>46189</v>
      </c>
      <c r="I798" s="6">
        <v>45602</v>
      </c>
      <c r="J798" s="6">
        <v>46335</v>
      </c>
      <c r="K798">
        <v>97</v>
      </c>
      <c r="L798">
        <v>20</v>
      </c>
      <c r="M798">
        <v>8</v>
      </c>
      <c r="N798" s="8">
        <v>6.5</v>
      </c>
      <c r="O798">
        <v>51</v>
      </c>
      <c r="P798">
        <v>51</v>
      </c>
      <c r="Q798" s="3">
        <v>-1.89</v>
      </c>
      <c r="R798">
        <f>Inventory_Table[[#This Row],[Stock_Quantity]]*Inventory_Table[[#This Row],[Unit_Price]]</f>
        <v>630.5</v>
      </c>
      <c r="S798">
        <f>Inventory_Table[[#This Row],[Sales_Volume]]*Inventory_Table[[#This Row],[Unit_Price]]</f>
        <v>331.5</v>
      </c>
      <c r="T798" t="str">
        <f>IF(Inventory_Table[[#This Row],[Stock_Quantity]]&lt;=Inventory_Table[[#This Row],[Reorder_Level]],"REORDER","OK")</f>
        <v>OK</v>
      </c>
      <c r="U798" t="s">
        <v>3836</v>
      </c>
      <c r="V798" s="14">
        <f ca="1">TODAY()-Inventory_Table[[#This Row],[Last_Order_Date]]</f>
        <v>574</v>
      </c>
    </row>
    <row r="799" spans="1:22" x14ac:dyDescent="0.35">
      <c r="A799" t="s">
        <v>708</v>
      </c>
      <c r="B799" t="s">
        <v>163</v>
      </c>
      <c r="C799" t="s">
        <v>1806</v>
      </c>
      <c r="D799" t="s">
        <v>3188</v>
      </c>
      <c r="E799" t="s">
        <v>30</v>
      </c>
      <c r="F799" t="s">
        <v>3189</v>
      </c>
      <c r="G799" t="s">
        <v>3190</v>
      </c>
      <c r="H799" s="1">
        <v>46190</v>
      </c>
      <c r="I799" s="6">
        <v>45676</v>
      </c>
      <c r="J799" s="6">
        <v>46422</v>
      </c>
      <c r="K799">
        <v>37</v>
      </c>
      <c r="L799">
        <v>94</v>
      </c>
      <c r="M799">
        <v>76</v>
      </c>
      <c r="N799" s="8">
        <v>15</v>
      </c>
      <c r="O799">
        <v>94</v>
      </c>
      <c r="P799">
        <v>66</v>
      </c>
      <c r="Q799" s="3">
        <v>0</v>
      </c>
      <c r="R799">
        <f>Inventory_Table[[#This Row],[Stock_Quantity]]*Inventory_Table[[#This Row],[Unit_Price]]</f>
        <v>555</v>
      </c>
      <c r="S799">
        <f>Inventory_Table[[#This Row],[Sales_Volume]]*Inventory_Table[[#This Row],[Unit_Price]]</f>
        <v>1410</v>
      </c>
      <c r="T799" t="str">
        <f>IF(Inventory_Table[[#This Row],[Stock_Quantity]]&lt;=Inventory_Table[[#This Row],[Reorder_Level]],"REORDER","OK")</f>
        <v>REORDER</v>
      </c>
      <c r="U799" t="s">
        <v>3836</v>
      </c>
      <c r="V799" s="14">
        <f ca="1">TODAY()-Inventory_Table[[#This Row],[Last_Order_Date]]</f>
        <v>500</v>
      </c>
    </row>
    <row r="800" spans="1:22" x14ac:dyDescent="0.35">
      <c r="A800" t="s">
        <v>1623</v>
      </c>
      <c r="B800" t="s">
        <v>36</v>
      </c>
      <c r="C800" t="s">
        <v>959</v>
      </c>
      <c r="D800" t="s">
        <v>3191</v>
      </c>
      <c r="E800" t="s">
        <v>30</v>
      </c>
      <c r="F800" t="s">
        <v>3192</v>
      </c>
      <c r="G800" t="s">
        <v>3193</v>
      </c>
      <c r="H800" s="1">
        <v>46190</v>
      </c>
      <c r="I800" s="6">
        <v>45434</v>
      </c>
      <c r="J800" s="6">
        <v>46343</v>
      </c>
      <c r="K800">
        <v>74</v>
      </c>
      <c r="L800">
        <v>60</v>
      </c>
      <c r="M800">
        <v>27</v>
      </c>
      <c r="N800" s="8">
        <v>4</v>
      </c>
      <c r="O800">
        <v>99</v>
      </c>
      <c r="P800">
        <v>68</v>
      </c>
      <c r="Q800" s="3">
        <v>0.3</v>
      </c>
      <c r="R800">
        <f>Inventory_Table[[#This Row],[Stock_Quantity]]*Inventory_Table[[#This Row],[Unit_Price]]</f>
        <v>296</v>
      </c>
      <c r="S800">
        <f>Inventory_Table[[#This Row],[Sales_Volume]]*Inventory_Table[[#This Row],[Unit_Price]]</f>
        <v>396</v>
      </c>
      <c r="T800" t="str">
        <f>IF(Inventory_Table[[#This Row],[Stock_Quantity]]&lt;=Inventory_Table[[#This Row],[Reorder_Level]],"REORDER","OK")</f>
        <v>OK</v>
      </c>
      <c r="U800" t="s">
        <v>3836</v>
      </c>
      <c r="V800" s="14">
        <f ca="1">TODAY()-Inventory_Table[[#This Row],[Last_Order_Date]]</f>
        <v>742</v>
      </c>
    </row>
    <row r="801" spans="1:22" x14ac:dyDescent="0.35">
      <c r="A801" t="s">
        <v>842</v>
      </c>
      <c r="B801" t="s">
        <v>75</v>
      </c>
      <c r="C801" t="s">
        <v>620</v>
      </c>
      <c r="D801" t="s">
        <v>3194</v>
      </c>
      <c r="E801" t="s">
        <v>21</v>
      </c>
      <c r="F801" t="s">
        <v>3195</v>
      </c>
      <c r="G801" t="s">
        <v>3196</v>
      </c>
      <c r="H801" s="1">
        <v>46191</v>
      </c>
      <c r="I801" s="6">
        <v>45470</v>
      </c>
      <c r="J801" s="6">
        <v>46140</v>
      </c>
      <c r="K801">
        <v>76</v>
      </c>
      <c r="L801">
        <v>57</v>
      </c>
      <c r="M801">
        <v>78</v>
      </c>
      <c r="N801" s="8">
        <v>9</v>
      </c>
      <c r="O801">
        <v>52</v>
      </c>
      <c r="P801">
        <v>86</v>
      </c>
      <c r="Q801" s="3">
        <v>0.31</v>
      </c>
      <c r="R801">
        <f>Inventory_Table[[#This Row],[Stock_Quantity]]*Inventory_Table[[#This Row],[Unit_Price]]</f>
        <v>684</v>
      </c>
      <c r="S801">
        <f>Inventory_Table[[#This Row],[Sales_Volume]]*Inventory_Table[[#This Row],[Unit_Price]]</f>
        <v>468</v>
      </c>
      <c r="T801" t="str">
        <f>IF(Inventory_Table[[#This Row],[Stock_Quantity]]&lt;=Inventory_Table[[#This Row],[Reorder_Level]],"REORDER","OK")</f>
        <v>OK</v>
      </c>
      <c r="U801" t="s">
        <v>3838</v>
      </c>
      <c r="V801" s="14">
        <f ca="1">TODAY()-Inventory_Table[[#This Row],[Last_Order_Date]]</f>
        <v>706</v>
      </c>
    </row>
    <row r="802" spans="1:22" x14ac:dyDescent="0.35">
      <c r="A802" t="s">
        <v>861</v>
      </c>
      <c r="B802" t="s">
        <v>36</v>
      </c>
      <c r="C802" t="s">
        <v>1657</v>
      </c>
      <c r="D802" t="s">
        <v>3197</v>
      </c>
      <c r="E802" t="s">
        <v>30</v>
      </c>
      <c r="F802" t="s">
        <v>3198</v>
      </c>
      <c r="G802" t="s">
        <v>3199</v>
      </c>
      <c r="H802" s="1">
        <v>46192</v>
      </c>
      <c r="I802" s="6">
        <v>45362</v>
      </c>
      <c r="J802" s="6">
        <v>46263</v>
      </c>
      <c r="K802">
        <v>100</v>
      </c>
      <c r="L802">
        <v>21</v>
      </c>
      <c r="M802">
        <v>64</v>
      </c>
      <c r="N802" s="8">
        <v>7</v>
      </c>
      <c r="O802">
        <v>20</v>
      </c>
      <c r="P802">
        <v>13</v>
      </c>
      <c r="Q802" s="3">
        <v>-0.65</v>
      </c>
      <c r="R802">
        <f>Inventory_Table[[#This Row],[Stock_Quantity]]*Inventory_Table[[#This Row],[Unit_Price]]</f>
        <v>700</v>
      </c>
      <c r="S802">
        <f>Inventory_Table[[#This Row],[Sales_Volume]]*Inventory_Table[[#This Row],[Unit_Price]]</f>
        <v>140</v>
      </c>
      <c r="T802" t="str">
        <f>IF(Inventory_Table[[#This Row],[Stock_Quantity]]&lt;=Inventory_Table[[#This Row],[Reorder_Level]],"REORDER","OK")</f>
        <v>OK</v>
      </c>
      <c r="U802" t="s">
        <v>3836</v>
      </c>
      <c r="V802" s="14">
        <f ca="1">TODAY()-Inventory_Table[[#This Row],[Last_Order_Date]]</f>
        <v>814</v>
      </c>
    </row>
    <row r="803" spans="1:22" x14ac:dyDescent="0.35">
      <c r="A803" t="s">
        <v>769</v>
      </c>
      <c r="B803" t="s">
        <v>36</v>
      </c>
      <c r="C803" t="s">
        <v>1841</v>
      </c>
      <c r="D803" t="s">
        <v>3200</v>
      </c>
      <c r="E803" t="s">
        <v>21</v>
      </c>
      <c r="F803" t="s">
        <v>3201</v>
      </c>
      <c r="G803" t="s">
        <v>3202</v>
      </c>
      <c r="H803" s="1">
        <v>46192</v>
      </c>
      <c r="I803" s="6">
        <v>45508</v>
      </c>
      <c r="J803" s="6">
        <v>46305</v>
      </c>
      <c r="K803">
        <v>64</v>
      </c>
      <c r="L803">
        <v>31</v>
      </c>
      <c r="M803">
        <v>91</v>
      </c>
      <c r="N803" s="8">
        <v>1.9</v>
      </c>
      <c r="O803">
        <v>85</v>
      </c>
      <c r="P803">
        <v>42</v>
      </c>
      <c r="Q803" s="3">
        <v>0.35</v>
      </c>
      <c r="R803">
        <f>Inventory_Table[[#This Row],[Stock_Quantity]]*Inventory_Table[[#This Row],[Unit_Price]]</f>
        <v>121.6</v>
      </c>
      <c r="S803">
        <f>Inventory_Table[[#This Row],[Sales_Volume]]*Inventory_Table[[#This Row],[Unit_Price]]</f>
        <v>161.5</v>
      </c>
      <c r="T803" t="str">
        <f>IF(Inventory_Table[[#This Row],[Stock_Quantity]]&lt;=Inventory_Table[[#This Row],[Reorder_Level]],"REORDER","OK")</f>
        <v>OK</v>
      </c>
      <c r="U803" t="s">
        <v>3836</v>
      </c>
      <c r="V803" s="14">
        <f ca="1">TODAY()-Inventory_Table[[#This Row],[Last_Order_Date]]</f>
        <v>668</v>
      </c>
    </row>
    <row r="804" spans="1:22" x14ac:dyDescent="0.35">
      <c r="A804" t="s">
        <v>861</v>
      </c>
      <c r="B804" t="s">
        <v>36</v>
      </c>
      <c r="C804" t="s">
        <v>3181</v>
      </c>
      <c r="D804" t="s">
        <v>3203</v>
      </c>
      <c r="E804" t="s">
        <v>68</v>
      </c>
      <c r="F804" t="s">
        <v>3204</v>
      </c>
      <c r="G804" t="s">
        <v>3205</v>
      </c>
      <c r="H804" s="1">
        <v>46192</v>
      </c>
      <c r="I804" s="6">
        <v>45405</v>
      </c>
      <c r="J804" s="6">
        <v>46129</v>
      </c>
      <c r="K804">
        <v>41</v>
      </c>
      <c r="L804">
        <v>22</v>
      </c>
      <c r="M804">
        <v>11</v>
      </c>
      <c r="N804" s="8">
        <v>7</v>
      </c>
      <c r="O804">
        <v>86</v>
      </c>
      <c r="P804">
        <v>30</v>
      </c>
      <c r="Q804" s="3">
        <v>0.51</v>
      </c>
      <c r="R804">
        <f>Inventory_Table[[#This Row],[Stock_Quantity]]*Inventory_Table[[#This Row],[Unit_Price]]</f>
        <v>287</v>
      </c>
      <c r="S804">
        <f>Inventory_Table[[#This Row],[Sales_Volume]]*Inventory_Table[[#This Row],[Unit_Price]]</f>
        <v>602</v>
      </c>
      <c r="T804" t="str">
        <f>IF(Inventory_Table[[#This Row],[Stock_Quantity]]&lt;=Inventory_Table[[#This Row],[Reorder_Level]],"REORDER","OK")</f>
        <v>OK</v>
      </c>
      <c r="U804" t="s">
        <v>3838</v>
      </c>
      <c r="V804" s="14">
        <f ca="1">TODAY()-Inventory_Table[[#This Row],[Last_Order_Date]]</f>
        <v>771</v>
      </c>
    </row>
    <row r="805" spans="1:22" x14ac:dyDescent="0.35">
      <c r="A805" t="s">
        <v>106</v>
      </c>
      <c r="B805" t="s">
        <v>18</v>
      </c>
      <c r="C805" t="s">
        <v>302</v>
      </c>
      <c r="D805" t="s">
        <v>3206</v>
      </c>
      <c r="E805" t="s">
        <v>21</v>
      </c>
      <c r="F805" t="s">
        <v>3207</v>
      </c>
      <c r="G805" t="s">
        <v>3208</v>
      </c>
      <c r="H805" s="1">
        <v>46193</v>
      </c>
      <c r="I805" s="6">
        <v>45426</v>
      </c>
      <c r="J805" s="6">
        <v>46302</v>
      </c>
      <c r="K805">
        <v>84</v>
      </c>
      <c r="L805">
        <v>95</v>
      </c>
      <c r="M805">
        <v>22</v>
      </c>
      <c r="N805" s="8">
        <v>2.85</v>
      </c>
      <c r="O805">
        <v>48</v>
      </c>
      <c r="P805">
        <v>82</v>
      </c>
      <c r="Q805" s="3">
        <v>0.65</v>
      </c>
      <c r="R805">
        <f>Inventory_Table[[#This Row],[Stock_Quantity]]*Inventory_Table[[#This Row],[Unit_Price]]</f>
        <v>239.4</v>
      </c>
      <c r="S805">
        <f>Inventory_Table[[#This Row],[Sales_Volume]]*Inventory_Table[[#This Row],[Unit_Price]]</f>
        <v>136.80000000000001</v>
      </c>
      <c r="T805" t="str">
        <f>IF(Inventory_Table[[#This Row],[Stock_Quantity]]&lt;=Inventory_Table[[#This Row],[Reorder_Level]],"REORDER","OK")</f>
        <v>REORDER</v>
      </c>
      <c r="U805" t="s">
        <v>3836</v>
      </c>
      <c r="V805" s="14">
        <f ca="1">TODAY()-Inventory_Table[[#This Row],[Last_Order_Date]]</f>
        <v>750</v>
      </c>
    </row>
    <row r="806" spans="1:22" x14ac:dyDescent="0.35">
      <c r="A806" t="s">
        <v>113</v>
      </c>
      <c r="B806" t="s">
        <v>114</v>
      </c>
      <c r="C806" t="s">
        <v>254</v>
      </c>
      <c r="D806" t="s">
        <v>3210</v>
      </c>
      <c r="E806" t="s">
        <v>21</v>
      </c>
      <c r="F806" t="s">
        <v>3211</v>
      </c>
      <c r="G806" t="s">
        <v>3212</v>
      </c>
      <c r="H806" s="1">
        <v>46193</v>
      </c>
      <c r="I806" s="6">
        <v>45562</v>
      </c>
      <c r="J806" s="6">
        <v>46282</v>
      </c>
      <c r="K806">
        <v>61</v>
      </c>
      <c r="L806">
        <v>8</v>
      </c>
      <c r="M806">
        <v>45</v>
      </c>
      <c r="N806" s="8">
        <v>4</v>
      </c>
      <c r="O806">
        <v>73</v>
      </c>
      <c r="P806">
        <v>64</v>
      </c>
      <c r="Q806" s="3">
        <v>-0.71</v>
      </c>
      <c r="R806">
        <f>Inventory_Table[[#This Row],[Stock_Quantity]]*Inventory_Table[[#This Row],[Unit_Price]]</f>
        <v>244</v>
      </c>
      <c r="S806">
        <f>Inventory_Table[[#This Row],[Sales_Volume]]*Inventory_Table[[#This Row],[Unit_Price]]</f>
        <v>292</v>
      </c>
      <c r="T806" t="str">
        <f>IF(Inventory_Table[[#This Row],[Stock_Quantity]]&lt;=Inventory_Table[[#This Row],[Reorder_Level]],"REORDER","OK")</f>
        <v>OK</v>
      </c>
      <c r="U806" t="s">
        <v>3836</v>
      </c>
      <c r="V806" s="14">
        <f ca="1">TODAY()-Inventory_Table[[#This Row],[Last_Order_Date]]</f>
        <v>614</v>
      </c>
    </row>
    <row r="807" spans="1:22" x14ac:dyDescent="0.35">
      <c r="A807" t="s">
        <v>331</v>
      </c>
      <c r="B807" t="s">
        <v>27</v>
      </c>
      <c r="C807" t="s">
        <v>284</v>
      </c>
      <c r="D807" t="s">
        <v>3213</v>
      </c>
      <c r="E807" t="s">
        <v>68</v>
      </c>
      <c r="F807" t="s">
        <v>3214</v>
      </c>
      <c r="G807" t="s">
        <v>3215</v>
      </c>
      <c r="H807" s="1">
        <v>46193</v>
      </c>
      <c r="I807" s="6">
        <v>45381</v>
      </c>
      <c r="J807" s="6">
        <v>46190</v>
      </c>
      <c r="K807">
        <v>24</v>
      </c>
      <c r="L807">
        <v>14</v>
      </c>
      <c r="M807">
        <v>5</v>
      </c>
      <c r="N807" s="8">
        <v>4</v>
      </c>
      <c r="O807">
        <v>98</v>
      </c>
      <c r="P807">
        <v>9</v>
      </c>
      <c r="Q807" s="3">
        <v>0.12</v>
      </c>
      <c r="R807">
        <f>Inventory_Table[[#This Row],[Stock_Quantity]]*Inventory_Table[[#This Row],[Unit_Price]]</f>
        <v>96</v>
      </c>
      <c r="S807">
        <f>Inventory_Table[[#This Row],[Sales_Volume]]*Inventory_Table[[#This Row],[Unit_Price]]</f>
        <v>392</v>
      </c>
      <c r="T807" t="str">
        <f>IF(Inventory_Table[[#This Row],[Stock_Quantity]]&lt;=Inventory_Table[[#This Row],[Reorder_Level]],"REORDER","OK")</f>
        <v>OK</v>
      </c>
      <c r="U807" t="s">
        <v>3837</v>
      </c>
      <c r="V807" s="14">
        <f ca="1">TODAY()-Inventory_Table[[#This Row],[Last_Order_Date]]</f>
        <v>795</v>
      </c>
    </row>
    <row r="808" spans="1:22" x14ac:dyDescent="0.35">
      <c r="A808" t="s">
        <v>96</v>
      </c>
      <c r="B808" t="s">
        <v>36</v>
      </c>
      <c r="C808" t="s">
        <v>908</v>
      </c>
      <c r="D808" t="s">
        <v>3216</v>
      </c>
      <c r="E808" t="s">
        <v>30</v>
      </c>
      <c r="F808" t="s">
        <v>3217</v>
      </c>
      <c r="G808" t="s">
        <v>3218</v>
      </c>
      <c r="H808" s="1">
        <v>46193</v>
      </c>
      <c r="I808" s="6">
        <v>45431</v>
      </c>
      <c r="J808" s="6">
        <v>46104</v>
      </c>
      <c r="K808">
        <v>86</v>
      </c>
      <c r="L808">
        <v>23</v>
      </c>
      <c r="M808">
        <v>1</v>
      </c>
      <c r="N808" s="8">
        <v>9</v>
      </c>
      <c r="O808">
        <v>100</v>
      </c>
      <c r="P808">
        <v>86</v>
      </c>
      <c r="Q808" s="3">
        <v>0.91</v>
      </c>
      <c r="R808">
        <f>Inventory_Table[[#This Row],[Stock_Quantity]]*Inventory_Table[[#This Row],[Unit_Price]]</f>
        <v>774</v>
      </c>
      <c r="S808">
        <f>Inventory_Table[[#This Row],[Sales_Volume]]*Inventory_Table[[#This Row],[Unit_Price]]</f>
        <v>900</v>
      </c>
      <c r="T808" t="str">
        <f>IF(Inventory_Table[[#This Row],[Stock_Quantity]]&lt;=Inventory_Table[[#This Row],[Reorder_Level]],"REORDER","OK")</f>
        <v>OK</v>
      </c>
      <c r="U808" t="s">
        <v>3838</v>
      </c>
      <c r="V808" s="14">
        <f ca="1">TODAY()-Inventory_Table[[#This Row],[Last_Order_Date]]</f>
        <v>745</v>
      </c>
    </row>
    <row r="809" spans="1:22" x14ac:dyDescent="0.35">
      <c r="A809" t="s">
        <v>212</v>
      </c>
      <c r="B809" t="s">
        <v>75</v>
      </c>
      <c r="C809" t="s">
        <v>3219</v>
      </c>
      <c r="D809" t="s">
        <v>3220</v>
      </c>
      <c r="E809" t="s">
        <v>30</v>
      </c>
      <c r="F809" t="s">
        <v>3221</v>
      </c>
      <c r="G809" t="s">
        <v>3222</v>
      </c>
      <c r="H809" s="1">
        <v>46194</v>
      </c>
      <c r="I809" s="6">
        <v>45521</v>
      </c>
      <c r="J809" s="6">
        <v>46141</v>
      </c>
      <c r="K809">
        <v>93</v>
      </c>
      <c r="L809">
        <v>25</v>
      </c>
      <c r="M809">
        <v>23</v>
      </c>
      <c r="N809" s="8">
        <v>7</v>
      </c>
      <c r="O809">
        <v>72</v>
      </c>
      <c r="P809">
        <v>83</v>
      </c>
      <c r="Q809" s="3">
        <v>0.14000000000000001</v>
      </c>
      <c r="R809">
        <f>Inventory_Table[[#This Row],[Stock_Quantity]]*Inventory_Table[[#This Row],[Unit_Price]]</f>
        <v>651</v>
      </c>
      <c r="S809">
        <f>Inventory_Table[[#This Row],[Sales_Volume]]*Inventory_Table[[#This Row],[Unit_Price]]</f>
        <v>504</v>
      </c>
      <c r="T809" t="str">
        <f>IF(Inventory_Table[[#This Row],[Stock_Quantity]]&lt;=Inventory_Table[[#This Row],[Reorder_Level]],"REORDER","OK")</f>
        <v>OK</v>
      </c>
      <c r="U809" t="s">
        <v>3838</v>
      </c>
      <c r="V809" s="14">
        <f ca="1">TODAY()-Inventory_Table[[#This Row],[Last_Order_Date]]</f>
        <v>655</v>
      </c>
    </row>
    <row r="810" spans="1:22" x14ac:dyDescent="0.35">
      <c r="A810" t="s">
        <v>101</v>
      </c>
      <c r="B810" t="s">
        <v>27</v>
      </c>
      <c r="C810" t="s">
        <v>2813</v>
      </c>
      <c r="D810" t="s">
        <v>3223</v>
      </c>
      <c r="E810" t="s">
        <v>30</v>
      </c>
      <c r="F810" t="s">
        <v>3224</v>
      </c>
      <c r="G810" t="s">
        <v>3225</v>
      </c>
      <c r="H810" s="1">
        <v>46195</v>
      </c>
      <c r="I810" s="6">
        <v>45462</v>
      </c>
      <c r="J810" s="6">
        <v>46293</v>
      </c>
      <c r="K810">
        <v>99</v>
      </c>
      <c r="L810">
        <v>96</v>
      </c>
      <c r="M810">
        <v>39</v>
      </c>
      <c r="N810" s="8">
        <v>10</v>
      </c>
      <c r="O810">
        <v>94</v>
      </c>
      <c r="P810">
        <v>89</v>
      </c>
      <c r="Q810" s="3">
        <v>-0.15</v>
      </c>
      <c r="R810">
        <f>Inventory_Table[[#This Row],[Stock_Quantity]]*Inventory_Table[[#This Row],[Unit_Price]]</f>
        <v>990</v>
      </c>
      <c r="S810">
        <f>Inventory_Table[[#This Row],[Sales_Volume]]*Inventory_Table[[#This Row],[Unit_Price]]</f>
        <v>940</v>
      </c>
      <c r="T810" t="str">
        <f>IF(Inventory_Table[[#This Row],[Stock_Quantity]]&lt;=Inventory_Table[[#This Row],[Reorder_Level]],"REORDER","OK")</f>
        <v>OK</v>
      </c>
      <c r="U810" t="s">
        <v>3836</v>
      </c>
      <c r="V810" s="14">
        <f ca="1">TODAY()-Inventory_Table[[#This Row],[Last_Order_Date]]</f>
        <v>714</v>
      </c>
    </row>
    <row r="811" spans="1:22" x14ac:dyDescent="0.35">
      <c r="A811" t="s">
        <v>1900</v>
      </c>
      <c r="B811" t="s">
        <v>75</v>
      </c>
      <c r="C811" t="s">
        <v>3226</v>
      </c>
      <c r="D811" t="s">
        <v>3227</v>
      </c>
      <c r="E811" t="s">
        <v>30</v>
      </c>
      <c r="F811" t="s">
        <v>3228</v>
      </c>
      <c r="G811" t="s">
        <v>3229</v>
      </c>
      <c r="H811" s="1">
        <v>46195</v>
      </c>
      <c r="I811" s="6">
        <v>45578</v>
      </c>
      <c r="J811" s="6">
        <v>46285</v>
      </c>
      <c r="K811">
        <v>30</v>
      </c>
      <c r="L811">
        <v>29</v>
      </c>
      <c r="M811">
        <v>70</v>
      </c>
      <c r="N811" s="8">
        <v>7.5</v>
      </c>
      <c r="O811">
        <v>80</v>
      </c>
      <c r="P811">
        <v>43</v>
      </c>
      <c r="Q811" s="3">
        <v>0.05</v>
      </c>
      <c r="R811">
        <f>Inventory_Table[[#This Row],[Stock_Quantity]]*Inventory_Table[[#This Row],[Unit_Price]]</f>
        <v>225</v>
      </c>
      <c r="S811">
        <f>Inventory_Table[[#This Row],[Sales_Volume]]*Inventory_Table[[#This Row],[Unit_Price]]</f>
        <v>600</v>
      </c>
      <c r="T811" t="str">
        <f>IF(Inventory_Table[[#This Row],[Stock_Quantity]]&lt;=Inventory_Table[[#This Row],[Reorder_Level]],"REORDER","OK")</f>
        <v>OK</v>
      </c>
      <c r="U811" t="s">
        <v>3836</v>
      </c>
      <c r="V811" s="14">
        <f ca="1">TODAY()-Inventory_Table[[#This Row],[Last_Order_Date]]</f>
        <v>598</v>
      </c>
    </row>
    <row r="812" spans="1:22" x14ac:dyDescent="0.35">
      <c r="A812" t="s">
        <v>1234</v>
      </c>
      <c r="B812" t="s">
        <v>27</v>
      </c>
      <c r="C812" t="s">
        <v>2862</v>
      </c>
      <c r="D812" t="s">
        <v>3230</v>
      </c>
      <c r="E812" t="s">
        <v>30</v>
      </c>
      <c r="F812" t="s">
        <v>3231</v>
      </c>
      <c r="G812" t="s">
        <v>3232</v>
      </c>
      <c r="H812" s="1">
        <v>46195</v>
      </c>
      <c r="I812" s="6">
        <v>45539</v>
      </c>
      <c r="J812" s="6">
        <v>46207</v>
      </c>
      <c r="K812">
        <v>75</v>
      </c>
      <c r="L812">
        <v>23</v>
      </c>
      <c r="M812">
        <v>34</v>
      </c>
      <c r="N812" s="8">
        <v>2.5</v>
      </c>
      <c r="O812">
        <v>100</v>
      </c>
      <c r="P812">
        <v>54</v>
      </c>
      <c r="Q812" s="3">
        <v>0.46</v>
      </c>
      <c r="R812">
        <f>Inventory_Table[[#This Row],[Stock_Quantity]]*Inventory_Table[[#This Row],[Unit_Price]]</f>
        <v>187.5</v>
      </c>
      <c r="S812">
        <f>Inventory_Table[[#This Row],[Sales_Volume]]*Inventory_Table[[#This Row],[Unit_Price]]</f>
        <v>250</v>
      </c>
      <c r="T812" t="str">
        <f>IF(Inventory_Table[[#This Row],[Stock_Quantity]]&lt;=Inventory_Table[[#This Row],[Reorder_Level]],"REORDER","OK")</f>
        <v>OK</v>
      </c>
      <c r="U812" t="s">
        <v>3836</v>
      </c>
      <c r="V812" s="14">
        <f ca="1">TODAY()-Inventory_Table[[#This Row],[Last_Order_Date]]</f>
        <v>637</v>
      </c>
    </row>
    <row r="813" spans="1:22" x14ac:dyDescent="0.35">
      <c r="A813" t="s">
        <v>154</v>
      </c>
      <c r="B813" t="s">
        <v>65</v>
      </c>
      <c r="C813" t="s">
        <v>2489</v>
      </c>
      <c r="D813" t="s">
        <v>3233</v>
      </c>
      <c r="E813" t="s">
        <v>68</v>
      </c>
      <c r="F813" t="s">
        <v>3234</v>
      </c>
      <c r="G813" t="s">
        <v>3235</v>
      </c>
      <c r="H813" s="1">
        <v>46195</v>
      </c>
      <c r="I813" s="6">
        <v>45475</v>
      </c>
      <c r="J813" s="6">
        <v>46383</v>
      </c>
      <c r="K813">
        <v>39</v>
      </c>
      <c r="L813">
        <v>53</v>
      </c>
      <c r="M813">
        <v>64</v>
      </c>
      <c r="N813" s="8">
        <v>2.75</v>
      </c>
      <c r="O813">
        <v>92</v>
      </c>
      <c r="P813">
        <v>8</v>
      </c>
      <c r="Q813" s="3">
        <v>0.46</v>
      </c>
      <c r="R813">
        <f>Inventory_Table[[#This Row],[Stock_Quantity]]*Inventory_Table[[#This Row],[Unit_Price]]</f>
        <v>107.25</v>
      </c>
      <c r="S813">
        <f>Inventory_Table[[#This Row],[Sales_Volume]]*Inventory_Table[[#This Row],[Unit_Price]]</f>
        <v>253</v>
      </c>
      <c r="T813" t="str">
        <f>IF(Inventory_Table[[#This Row],[Stock_Quantity]]&lt;=Inventory_Table[[#This Row],[Reorder_Level]],"REORDER","OK")</f>
        <v>REORDER</v>
      </c>
      <c r="U813" t="s">
        <v>3836</v>
      </c>
      <c r="V813" s="14">
        <f ca="1">TODAY()-Inventory_Table[[#This Row],[Last_Order_Date]]</f>
        <v>701</v>
      </c>
    </row>
    <row r="814" spans="1:22" x14ac:dyDescent="0.35">
      <c r="A814" t="s">
        <v>1003</v>
      </c>
      <c r="B814" t="s">
        <v>18</v>
      </c>
      <c r="C814" t="s">
        <v>218</v>
      </c>
      <c r="D814" t="s">
        <v>3236</v>
      </c>
      <c r="E814" t="s">
        <v>21</v>
      </c>
      <c r="F814" t="s">
        <v>3237</v>
      </c>
      <c r="G814" t="s">
        <v>3238</v>
      </c>
      <c r="H814" s="1">
        <v>46195</v>
      </c>
      <c r="I814" s="6">
        <v>45435</v>
      </c>
      <c r="J814" s="6">
        <v>46128</v>
      </c>
      <c r="K814">
        <v>77</v>
      </c>
      <c r="L814">
        <v>58</v>
      </c>
      <c r="M814">
        <v>13</v>
      </c>
      <c r="N814" s="8">
        <v>3.5</v>
      </c>
      <c r="O814">
        <v>63</v>
      </c>
      <c r="P814">
        <v>28</v>
      </c>
      <c r="Q814" s="3">
        <v>0.91</v>
      </c>
      <c r="R814">
        <f>Inventory_Table[[#This Row],[Stock_Quantity]]*Inventory_Table[[#This Row],[Unit_Price]]</f>
        <v>269.5</v>
      </c>
      <c r="S814">
        <f>Inventory_Table[[#This Row],[Sales_Volume]]*Inventory_Table[[#This Row],[Unit_Price]]</f>
        <v>220.5</v>
      </c>
      <c r="T814" t="str">
        <f>IF(Inventory_Table[[#This Row],[Stock_Quantity]]&lt;=Inventory_Table[[#This Row],[Reorder_Level]],"REORDER","OK")</f>
        <v>OK</v>
      </c>
      <c r="U814" t="s">
        <v>3838</v>
      </c>
      <c r="V814" s="14">
        <f ca="1">TODAY()-Inventory_Table[[#This Row],[Last_Order_Date]]</f>
        <v>741</v>
      </c>
    </row>
    <row r="815" spans="1:22" x14ac:dyDescent="0.35">
      <c r="A815" t="s">
        <v>296</v>
      </c>
      <c r="B815" t="s">
        <v>27</v>
      </c>
      <c r="C815" t="s">
        <v>2042</v>
      </c>
      <c r="D815" t="s">
        <v>3239</v>
      </c>
      <c r="E815" t="s">
        <v>21</v>
      </c>
      <c r="F815" t="s">
        <v>3240</v>
      </c>
      <c r="G815" t="s">
        <v>3241</v>
      </c>
      <c r="H815" s="1">
        <v>46196</v>
      </c>
      <c r="I815" s="6">
        <v>45504</v>
      </c>
      <c r="J815" s="6">
        <v>46429</v>
      </c>
      <c r="K815">
        <v>43</v>
      </c>
      <c r="L815">
        <v>63</v>
      </c>
      <c r="M815">
        <v>80</v>
      </c>
      <c r="N815" s="8">
        <v>1.8</v>
      </c>
      <c r="O815">
        <v>33</v>
      </c>
      <c r="P815">
        <v>96</v>
      </c>
      <c r="Q815" s="3">
        <v>0.56000000000000005</v>
      </c>
      <c r="R815">
        <f>Inventory_Table[[#This Row],[Stock_Quantity]]*Inventory_Table[[#This Row],[Unit_Price]]</f>
        <v>77.400000000000006</v>
      </c>
      <c r="S815">
        <f>Inventory_Table[[#This Row],[Sales_Volume]]*Inventory_Table[[#This Row],[Unit_Price]]</f>
        <v>59.4</v>
      </c>
      <c r="T815" t="str">
        <f>IF(Inventory_Table[[#This Row],[Stock_Quantity]]&lt;=Inventory_Table[[#This Row],[Reorder_Level]],"REORDER","OK")</f>
        <v>REORDER</v>
      </c>
      <c r="U815" t="s">
        <v>3836</v>
      </c>
      <c r="V815" s="14">
        <f ca="1">TODAY()-Inventory_Table[[#This Row],[Last_Order_Date]]</f>
        <v>672</v>
      </c>
    </row>
    <row r="816" spans="1:22" x14ac:dyDescent="0.35">
      <c r="A816" t="s">
        <v>1782</v>
      </c>
      <c r="B816" t="s">
        <v>36</v>
      </c>
      <c r="C816" t="s">
        <v>2105</v>
      </c>
      <c r="D816" t="s">
        <v>3242</v>
      </c>
      <c r="E816" t="s">
        <v>30</v>
      </c>
      <c r="F816" t="s">
        <v>3243</v>
      </c>
      <c r="G816" t="s">
        <v>3244</v>
      </c>
      <c r="H816" s="1">
        <v>46196</v>
      </c>
      <c r="I816" s="6">
        <v>45480</v>
      </c>
      <c r="J816" s="6">
        <v>46390</v>
      </c>
      <c r="K816">
        <v>58</v>
      </c>
      <c r="L816">
        <v>17</v>
      </c>
      <c r="M816">
        <v>26</v>
      </c>
      <c r="N816" s="8">
        <v>7</v>
      </c>
      <c r="O816">
        <v>62</v>
      </c>
      <c r="P816">
        <v>89</v>
      </c>
      <c r="Q816" s="3">
        <v>-1.91</v>
      </c>
      <c r="R816">
        <f>Inventory_Table[[#This Row],[Stock_Quantity]]*Inventory_Table[[#This Row],[Unit_Price]]</f>
        <v>406</v>
      </c>
      <c r="S816">
        <f>Inventory_Table[[#This Row],[Sales_Volume]]*Inventory_Table[[#This Row],[Unit_Price]]</f>
        <v>434</v>
      </c>
      <c r="T816" t="str">
        <f>IF(Inventory_Table[[#This Row],[Stock_Quantity]]&lt;=Inventory_Table[[#This Row],[Reorder_Level]],"REORDER","OK")</f>
        <v>OK</v>
      </c>
      <c r="U816" t="s">
        <v>3836</v>
      </c>
      <c r="V816" s="14">
        <f ca="1">TODAY()-Inventory_Table[[#This Row],[Last_Order_Date]]</f>
        <v>696</v>
      </c>
    </row>
    <row r="817" spans="1:22" x14ac:dyDescent="0.35">
      <c r="A817" t="s">
        <v>1311</v>
      </c>
      <c r="B817" t="s">
        <v>36</v>
      </c>
      <c r="C817" t="s">
        <v>436</v>
      </c>
      <c r="D817" t="s">
        <v>3245</v>
      </c>
      <c r="E817" t="s">
        <v>68</v>
      </c>
      <c r="F817" t="s">
        <v>3246</v>
      </c>
      <c r="G817" t="s">
        <v>3247</v>
      </c>
      <c r="H817" s="1">
        <v>46196</v>
      </c>
      <c r="I817" s="6">
        <v>45428</v>
      </c>
      <c r="J817" s="6">
        <v>46385</v>
      </c>
      <c r="K817">
        <v>64</v>
      </c>
      <c r="L817">
        <v>14</v>
      </c>
      <c r="M817">
        <v>44</v>
      </c>
      <c r="N817" s="8">
        <v>8</v>
      </c>
      <c r="O817">
        <v>53</v>
      </c>
      <c r="P817">
        <v>33</v>
      </c>
      <c r="Q817" s="3">
        <v>-0.44</v>
      </c>
      <c r="R817">
        <f>Inventory_Table[[#This Row],[Stock_Quantity]]*Inventory_Table[[#This Row],[Unit_Price]]</f>
        <v>512</v>
      </c>
      <c r="S817">
        <f>Inventory_Table[[#This Row],[Sales_Volume]]*Inventory_Table[[#This Row],[Unit_Price]]</f>
        <v>424</v>
      </c>
      <c r="T817" t="str">
        <f>IF(Inventory_Table[[#This Row],[Stock_Quantity]]&lt;=Inventory_Table[[#This Row],[Reorder_Level]],"REORDER","OK")</f>
        <v>OK</v>
      </c>
      <c r="U817" t="s">
        <v>3836</v>
      </c>
      <c r="V817" s="14">
        <f ca="1">TODAY()-Inventory_Table[[#This Row],[Last_Order_Date]]</f>
        <v>748</v>
      </c>
    </row>
    <row r="818" spans="1:22" x14ac:dyDescent="0.35">
      <c r="A818" t="s">
        <v>1191</v>
      </c>
      <c r="B818" t="s">
        <v>75</v>
      </c>
      <c r="C818" t="s">
        <v>302</v>
      </c>
      <c r="D818" t="s">
        <v>3248</v>
      </c>
      <c r="E818" t="s">
        <v>68</v>
      </c>
      <c r="F818" t="s">
        <v>3249</v>
      </c>
      <c r="G818" t="s">
        <v>3250</v>
      </c>
      <c r="H818" s="1">
        <v>46196</v>
      </c>
      <c r="I818" s="6">
        <v>45625</v>
      </c>
      <c r="J818" s="6">
        <v>46121</v>
      </c>
      <c r="K818">
        <v>88</v>
      </c>
      <c r="L818">
        <v>42</v>
      </c>
      <c r="M818">
        <v>68</v>
      </c>
      <c r="N818" s="8">
        <v>20</v>
      </c>
      <c r="O818">
        <v>92</v>
      </c>
      <c r="P818">
        <v>29</v>
      </c>
      <c r="Q818" s="3">
        <v>0.38</v>
      </c>
      <c r="R818">
        <f>Inventory_Table[[#This Row],[Stock_Quantity]]*Inventory_Table[[#This Row],[Unit_Price]]</f>
        <v>1760</v>
      </c>
      <c r="S818">
        <f>Inventory_Table[[#This Row],[Sales_Volume]]*Inventory_Table[[#This Row],[Unit_Price]]</f>
        <v>1840</v>
      </c>
      <c r="T818" t="str">
        <f>IF(Inventory_Table[[#This Row],[Stock_Quantity]]&lt;=Inventory_Table[[#This Row],[Reorder_Level]],"REORDER","OK")</f>
        <v>OK</v>
      </c>
      <c r="U818" t="s">
        <v>3838</v>
      </c>
      <c r="V818" s="14">
        <f ca="1">TODAY()-Inventory_Table[[#This Row],[Last_Order_Date]]</f>
        <v>551</v>
      </c>
    </row>
    <row r="819" spans="1:22" x14ac:dyDescent="0.35">
      <c r="A819" t="s">
        <v>624</v>
      </c>
      <c r="B819" t="s">
        <v>18</v>
      </c>
      <c r="C819" t="s">
        <v>3251</v>
      </c>
      <c r="D819" t="s">
        <v>3252</v>
      </c>
      <c r="E819" t="s">
        <v>68</v>
      </c>
      <c r="F819" t="s">
        <v>3253</v>
      </c>
      <c r="G819" t="s">
        <v>3254</v>
      </c>
      <c r="H819" s="1">
        <v>46197</v>
      </c>
      <c r="I819" s="6">
        <v>45712</v>
      </c>
      <c r="J819" s="6">
        <v>46098</v>
      </c>
      <c r="K819">
        <v>72</v>
      </c>
      <c r="L819">
        <v>87</v>
      </c>
      <c r="M819">
        <v>39</v>
      </c>
      <c r="N819" s="8">
        <v>6</v>
      </c>
      <c r="O819">
        <v>94</v>
      </c>
      <c r="P819">
        <v>57</v>
      </c>
      <c r="Q819" s="3">
        <v>0.68</v>
      </c>
      <c r="R819">
        <f>Inventory_Table[[#This Row],[Stock_Quantity]]*Inventory_Table[[#This Row],[Unit_Price]]</f>
        <v>432</v>
      </c>
      <c r="S819">
        <f>Inventory_Table[[#This Row],[Sales_Volume]]*Inventory_Table[[#This Row],[Unit_Price]]</f>
        <v>564</v>
      </c>
      <c r="T819" t="str">
        <f>IF(Inventory_Table[[#This Row],[Stock_Quantity]]&lt;=Inventory_Table[[#This Row],[Reorder_Level]],"REORDER","OK")</f>
        <v>REORDER</v>
      </c>
      <c r="U819" t="s">
        <v>3838</v>
      </c>
      <c r="V819" s="14">
        <f ca="1">TODAY()-Inventory_Table[[#This Row],[Last_Order_Date]]</f>
        <v>464</v>
      </c>
    </row>
    <row r="820" spans="1:22" x14ac:dyDescent="0.35">
      <c r="A820" t="s">
        <v>58</v>
      </c>
      <c r="B820" t="s">
        <v>18</v>
      </c>
      <c r="C820" t="s">
        <v>1298</v>
      </c>
      <c r="D820" t="s">
        <v>3255</v>
      </c>
      <c r="E820" t="s">
        <v>21</v>
      </c>
      <c r="F820" t="s">
        <v>3256</v>
      </c>
      <c r="G820" t="s">
        <v>3257</v>
      </c>
      <c r="H820" s="1">
        <v>46197</v>
      </c>
      <c r="I820" s="6">
        <v>45651</v>
      </c>
      <c r="J820" s="6">
        <v>46178</v>
      </c>
      <c r="K820">
        <v>12</v>
      </c>
      <c r="L820">
        <v>7</v>
      </c>
      <c r="M820">
        <v>48</v>
      </c>
      <c r="N820" s="8">
        <v>2.2999999999999998</v>
      </c>
      <c r="O820">
        <v>66</v>
      </c>
      <c r="P820">
        <v>4</v>
      </c>
      <c r="Q820" s="3">
        <v>0.39</v>
      </c>
      <c r="R820">
        <f>Inventory_Table[[#This Row],[Stock_Quantity]]*Inventory_Table[[#This Row],[Unit_Price]]</f>
        <v>27.599999999999998</v>
      </c>
      <c r="S820">
        <f>Inventory_Table[[#This Row],[Sales_Volume]]*Inventory_Table[[#This Row],[Unit_Price]]</f>
        <v>151.79999999999998</v>
      </c>
      <c r="T820" t="str">
        <f>IF(Inventory_Table[[#This Row],[Stock_Quantity]]&lt;=Inventory_Table[[#This Row],[Reorder_Level]],"REORDER","OK")</f>
        <v>OK</v>
      </c>
      <c r="U820" t="s">
        <v>3837</v>
      </c>
      <c r="V820" s="14">
        <f ca="1">TODAY()-Inventory_Table[[#This Row],[Last_Order_Date]]</f>
        <v>525</v>
      </c>
    </row>
    <row r="821" spans="1:22" x14ac:dyDescent="0.35">
      <c r="A821" t="s">
        <v>653</v>
      </c>
      <c r="B821" t="s">
        <v>163</v>
      </c>
      <c r="C821" t="s">
        <v>696</v>
      </c>
      <c r="D821" t="s">
        <v>3258</v>
      </c>
      <c r="E821" t="s">
        <v>68</v>
      </c>
      <c r="F821" t="s">
        <v>3259</v>
      </c>
      <c r="G821" t="s">
        <v>3260</v>
      </c>
      <c r="H821" s="1">
        <v>46197</v>
      </c>
      <c r="I821" s="6">
        <v>45701</v>
      </c>
      <c r="J821" s="6">
        <v>46389</v>
      </c>
      <c r="K821">
        <v>58</v>
      </c>
      <c r="L821">
        <v>81</v>
      </c>
      <c r="M821">
        <v>66</v>
      </c>
      <c r="N821" s="8">
        <v>25</v>
      </c>
      <c r="O821">
        <v>85</v>
      </c>
      <c r="P821">
        <v>78</v>
      </c>
      <c r="Q821" s="3">
        <v>0.94</v>
      </c>
      <c r="R821">
        <f>Inventory_Table[[#This Row],[Stock_Quantity]]*Inventory_Table[[#This Row],[Unit_Price]]</f>
        <v>1450</v>
      </c>
      <c r="S821">
        <f>Inventory_Table[[#This Row],[Sales_Volume]]*Inventory_Table[[#This Row],[Unit_Price]]</f>
        <v>2125</v>
      </c>
      <c r="T821" t="str">
        <f>IF(Inventory_Table[[#This Row],[Stock_Quantity]]&lt;=Inventory_Table[[#This Row],[Reorder_Level]],"REORDER","OK")</f>
        <v>REORDER</v>
      </c>
      <c r="U821" t="s">
        <v>3836</v>
      </c>
      <c r="V821" s="14">
        <f ca="1">TODAY()-Inventory_Table[[#This Row],[Last_Order_Date]]</f>
        <v>475</v>
      </c>
    </row>
    <row r="822" spans="1:22" x14ac:dyDescent="0.35">
      <c r="A822" t="s">
        <v>177</v>
      </c>
      <c r="B822" t="s">
        <v>18</v>
      </c>
      <c r="C822" t="s">
        <v>178</v>
      </c>
      <c r="D822" t="s">
        <v>3261</v>
      </c>
      <c r="E822" t="s">
        <v>30</v>
      </c>
      <c r="F822" t="s">
        <v>3262</v>
      </c>
      <c r="G822" t="s">
        <v>3263</v>
      </c>
      <c r="H822" s="1">
        <v>46197</v>
      </c>
      <c r="I822" s="6">
        <v>45555</v>
      </c>
      <c r="J822" s="6">
        <v>46430</v>
      </c>
      <c r="K822">
        <v>99</v>
      </c>
      <c r="L822">
        <v>59</v>
      </c>
      <c r="M822">
        <v>12</v>
      </c>
      <c r="N822" s="8">
        <v>5</v>
      </c>
      <c r="O822">
        <v>52</v>
      </c>
      <c r="P822">
        <v>57</v>
      </c>
      <c r="Q822" s="3">
        <v>0.08</v>
      </c>
      <c r="R822">
        <f>Inventory_Table[[#This Row],[Stock_Quantity]]*Inventory_Table[[#This Row],[Unit_Price]]</f>
        <v>495</v>
      </c>
      <c r="S822">
        <f>Inventory_Table[[#This Row],[Sales_Volume]]*Inventory_Table[[#This Row],[Unit_Price]]</f>
        <v>260</v>
      </c>
      <c r="T822" t="str">
        <f>IF(Inventory_Table[[#This Row],[Stock_Quantity]]&lt;=Inventory_Table[[#This Row],[Reorder_Level]],"REORDER","OK")</f>
        <v>OK</v>
      </c>
      <c r="U822" t="s">
        <v>3836</v>
      </c>
      <c r="V822" s="14">
        <f ca="1">TODAY()-Inventory_Table[[#This Row],[Last_Order_Date]]</f>
        <v>621</v>
      </c>
    </row>
    <row r="823" spans="1:22" x14ac:dyDescent="0.35">
      <c r="A823" t="s">
        <v>253</v>
      </c>
      <c r="B823" t="s">
        <v>65</v>
      </c>
      <c r="C823" t="s">
        <v>1649</v>
      </c>
      <c r="D823" t="s">
        <v>3264</v>
      </c>
      <c r="E823" t="s">
        <v>30</v>
      </c>
      <c r="F823" t="s">
        <v>3265</v>
      </c>
      <c r="G823" t="s">
        <v>3266</v>
      </c>
      <c r="H823" s="1">
        <v>46198</v>
      </c>
      <c r="I823" s="6">
        <v>45482</v>
      </c>
      <c r="J823" s="6">
        <v>46401</v>
      </c>
      <c r="K823">
        <v>25</v>
      </c>
      <c r="L823">
        <v>95</v>
      </c>
      <c r="M823">
        <v>71</v>
      </c>
      <c r="N823" s="8">
        <v>2</v>
      </c>
      <c r="O823">
        <v>24</v>
      </c>
      <c r="P823">
        <v>76</v>
      </c>
      <c r="Q823" s="3">
        <v>-0.1</v>
      </c>
      <c r="R823">
        <f>Inventory_Table[[#This Row],[Stock_Quantity]]*Inventory_Table[[#This Row],[Unit_Price]]</f>
        <v>50</v>
      </c>
      <c r="S823">
        <f>Inventory_Table[[#This Row],[Sales_Volume]]*Inventory_Table[[#This Row],[Unit_Price]]</f>
        <v>48</v>
      </c>
      <c r="T823" t="str">
        <f>IF(Inventory_Table[[#This Row],[Stock_Quantity]]&lt;=Inventory_Table[[#This Row],[Reorder_Level]],"REORDER","OK")</f>
        <v>REORDER</v>
      </c>
      <c r="U823" t="s">
        <v>3836</v>
      </c>
      <c r="V823" s="14">
        <f ca="1">TODAY()-Inventory_Table[[#This Row],[Last_Order_Date]]</f>
        <v>694</v>
      </c>
    </row>
    <row r="824" spans="1:22" x14ac:dyDescent="0.35">
      <c r="A824" t="s">
        <v>17</v>
      </c>
      <c r="B824" t="s">
        <v>18</v>
      </c>
      <c r="C824" t="s">
        <v>3267</v>
      </c>
      <c r="D824" t="s">
        <v>3268</v>
      </c>
      <c r="E824" t="s">
        <v>30</v>
      </c>
      <c r="F824" t="s">
        <v>3269</v>
      </c>
      <c r="G824" t="s">
        <v>3270</v>
      </c>
      <c r="H824" s="1">
        <v>46198</v>
      </c>
      <c r="I824" s="6">
        <v>45357</v>
      </c>
      <c r="J824" s="6">
        <v>46385</v>
      </c>
      <c r="K824">
        <v>98</v>
      </c>
      <c r="L824">
        <v>43</v>
      </c>
      <c r="M824">
        <v>9</v>
      </c>
      <c r="N824" s="8">
        <v>4.5</v>
      </c>
      <c r="O824">
        <v>86</v>
      </c>
      <c r="P824">
        <v>62</v>
      </c>
      <c r="Q824" s="3">
        <v>-2.17</v>
      </c>
      <c r="R824">
        <f>Inventory_Table[[#This Row],[Stock_Quantity]]*Inventory_Table[[#This Row],[Unit_Price]]</f>
        <v>441</v>
      </c>
      <c r="S824">
        <f>Inventory_Table[[#This Row],[Sales_Volume]]*Inventory_Table[[#This Row],[Unit_Price]]</f>
        <v>387</v>
      </c>
      <c r="T824" t="str">
        <f>IF(Inventory_Table[[#This Row],[Stock_Quantity]]&lt;=Inventory_Table[[#This Row],[Reorder_Level]],"REORDER","OK")</f>
        <v>OK</v>
      </c>
      <c r="U824" t="s">
        <v>3836</v>
      </c>
      <c r="V824" s="14">
        <f ca="1">TODAY()-Inventory_Table[[#This Row],[Last_Order_Date]]</f>
        <v>819</v>
      </c>
    </row>
    <row r="825" spans="1:22" x14ac:dyDescent="0.35">
      <c r="A825" t="s">
        <v>200</v>
      </c>
      <c r="B825" t="s">
        <v>163</v>
      </c>
      <c r="C825" t="s">
        <v>1247</v>
      </c>
      <c r="D825" t="s">
        <v>3271</v>
      </c>
      <c r="E825" t="s">
        <v>21</v>
      </c>
      <c r="F825" t="s">
        <v>3272</v>
      </c>
      <c r="G825" t="s">
        <v>3273</v>
      </c>
      <c r="H825" s="1">
        <v>46199</v>
      </c>
      <c r="I825" s="6">
        <v>45635</v>
      </c>
      <c r="J825" s="6">
        <v>46165</v>
      </c>
      <c r="K825">
        <v>75</v>
      </c>
      <c r="L825">
        <v>47</v>
      </c>
      <c r="M825">
        <v>33</v>
      </c>
      <c r="N825" s="8">
        <v>12.5</v>
      </c>
      <c r="O825">
        <v>33</v>
      </c>
      <c r="P825">
        <v>12</v>
      </c>
      <c r="Q825" s="3">
        <v>0.28000000000000003</v>
      </c>
      <c r="R825">
        <f>Inventory_Table[[#This Row],[Stock_Quantity]]*Inventory_Table[[#This Row],[Unit_Price]]</f>
        <v>937.5</v>
      </c>
      <c r="S825">
        <f>Inventory_Table[[#This Row],[Sales_Volume]]*Inventory_Table[[#This Row],[Unit_Price]]</f>
        <v>412.5</v>
      </c>
      <c r="T825" t="str">
        <f>IF(Inventory_Table[[#This Row],[Stock_Quantity]]&lt;=Inventory_Table[[#This Row],[Reorder_Level]],"REORDER","OK")</f>
        <v>OK</v>
      </c>
      <c r="U825" t="s">
        <v>3838</v>
      </c>
      <c r="V825" s="14">
        <f ca="1">TODAY()-Inventory_Table[[#This Row],[Last_Order_Date]]</f>
        <v>541</v>
      </c>
    </row>
    <row r="826" spans="1:22" x14ac:dyDescent="0.35">
      <c r="A826" t="s">
        <v>320</v>
      </c>
      <c r="B826" t="s">
        <v>36</v>
      </c>
      <c r="C826" t="s">
        <v>770</v>
      </c>
      <c r="D826" t="s">
        <v>3274</v>
      </c>
      <c r="E826" t="s">
        <v>68</v>
      </c>
      <c r="F826" t="s">
        <v>3275</v>
      </c>
      <c r="G826" t="s">
        <v>3276</v>
      </c>
      <c r="H826" s="1">
        <v>46199</v>
      </c>
      <c r="I826" s="6">
        <v>45540</v>
      </c>
      <c r="J826" s="6">
        <v>46124</v>
      </c>
      <c r="K826">
        <v>80</v>
      </c>
      <c r="L826">
        <v>43</v>
      </c>
      <c r="M826">
        <v>80</v>
      </c>
      <c r="N826" s="8">
        <v>7</v>
      </c>
      <c r="O826">
        <v>64</v>
      </c>
      <c r="P826">
        <v>53</v>
      </c>
      <c r="Q826" s="3">
        <v>0.64</v>
      </c>
      <c r="R826">
        <f>Inventory_Table[[#This Row],[Stock_Quantity]]*Inventory_Table[[#This Row],[Unit_Price]]</f>
        <v>560</v>
      </c>
      <c r="S826">
        <f>Inventory_Table[[#This Row],[Sales_Volume]]*Inventory_Table[[#This Row],[Unit_Price]]</f>
        <v>448</v>
      </c>
      <c r="T826" t="str">
        <f>IF(Inventory_Table[[#This Row],[Stock_Quantity]]&lt;=Inventory_Table[[#This Row],[Reorder_Level]],"REORDER","OK")</f>
        <v>OK</v>
      </c>
      <c r="U826" t="s">
        <v>3838</v>
      </c>
      <c r="V826" s="14">
        <f ca="1">TODAY()-Inventory_Table[[#This Row],[Last_Order_Date]]</f>
        <v>636</v>
      </c>
    </row>
    <row r="827" spans="1:22" x14ac:dyDescent="0.35">
      <c r="A827" t="s">
        <v>734</v>
      </c>
      <c r="B827" t="s">
        <v>163</v>
      </c>
      <c r="C827" t="s">
        <v>3277</v>
      </c>
      <c r="D827" t="s">
        <v>3278</v>
      </c>
      <c r="E827" t="s">
        <v>21</v>
      </c>
      <c r="F827" t="s">
        <v>3279</v>
      </c>
      <c r="G827" t="s">
        <v>3280</v>
      </c>
      <c r="H827" s="1">
        <v>46199</v>
      </c>
      <c r="I827" s="6">
        <v>45710</v>
      </c>
      <c r="J827" s="6">
        <v>46097</v>
      </c>
      <c r="K827">
        <v>20</v>
      </c>
      <c r="L827">
        <v>9</v>
      </c>
      <c r="M827">
        <v>12</v>
      </c>
      <c r="N827" s="8">
        <v>30.5</v>
      </c>
      <c r="O827">
        <v>46</v>
      </c>
      <c r="P827">
        <v>32</v>
      </c>
      <c r="Q827" s="3">
        <v>0.17</v>
      </c>
      <c r="R827">
        <f>Inventory_Table[[#This Row],[Stock_Quantity]]*Inventory_Table[[#This Row],[Unit_Price]]</f>
        <v>610</v>
      </c>
      <c r="S827">
        <f>Inventory_Table[[#This Row],[Sales_Volume]]*Inventory_Table[[#This Row],[Unit_Price]]</f>
        <v>1403</v>
      </c>
      <c r="T827" t="str">
        <f>IF(Inventory_Table[[#This Row],[Stock_Quantity]]&lt;=Inventory_Table[[#This Row],[Reorder_Level]],"REORDER","OK")</f>
        <v>OK</v>
      </c>
      <c r="U827" t="s">
        <v>3838</v>
      </c>
      <c r="V827" s="14">
        <f ca="1">TODAY()-Inventory_Table[[#This Row],[Last_Order_Date]]</f>
        <v>466</v>
      </c>
    </row>
    <row r="828" spans="1:22" x14ac:dyDescent="0.35">
      <c r="A828" t="s">
        <v>916</v>
      </c>
      <c r="B828" t="s">
        <v>114</v>
      </c>
      <c r="C828" t="s">
        <v>1174</v>
      </c>
      <c r="D828" t="s">
        <v>3282</v>
      </c>
      <c r="E828" t="s">
        <v>21</v>
      </c>
      <c r="F828" t="s">
        <v>3283</v>
      </c>
      <c r="G828" t="s">
        <v>3284</v>
      </c>
      <c r="H828" s="1">
        <v>46200</v>
      </c>
      <c r="I828" s="6">
        <v>45428</v>
      </c>
      <c r="J828" s="6">
        <v>46304</v>
      </c>
      <c r="K828">
        <v>93</v>
      </c>
      <c r="L828">
        <v>50</v>
      </c>
      <c r="M828">
        <v>43</v>
      </c>
      <c r="N828" s="8">
        <v>5</v>
      </c>
      <c r="O828">
        <v>76</v>
      </c>
      <c r="P828">
        <v>35</v>
      </c>
      <c r="Q828" s="3">
        <v>0.3</v>
      </c>
      <c r="R828">
        <f>Inventory_Table[[#This Row],[Stock_Quantity]]*Inventory_Table[[#This Row],[Unit_Price]]</f>
        <v>465</v>
      </c>
      <c r="S828">
        <f>Inventory_Table[[#This Row],[Sales_Volume]]*Inventory_Table[[#This Row],[Unit_Price]]</f>
        <v>380</v>
      </c>
      <c r="T828" t="str">
        <f>IF(Inventory_Table[[#This Row],[Stock_Quantity]]&lt;=Inventory_Table[[#This Row],[Reorder_Level]],"REORDER","OK")</f>
        <v>OK</v>
      </c>
      <c r="U828" t="s">
        <v>3836</v>
      </c>
      <c r="V828" s="14">
        <f ca="1">TODAY()-Inventory_Table[[#This Row],[Last_Order_Date]]</f>
        <v>748</v>
      </c>
    </row>
    <row r="829" spans="1:22" x14ac:dyDescent="0.35">
      <c r="A829" t="s">
        <v>74</v>
      </c>
      <c r="B829" t="s">
        <v>75</v>
      </c>
      <c r="C829" t="s">
        <v>254</v>
      </c>
      <c r="D829" t="s">
        <v>3285</v>
      </c>
      <c r="E829" t="s">
        <v>21</v>
      </c>
      <c r="F829" t="s">
        <v>3286</v>
      </c>
      <c r="G829" t="s">
        <v>3287</v>
      </c>
      <c r="H829" s="1">
        <v>46200</v>
      </c>
      <c r="I829" s="6">
        <v>45573</v>
      </c>
      <c r="J829" s="6">
        <v>46229</v>
      </c>
      <c r="K829">
        <v>66</v>
      </c>
      <c r="L829">
        <v>49</v>
      </c>
      <c r="M829">
        <v>41</v>
      </c>
      <c r="N829" s="8">
        <v>10</v>
      </c>
      <c r="O829">
        <v>27</v>
      </c>
      <c r="P829">
        <v>37</v>
      </c>
      <c r="Q829" s="3">
        <v>0.54</v>
      </c>
      <c r="R829">
        <f>Inventory_Table[[#This Row],[Stock_Quantity]]*Inventory_Table[[#This Row],[Unit_Price]]</f>
        <v>660</v>
      </c>
      <c r="S829">
        <f>Inventory_Table[[#This Row],[Sales_Volume]]*Inventory_Table[[#This Row],[Unit_Price]]</f>
        <v>270</v>
      </c>
      <c r="T829" t="str">
        <f>IF(Inventory_Table[[#This Row],[Stock_Quantity]]&lt;=Inventory_Table[[#This Row],[Reorder_Level]],"REORDER","OK")</f>
        <v>OK</v>
      </c>
      <c r="U829" t="s">
        <v>3836</v>
      </c>
      <c r="V829" s="14">
        <f ca="1">TODAY()-Inventory_Table[[#This Row],[Last_Order_Date]]</f>
        <v>603</v>
      </c>
    </row>
    <row r="830" spans="1:22" x14ac:dyDescent="0.35">
      <c r="A830" t="s">
        <v>101</v>
      </c>
      <c r="B830" t="s">
        <v>27</v>
      </c>
      <c r="C830" t="s">
        <v>1806</v>
      </c>
      <c r="D830" t="s">
        <v>3288</v>
      </c>
      <c r="E830" t="s">
        <v>30</v>
      </c>
      <c r="F830" t="s">
        <v>3289</v>
      </c>
      <c r="G830" t="s">
        <v>3290</v>
      </c>
      <c r="H830" s="1">
        <v>46202</v>
      </c>
      <c r="I830" s="6">
        <v>45622</v>
      </c>
      <c r="J830" s="6">
        <v>46369</v>
      </c>
      <c r="K830">
        <v>10</v>
      </c>
      <c r="L830">
        <v>86</v>
      </c>
      <c r="M830">
        <v>23</v>
      </c>
      <c r="N830" s="8">
        <v>10</v>
      </c>
      <c r="O830">
        <v>24</v>
      </c>
      <c r="P830">
        <v>52</v>
      </c>
      <c r="Q830" s="3">
        <v>-0.37</v>
      </c>
      <c r="R830">
        <f>Inventory_Table[[#This Row],[Stock_Quantity]]*Inventory_Table[[#This Row],[Unit_Price]]</f>
        <v>100</v>
      </c>
      <c r="S830">
        <f>Inventory_Table[[#This Row],[Sales_Volume]]*Inventory_Table[[#This Row],[Unit_Price]]</f>
        <v>240</v>
      </c>
      <c r="T830" t="str">
        <f>IF(Inventory_Table[[#This Row],[Stock_Quantity]]&lt;=Inventory_Table[[#This Row],[Reorder_Level]],"REORDER","OK")</f>
        <v>REORDER</v>
      </c>
      <c r="U830" t="s">
        <v>3836</v>
      </c>
      <c r="V830" s="14">
        <f ca="1">TODAY()-Inventory_Table[[#This Row],[Last_Order_Date]]</f>
        <v>554</v>
      </c>
    </row>
    <row r="831" spans="1:22" x14ac:dyDescent="0.35">
      <c r="A831" t="s">
        <v>113</v>
      </c>
      <c r="B831" t="s">
        <v>114</v>
      </c>
      <c r="C831" t="s">
        <v>3291</v>
      </c>
      <c r="D831" t="s">
        <v>3292</v>
      </c>
      <c r="E831" t="s">
        <v>21</v>
      </c>
      <c r="F831" t="s">
        <v>3293</v>
      </c>
      <c r="G831" t="s">
        <v>3294</v>
      </c>
      <c r="H831" s="1">
        <v>46202</v>
      </c>
      <c r="I831" s="6">
        <v>45397</v>
      </c>
      <c r="J831" s="6">
        <v>46149</v>
      </c>
      <c r="K831">
        <v>90</v>
      </c>
      <c r="L831">
        <v>52</v>
      </c>
      <c r="M831">
        <v>50</v>
      </c>
      <c r="N831" s="8">
        <v>4</v>
      </c>
      <c r="O831">
        <v>63</v>
      </c>
      <c r="P831">
        <v>14</v>
      </c>
      <c r="Q831" s="3">
        <v>-1.17</v>
      </c>
      <c r="R831">
        <f>Inventory_Table[[#This Row],[Stock_Quantity]]*Inventory_Table[[#This Row],[Unit_Price]]</f>
        <v>360</v>
      </c>
      <c r="S831">
        <f>Inventory_Table[[#This Row],[Sales_Volume]]*Inventory_Table[[#This Row],[Unit_Price]]</f>
        <v>252</v>
      </c>
      <c r="T831" t="str">
        <f>IF(Inventory_Table[[#This Row],[Stock_Quantity]]&lt;=Inventory_Table[[#This Row],[Reorder_Level]],"REORDER","OK")</f>
        <v>OK</v>
      </c>
      <c r="U831" t="s">
        <v>3838</v>
      </c>
      <c r="V831" s="14">
        <f ca="1">TODAY()-Inventory_Table[[#This Row],[Last_Order_Date]]</f>
        <v>779</v>
      </c>
    </row>
    <row r="832" spans="1:22" x14ac:dyDescent="0.35">
      <c r="A832" t="s">
        <v>2946</v>
      </c>
      <c r="B832" t="s">
        <v>65</v>
      </c>
      <c r="C832" t="s">
        <v>681</v>
      </c>
      <c r="D832" t="s">
        <v>3295</v>
      </c>
      <c r="E832" t="s">
        <v>30</v>
      </c>
      <c r="F832" t="s">
        <v>3296</v>
      </c>
      <c r="G832" t="s">
        <v>3297</v>
      </c>
      <c r="H832" s="1">
        <v>46202</v>
      </c>
      <c r="I832" s="6">
        <v>45710</v>
      </c>
      <c r="J832" s="6">
        <v>46380</v>
      </c>
      <c r="K832">
        <v>19</v>
      </c>
      <c r="L832">
        <v>81</v>
      </c>
      <c r="M832">
        <v>33</v>
      </c>
      <c r="N832" s="8">
        <v>1.5</v>
      </c>
      <c r="O832">
        <v>39</v>
      </c>
      <c r="P832">
        <v>85</v>
      </c>
      <c r="Q832" s="3">
        <v>0.78</v>
      </c>
      <c r="R832">
        <f>Inventory_Table[[#This Row],[Stock_Quantity]]*Inventory_Table[[#This Row],[Unit_Price]]</f>
        <v>28.5</v>
      </c>
      <c r="S832">
        <f>Inventory_Table[[#This Row],[Sales_Volume]]*Inventory_Table[[#This Row],[Unit_Price]]</f>
        <v>58.5</v>
      </c>
      <c r="T832" t="str">
        <f>IF(Inventory_Table[[#This Row],[Stock_Quantity]]&lt;=Inventory_Table[[#This Row],[Reorder_Level]],"REORDER","OK")</f>
        <v>REORDER</v>
      </c>
      <c r="U832" t="s">
        <v>3836</v>
      </c>
      <c r="V832" s="14">
        <f ca="1">TODAY()-Inventory_Table[[#This Row],[Last_Order_Date]]</f>
        <v>466</v>
      </c>
    </row>
    <row r="833" spans="1:22" x14ac:dyDescent="0.35">
      <c r="A833" t="s">
        <v>1415</v>
      </c>
      <c r="B833" t="s">
        <v>114</v>
      </c>
      <c r="C833" t="s">
        <v>3036</v>
      </c>
      <c r="D833" t="s">
        <v>3298</v>
      </c>
      <c r="E833" t="s">
        <v>21</v>
      </c>
      <c r="F833" t="s">
        <v>3299</v>
      </c>
      <c r="G833" t="s">
        <v>3300</v>
      </c>
      <c r="H833" s="1">
        <v>46202</v>
      </c>
      <c r="I833" s="6">
        <v>45429</v>
      </c>
      <c r="J833" s="6">
        <v>46324</v>
      </c>
      <c r="K833">
        <v>72</v>
      </c>
      <c r="L833">
        <v>20</v>
      </c>
      <c r="M833">
        <v>71</v>
      </c>
      <c r="N833" s="8">
        <v>2.5</v>
      </c>
      <c r="O833">
        <v>87</v>
      </c>
      <c r="P833">
        <v>68</v>
      </c>
      <c r="Q833" s="3">
        <v>-1.18</v>
      </c>
      <c r="R833">
        <f>Inventory_Table[[#This Row],[Stock_Quantity]]*Inventory_Table[[#This Row],[Unit_Price]]</f>
        <v>180</v>
      </c>
      <c r="S833">
        <f>Inventory_Table[[#This Row],[Sales_Volume]]*Inventory_Table[[#This Row],[Unit_Price]]</f>
        <v>217.5</v>
      </c>
      <c r="T833" t="str">
        <f>IF(Inventory_Table[[#This Row],[Stock_Quantity]]&lt;=Inventory_Table[[#This Row],[Reorder_Level]],"REORDER","OK")</f>
        <v>OK</v>
      </c>
      <c r="U833" t="s">
        <v>3836</v>
      </c>
      <c r="V833" s="14">
        <f ca="1">TODAY()-Inventory_Table[[#This Row],[Last_Order_Date]]</f>
        <v>747</v>
      </c>
    </row>
    <row r="834" spans="1:22" x14ac:dyDescent="0.35">
      <c r="A834" t="s">
        <v>177</v>
      </c>
      <c r="B834" t="s">
        <v>18</v>
      </c>
      <c r="C834" t="s">
        <v>1395</v>
      </c>
      <c r="D834" t="s">
        <v>3301</v>
      </c>
      <c r="E834" t="s">
        <v>68</v>
      </c>
      <c r="F834" t="s">
        <v>3302</v>
      </c>
      <c r="G834" t="s">
        <v>3303</v>
      </c>
      <c r="H834" s="1">
        <v>46203</v>
      </c>
      <c r="I834" s="6">
        <v>45553</v>
      </c>
      <c r="J834" s="6">
        <v>46376</v>
      </c>
      <c r="K834">
        <v>60</v>
      </c>
      <c r="L834">
        <v>36</v>
      </c>
      <c r="M834">
        <v>28</v>
      </c>
      <c r="N834" s="8">
        <v>4.5</v>
      </c>
      <c r="O834">
        <v>26</v>
      </c>
      <c r="P834">
        <v>29</v>
      </c>
      <c r="Q834" s="3">
        <v>0.22</v>
      </c>
      <c r="R834">
        <f>Inventory_Table[[#This Row],[Stock_Quantity]]*Inventory_Table[[#This Row],[Unit_Price]]</f>
        <v>270</v>
      </c>
      <c r="S834">
        <f>Inventory_Table[[#This Row],[Sales_Volume]]*Inventory_Table[[#This Row],[Unit_Price]]</f>
        <v>117</v>
      </c>
      <c r="T834" t="str">
        <f>IF(Inventory_Table[[#This Row],[Stock_Quantity]]&lt;=Inventory_Table[[#This Row],[Reorder_Level]],"REORDER","OK")</f>
        <v>OK</v>
      </c>
      <c r="U834" t="s">
        <v>3836</v>
      </c>
      <c r="V834" s="14">
        <f ca="1">TODAY()-Inventory_Table[[#This Row],[Last_Order_Date]]</f>
        <v>623</v>
      </c>
    </row>
    <row r="835" spans="1:22" x14ac:dyDescent="0.35">
      <c r="A835" t="s">
        <v>1157</v>
      </c>
      <c r="B835" t="s">
        <v>18</v>
      </c>
      <c r="C835" t="s">
        <v>2545</v>
      </c>
      <c r="D835" t="s">
        <v>3304</v>
      </c>
      <c r="E835" t="s">
        <v>21</v>
      </c>
      <c r="F835" t="s">
        <v>3305</v>
      </c>
      <c r="G835" t="s">
        <v>3306</v>
      </c>
      <c r="H835" s="1">
        <v>46203</v>
      </c>
      <c r="I835" s="6">
        <v>45377</v>
      </c>
      <c r="J835" s="6">
        <v>46253</v>
      </c>
      <c r="K835">
        <v>26</v>
      </c>
      <c r="L835">
        <v>16</v>
      </c>
      <c r="M835">
        <v>69</v>
      </c>
      <c r="N835" s="8">
        <v>1.2</v>
      </c>
      <c r="O835">
        <v>64</v>
      </c>
      <c r="P835">
        <v>79</v>
      </c>
      <c r="Q835" s="3">
        <v>-0.12</v>
      </c>
      <c r="R835">
        <f>Inventory_Table[[#This Row],[Stock_Quantity]]*Inventory_Table[[#This Row],[Unit_Price]]</f>
        <v>31.2</v>
      </c>
      <c r="S835">
        <f>Inventory_Table[[#This Row],[Sales_Volume]]*Inventory_Table[[#This Row],[Unit_Price]]</f>
        <v>76.8</v>
      </c>
      <c r="T835" t="str">
        <f>IF(Inventory_Table[[#This Row],[Stock_Quantity]]&lt;=Inventory_Table[[#This Row],[Reorder_Level]],"REORDER","OK")</f>
        <v>OK</v>
      </c>
      <c r="U835" t="s">
        <v>3836</v>
      </c>
      <c r="V835" s="14">
        <f ca="1">TODAY()-Inventory_Table[[#This Row],[Last_Order_Date]]</f>
        <v>799</v>
      </c>
    </row>
    <row r="836" spans="1:22" x14ac:dyDescent="0.35">
      <c r="A836" t="s">
        <v>308</v>
      </c>
      <c r="B836" t="s">
        <v>27</v>
      </c>
      <c r="C836" t="s">
        <v>3307</v>
      </c>
      <c r="D836" t="s">
        <v>3308</v>
      </c>
      <c r="E836" t="s">
        <v>30</v>
      </c>
      <c r="F836" t="s">
        <v>3309</v>
      </c>
      <c r="G836" t="s">
        <v>3310</v>
      </c>
      <c r="H836" s="1">
        <v>46203</v>
      </c>
      <c r="I836" s="6">
        <v>45497</v>
      </c>
      <c r="J836" s="6">
        <v>46221</v>
      </c>
      <c r="K836">
        <v>85</v>
      </c>
      <c r="L836">
        <v>86</v>
      </c>
      <c r="M836">
        <v>21</v>
      </c>
      <c r="N836" s="8">
        <v>6.5</v>
      </c>
      <c r="O836">
        <v>78</v>
      </c>
      <c r="P836">
        <v>53</v>
      </c>
      <c r="Q836" s="3">
        <v>-0.23</v>
      </c>
      <c r="R836">
        <f>Inventory_Table[[#This Row],[Stock_Quantity]]*Inventory_Table[[#This Row],[Unit_Price]]</f>
        <v>552.5</v>
      </c>
      <c r="S836">
        <f>Inventory_Table[[#This Row],[Sales_Volume]]*Inventory_Table[[#This Row],[Unit_Price]]</f>
        <v>507</v>
      </c>
      <c r="T836" t="str">
        <f>IF(Inventory_Table[[#This Row],[Stock_Quantity]]&lt;=Inventory_Table[[#This Row],[Reorder_Level]],"REORDER","OK")</f>
        <v>REORDER</v>
      </c>
      <c r="U836" t="s">
        <v>3836</v>
      </c>
      <c r="V836" s="14">
        <f ca="1">TODAY()-Inventory_Table[[#This Row],[Last_Order_Date]]</f>
        <v>679</v>
      </c>
    </row>
    <row r="837" spans="1:22" x14ac:dyDescent="0.35">
      <c r="A837" t="s">
        <v>17</v>
      </c>
      <c r="B837" t="s">
        <v>18</v>
      </c>
      <c r="C837" t="s">
        <v>3311</v>
      </c>
      <c r="D837" t="s">
        <v>3312</v>
      </c>
      <c r="E837" t="s">
        <v>30</v>
      </c>
      <c r="F837" t="s">
        <v>3313</v>
      </c>
      <c r="G837" t="s">
        <v>3314</v>
      </c>
      <c r="H837" s="1">
        <v>46203</v>
      </c>
      <c r="I837" s="6">
        <v>45710</v>
      </c>
      <c r="J837" s="6">
        <v>46400</v>
      </c>
      <c r="K837">
        <v>90</v>
      </c>
      <c r="L837">
        <v>22</v>
      </c>
      <c r="M837">
        <v>20</v>
      </c>
      <c r="N837" s="8">
        <v>4.5</v>
      </c>
      <c r="O837">
        <v>81</v>
      </c>
      <c r="P837">
        <v>88</v>
      </c>
      <c r="Q837" s="3">
        <v>0.32</v>
      </c>
      <c r="R837">
        <f>Inventory_Table[[#This Row],[Stock_Quantity]]*Inventory_Table[[#This Row],[Unit_Price]]</f>
        <v>405</v>
      </c>
      <c r="S837">
        <f>Inventory_Table[[#This Row],[Sales_Volume]]*Inventory_Table[[#This Row],[Unit_Price]]</f>
        <v>364.5</v>
      </c>
      <c r="T837" t="str">
        <f>IF(Inventory_Table[[#This Row],[Stock_Quantity]]&lt;=Inventory_Table[[#This Row],[Reorder_Level]],"REORDER","OK")</f>
        <v>OK</v>
      </c>
      <c r="U837" t="s">
        <v>3836</v>
      </c>
      <c r="V837" s="14">
        <f ca="1">TODAY()-Inventory_Table[[#This Row],[Last_Order_Date]]</f>
        <v>466</v>
      </c>
    </row>
    <row r="838" spans="1:22" x14ac:dyDescent="0.35">
      <c r="A838" t="s">
        <v>653</v>
      </c>
      <c r="B838" t="s">
        <v>163</v>
      </c>
      <c r="C838" t="s">
        <v>2822</v>
      </c>
      <c r="D838" t="s">
        <v>3315</v>
      </c>
      <c r="E838" t="s">
        <v>21</v>
      </c>
      <c r="F838" t="s">
        <v>3316</v>
      </c>
      <c r="G838" t="s">
        <v>3317</v>
      </c>
      <c r="H838" s="1">
        <v>46203</v>
      </c>
      <c r="I838" s="6">
        <v>45509</v>
      </c>
      <c r="J838" s="6">
        <v>46395</v>
      </c>
      <c r="K838">
        <v>35</v>
      </c>
      <c r="L838">
        <v>20</v>
      </c>
      <c r="M838">
        <v>42</v>
      </c>
      <c r="N838" s="8">
        <v>25.25</v>
      </c>
      <c r="O838">
        <v>53</v>
      </c>
      <c r="P838">
        <v>56</v>
      </c>
      <c r="Q838" s="3">
        <v>-0.09</v>
      </c>
      <c r="R838">
        <f>Inventory_Table[[#This Row],[Stock_Quantity]]*Inventory_Table[[#This Row],[Unit_Price]]</f>
        <v>883.75</v>
      </c>
      <c r="S838">
        <f>Inventory_Table[[#This Row],[Sales_Volume]]*Inventory_Table[[#This Row],[Unit_Price]]</f>
        <v>1338.25</v>
      </c>
      <c r="T838" t="str">
        <f>IF(Inventory_Table[[#This Row],[Stock_Quantity]]&lt;=Inventory_Table[[#This Row],[Reorder_Level]],"REORDER","OK")</f>
        <v>OK</v>
      </c>
      <c r="U838" t="s">
        <v>3836</v>
      </c>
      <c r="V838" s="14">
        <f ca="1">TODAY()-Inventory_Table[[#This Row],[Last_Order_Date]]</f>
        <v>667</v>
      </c>
    </row>
    <row r="839" spans="1:22" x14ac:dyDescent="0.35">
      <c r="A839" t="s">
        <v>1234</v>
      </c>
      <c r="B839" t="s">
        <v>27</v>
      </c>
      <c r="C839" t="s">
        <v>1129</v>
      </c>
      <c r="D839" t="s">
        <v>3319</v>
      </c>
      <c r="E839" t="s">
        <v>68</v>
      </c>
      <c r="F839" t="s">
        <v>3320</v>
      </c>
      <c r="G839" t="s">
        <v>3321</v>
      </c>
      <c r="H839" s="1">
        <v>46203</v>
      </c>
      <c r="I839" s="6">
        <v>45382</v>
      </c>
      <c r="J839" s="6">
        <v>46260</v>
      </c>
      <c r="K839">
        <v>50</v>
      </c>
      <c r="L839">
        <v>40</v>
      </c>
      <c r="M839">
        <v>69</v>
      </c>
      <c r="N839" s="8">
        <v>2.5</v>
      </c>
      <c r="O839">
        <v>28</v>
      </c>
      <c r="P839">
        <v>98</v>
      </c>
      <c r="Q839" s="3">
        <v>-0.06</v>
      </c>
      <c r="R839">
        <f>Inventory_Table[[#This Row],[Stock_Quantity]]*Inventory_Table[[#This Row],[Unit_Price]]</f>
        <v>125</v>
      </c>
      <c r="S839">
        <f>Inventory_Table[[#This Row],[Sales_Volume]]*Inventory_Table[[#This Row],[Unit_Price]]</f>
        <v>70</v>
      </c>
      <c r="T839" t="str">
        <f>IF(Inventory_Table[[#This Row],[Stock_Quantity]]&lt;=Inventory_Table[[#This Row],[Reorder_Level]],"REORDER","OK")</f>
        <v>OK</v>
      </c>
      <c r="U839" t="s">
        <v>3836</v>
      </c>
      <c r="V839" s="14">
        <f ca="1">TODAY()-Inventory_Table[[#This Row],[Last_Order_Date]]</f>
        <v>794</v>
      </c>
    </row>
    <row r="840" spans="1:22" x14ac:dyDescent="0.35">
      <c r="A840" t="s">
        <v>50</v>
      </c>
      <c r="B840" t="s">
        <v>18</v>
      </c>
      <c r="C840" t="s">
        <v>3322</v>
      </c>
      <c r="D840" t="s">
        <v>3323</v>
      </c>
      <c r="E840" t="s">
        <v>68</v>
      </c>
      <c r="F840" t="s">
        <v>3324</v>
      </c>
      <c r="G840" t="s">
        <v>3325</v>
      </c>
      <c r="H840" s="1">
        <v>46216</v>
      </c>
      <c r="I840" s="6">
        <v>45567</v>
      </c>
      <c r="J840" s="6">
        <v>46375</v>
      </c>
      <c r="K840">
        <v>43</v>
      </c>
      <c r="L840">
        <v>40</v>
      </c>
      <c r="M840">
        <v>30</v>
      </c>
      <c r="N840" s="8">
        <v>7</v>
      </c>
      <c r="O840">
        <v>95</v>
      </c>
      <c r="P840">
        <v>26</v>
      </c>
      <c r="Q840" s="3">
        <v>-2.5</v>
      </c>
      <c r="R840">
        <f>Inventory_Table[[#This Row],[Stock_Quantity]]*Inventory_Table[[#This Row],[Unit_Price]]</f>
        <v>301</v>
      </c>
      <c r="S840">
        <f>Inventory_Table[[#This Row],[Sales_Volume]]*Inventory_Table[[#This Row],[Unit_Price]]</f>
        <v>665</v>
      </c>
      <c r="T840" t="str">
        <f>IF(Inventory_Table[[#This Row],[Stock_Quantity]]&lt;=Inventory_Table[[#This Row],[Reorder_Level]],"REORDER","OK")</f>
        <v>OK</v>
      </c>
      <c r="U840" t="s">
        <v>3836</v>
      </c>
      <c r="V840" s="14">
        <f ca="1">TODAY()-Inventory_Table[[#This Row],[Last_Order_Date]]</f>
        <v>609</v>
      </c>
    </row>
    <row r="841" spans="1:22" x14ac:dyDescent="0.35">
      <c r="A841" t="s">
        <v>496</v>
      </c>
      <c r="B841" t="s">
        <v>18</v>
      </c>
      <c r="C841" t="s">
        <v>1563</v>
      </c>
      <c r="D841" t="s">
        <v>3326</v>
      </c>
      <c r="E841" t="s">
        <v>21</v>
      </c>
      <c r="F841" t="s">
        <v>3327</v>
      </c>
      <c r="G841" t="s">
        <v>3328</v>
      </c>
      <c r="H841" s="1">
        <v>46216</v>
      </c>
      <c r="I841" s="6">
        <v>45347</v>
      </c>
      <c r="J841" s="6">
        <v>46273</v>
      </c>
      <c r="K841">
        <v>99</v>
      </c>
      <c r="L841">
        <v>68</v>
      </c>
      <c r="M841">
        <v>1</v>
      </c>
      <c r="N841" s="8">
        <v>5.5</v>
      </c>
      <c r="O841">
        <v>59</v>
      </c>
      <c r="P841">
        <v>16</v>
      </c>
      <c r="Q841" s="3">
        <v>0.73</v>
      </c>
      <c r="R841">
        <f>Inventory_Table[[#This Row],[Stock_Quantity]]*Inventory_Table[[#This Row],[Unit_Price]]</f>
        <v>544.5</v>
      </c>
      <c r="S841">
        <f>Inventory_Table[[#This Row],[Sales_Volume]]*Inventory_Table[[#This Row],[Unit_Price]]</f>
        <v>324.5</v>
      </c>
      <c r="T841" t="str">
        <f>IF(Inventory_Table[[#This Row],[Stock_Quantity]]&lt;=Inventory_Table[[#This Row],[Reorder_Level]],"REORDER","OK")</f>
        <v>OK</v>
      </c>
      <c r="U841" t="s">
        <v>3836</v>
      </c>
      <c r="V841" s="14">
        <f ca="1">TODAY()-Inventory_Table[[#This Row],[Last_Order_Date]]</f>
        <v>829</v>
      </c>
    </row>
    <row r="842" spans="1:22" x14ac:dyDescent="0.35">
      <c r="A842" t="s">
        <v>35</v>
      </c>
      <c r="B842" t="s">
        <v>36</v>
      </c>
      <c r="C842" t="s">
        <v>1851</v>
      </c>
      <c r="D842" t="s">
        <v>3329</v>
      </c>
      <c r="E842" t="s">
        <v>68</v>
      </c>
      <c r="F842" t="s">
        <v>3330</v>
      </c>
      <c r="G842" t="s">
        <v>3331</v>
      </c>
      <c r="H842" s="1">
        <v>46217</v>
      </c>
      <c r="I842" s="6">
        <v>45631</v>
      </c>
      <c r="J842" s="6">
        <v>46407</v>
      </c>
      <c r="K842">
        <v>99</v>
      </c>
      <c r="L842">
        <v>10</v>
      </c>
      <c r="M842">
        <v>88</v>
      </c>
      <c r="N842" s="8">
        <v>12</v>
      </c>
      <c r="O842">
        <v>69</v>
      </c>
      <c r="P842">
        <v>98</v>
      </c>
      <c r="Q842" s="3">
        <v>0.73</v>
      </c>
      <c r="R842">
        <f>Inventory_Table[[#This Row],[Stock_Quantity]]*Inventory_Table[[#This Row],[Unit_Price]]</f>
        <v>1188</v>
      </c>
      <c r="S842">
        <f>Inventory_Table[[#This Row],[Sales_Volume]]*Inventory_Table[[#This Row],[Unit_Price]]</f>
        <v>828</v>
      </c>
      <c r="T842" t="str">
        <f>IF(Inventory_Table[[#This Row],[Stock_Quantity]]&lt;=Inventory_Table[[#This Row],[Reorder_Level]],"REORDER","OK")</f>
        <v>OK</v>
      </c>
      <c r="U842" t="s">
        <v>3836</v>
      </c>
      <c r="V842" s="14">
        <f ca="1">TODAY()-Inventory_Table[[#This Row],[Last_Order_Date]]</f>
        <v>545</v>
      </c>
    </row>
    <row r="843" spans="1:22" x14ac:dyDescent="0.35">
      <c r="A843" t="s">
        <v>1900</v>
      </c>
      <c r="B843" t="s">
        <v>75</v>
      </c>
      <c r="C843" t="s">
        <v>921</v>
      </c>
      <c r="D843" t="s">
        <v>3332</v>
      </c>
      <c r="E843" t="s">
        <v>21</v>
      </c>
      <c r="F843" t="s">
        <v>3333</v>
      </c>
      <c r="G843" t="s">
        <v>3334</v>
      </c>
      <c r="H843" s="1">
        <v>46217</v>
      </c>
      <c r="I843" s="6">
        <v>45530</v>
      </c>
      <c r="J843" s="6">
        <v>46208</v>
      </c>
      <c r="K843">
        <v>45</v>
      </c>
      <c r="L843">
        <v>56</v>
      </c>
      <c r="M843">
        <v>64</v>
      </c>
      <c r="N843" s="8">
        <v>7.5</v>
      </c>
      <c r="O843">
        <v>35</v>
      </c>
      <c r="P843">
        <v>82</v>
      </c>
      <c r="Q843" s="3">
        <v>-0.42</v>
      </c>
      <c r="R843">
        <f>Inventory_Table[[#This Row],[Stock_Quantity]]*Inventory_Table[[#This Row],[Unit_Price]]</f>
        <v>337.5</v>
      </c>
      <c r="S843">
        <f>Inventory_Table[[#This Row],[Sales_Volume]]*Inventory_Table[[#This Row],[Unit_Price]]</f>
        <v>262.5</v>
      </c>
      <c r="T843" t="str">
        <f>IF(Inventory_Table[[#This Row],[Stock_Quantity]]&lt;=Inventory_Table[[#This Row],[Reorder_Level]],"REORDER","OK")</f>
        <v>REORDER</v>
      </c>
      <c r="U843" t="s">
        <v>3836</v>
      </c>
      <c r="V843" s="14">
        <f ca="1">TODAY()-Inventory_Table[[#This Row],[Last_Order_Date]]</f>
        <v>646</v>
      </c>
    </row>
    <row r="844" spans="1:22" x14ac:dyDescent="0.35">
      <c r="A844" t="s">
        <v>695</v>
      </c>
      <c r="B844" t="s">
        <v>65</v>
      </c>
      <c r="C844" t="s">
        <v>1619</v>
      </c>
      <c r="D844" t="s">
        <v>3335</v>
      </c>
      <c r="E844" t="s">
        <v>21</v>
      </c>
      <c r="F844" t="s">
        <v>3336</v>
      </c>
      <c r="G844" t="s">
        <v>3337</v>
      </c>
      <c r="H844" s="1">
        <v>46217</v>
      </c>
      <c r="I844" s="6">
        <v>45369</v>
      </c>
      <c r="J844" s="6">
        <v>46178</v>
      </c>
      <c r="K844">
        <v>44</v>
      </c>
      <c r="L844">
        <v>67</v>
      </c>
      <c r="M844">
        <v>31</v>
      </c>
      <c r="N844" s="8">
        <v>2.5</v>
      </c>
      <c r="O844">
        <v>44</v>
      </c>
      <c r="P844">
        <v>72</v>
      </c>
      <c r="Q844" s="3">
        <v>-1.34</v>
      </c>
      <c r="R844">
        <f>Inventory_Table[[#This Row],[Stock_Quantity]]*Inventory_Table[[#This Row],[Unit_Price]]</f>
        <v>110</v>
      </c>
      <c r="S844">
        <f>Inventory_Table[[#This Row],[Sales_Volume]]*Inventory_Table[[#This Row],[Unit_Price]]</f>
        <v>110</v>
      </c>
      <c r="T844" t="str">
        <f>IF(Inventory_Table[[#This Row],[Stock_Quantity]]&lt;=Inventory_Table[[#This Row],[Reorder_Level]],"REORDER","OK")</f>
        <v>REORDER</v>
      </c>
      <c r="U844" t="s">
        <v>3837</v>
      </c>
      <c r="V844" s="14">
        <f ca="1">TODAY()-Inventory_Table[[#This Row],[Last_Order_Date]]</f>
        <v>807</v>
      </c>
    </row>
    <row r="845" spans="1:22" x14ac:dyDescent="0.35">
      <c r="A845" t="s">
        <v>435</v>
      </c>
      <c r="B845" t="s">
        <v>18</v>
      </c>
      <c r="C845" t="s">
        <v>2974</v>
      </c>
      <c r="D845" t="s">
        <v>3338</v>
      </c>
      <c r="E845" t="s">
        <v>30</v>
      </c>
      <c r="F845" t="s">
        <v>3339</v>
      </c>
      <c r="G845" t="s">
        <v>3340</v>
      </c>
      <c r="H845" s="1">
        <v>46218</v>
      </c>
      <c r="I845" s="6">
        <v>45612</v>
      </c>
      <c r="J845" s="6">
        <v>46178</v>
      </c>
      <c r="K845">
        <v>62</v>
      </c>
      <c r="L845">
        <v>40</v>
      </c>
      <c r="M845">
        <v>86</v>
      </c>
      <c r="N845" s="8">
        <v>6</v>
      </c>
      <c r="O845">
        <v>45</v>
      </c>
      <c r="P845">
        <v>86</v>
      </c>
      <c r="Q845" s="3">
        <v>-0.64</v>
      </c>
      <c r="R845">
        <f>Inventory_Table[[#This Row],[Stock_Quantity]]*Inventory_Table[[#This Row],[Unit_Price]]</f>
        <v>372</v>
      </c>
      <c r="S845">
        <f>Inventory_Table[[#This Row],[Sales_Volume]]*Inventory_Table[[#This Row],[Unit_Price]]</f>
        <v>270</v>
      </c>
      <c r="T845" t="str">
        <f>IF(Inventory_Table[[#This Row],[Stock_Quantity]]&lt;=Inventory_Table[[#This Row],[Reorder_Level]],"REORDER","OK")</f>
        <v>OK</v>
      </c>
      <c r="U845" t="s">
        <v>3837</v>
      </c>
      <c r="V845" s="14">
        <f ca="1">TODAY()-Inventory_Table[[#This Row],[Last_Order_Date]]</f>
        <v>564</v>
      </c>
    </row>
    <row r="846" spans="1:22" x14ac:dyDescent="0.35">
      <c r="A846" t="s">
        <v>916</v>
      </c>
      <c r="B846" t="s">
        <v>114</v>
      </c>
      <c r="C846" t="s">
        <v>3181</v>
      </c>
      <c r="D846" t="s">
        <v>3341</v>
      </c>
      <c r="E846" t="s">
        <v>30</v>
      </c>
      <c r="F846" t="s">
        <v>3342</v>
      </c>
      <c r="G846" t="s">
        <v>3343</v>
      </c>
      <c r="H846" s="1">
        <v>46219</v>
      </c>
      <c r="I846" s="6">
        <v>45525</v>
      </c>
      <c r="J846" s="6">
        <v>46425</v>
      </c>
      <c r="K846">
        <v>16</v>
      </c>
      <c r="L846">
        <v>9</v>
      </c>
      <c r="M846">
        <v>32</v>
      </c>
      <c r="N846" s="8">
        <v>5</v>
      </c>
      <c r="O846">
        <v>50</v>
      </c>
      <c r="P846">
        <v>98</v>
      </c>
      <c r="Q846" s="3">
        <v>-0.91</v>
      </c>
      <c r="R846">
        <f>Inventory_Table[[#This Row],[Stock_Quantity]]*Inventory_Table[[#This Row],[Unit_Price]]</f>
        <v>80</v>
      </c>
      <c r="S846">
        <f>Inventory_Table[[#This Row],[Sales_Volume]]*Inventory_Table[[#This Row],[Unit_Price]]</f>
        <v>250</v>
      </c>
      <c r="T846" t="str">
        <f>IF(Inventory_Table[[#This Row],[Stock_Quantity]]&lt;=Inventory_Table[[#This Row],[Reorder_Level]],"REORDER","OK")</f>
        <v>OK</v>
      </c>
      <c r="U846" t="s">
        <v>3836</v>
      </c>
      <c r="V846" s="14">
        <f ca="1">TODAY()-Inventory_Table[[#This Row],[Last_Order_Date]]</f>
        <v>651</v>
      </c>
    </row>
    <row r="847" spans="1:22" x14ac:dyDescent="0.35">
      <c r="A847" t="s">
        <v>557</v>
      </c>
      <c r="B847" t="s">
        <v>18</v>
      </c>
      <c r="C847" t="s">
        <v>997</v>
      </c>
      <c r="D847" t="s">
        <v>3344</v>
      </c>
      <c r="E847" t="s">
        <v>21</v>
      </c>
      <c r="F847" t="s">
        <v>3345</v>
      </c>
      <c r="G847" t="s">
        <v>3346</v>
      </c>
      <c r="H847" s="1">
        <v>46219</v>
      </c>
      <c r="I847" s="6">
        <v>45486</v>
      </c>
      <c r="J847" s="6">
        <v>46244</v>
      </c>
      <c r="K847">
        <v>99</v>
      </c>
      <c r="L847">
        <v>8</v>
      </c>
      <c r="M847">
        <v>27</v>
      </c>
      <c r="N847" s="8">
        <v>5</v>
      </c>
      <c r="O847">
        <v>41</v>
      </c>
      <c r="P847">
        <v>50</v>
      </c>
      <c r="Q847" s="3">
        <v>-0.96</v>
      </c>
      <c r="R847">
        <f>Inventory_Table[[#This Row],[Stock_Quantity]]*Inventory_Table[[#This Row],[Unit_Price]]</f>
        <v>495</v>
      </c>
      <c r="S847">
        <f>Inventory_Table[[#This Row],[Sales_Volume]]*Inventory_Table[[#This Row],[Unit_Price]]</f>
        <v>205</v>
      </c>
      <c r="T847" t="str">
        <f>IF(Inventory_Table[[#This Row],[Stock_Quantity]]&lt;=Inventory_Table[[#This Row],[Reorder_Level]],"REORDER","OK")</f>
        <v>OK</v>
      </c>
      <c r="U847" t="s">
        <v>3836</v>
      </c>
      <c r="V847" s="14">
        <f ca="1">TODAY()-Inventory_Table[[#This Row],[Last_Order_Date]]</f>
        <v>690</v>
      </c>
    </row>
    <row r="848" spans="1:22" x14ac:dyDescent="0.35">
      <c r="A848" t="s">
        <v>222</v>
      </c>
      <c r="B848" t="s">
        <v>65</v>
      </c>
      <c r="C848" t="s">
        <v>2771</v>
      </c>
      <c r="D848" t="s">
        <v>3347</v>
      </c>
      <c r="E848" t="s">
        <v>30</v>
      </c>
      <c r="F848" t="s">
        <v>3348</v>
      </c>
      <c r="G848" t="s">
        <v>3349</v>
      </c>
      <c r="H848" s="1">
        <v>46220</v>
      </c>
      <c r="I848" s="6">
        <v>45605</v>
      </c>
      <c r="J848" s="6">
        <v>46407</v>
      </c>
      <c r="K848">
        <v>71</v>
      </c>
      <c r="L848">
        <v>77</v>
      </c>
      <c r="M848">
        <v>30</v>
      </c>
      <c r="N848" s="8">
        <v>1.5</v>
      </c>
      <c r="O848">
        <v>34</v>
      </c>
      <c r="P848">
        <v>57</v>
      </c>
      <c r="Q848" s="3">
        <v>-0.22</v>
      </c>
      <c r="R848">
        <f>Inventory_Table[[#This Row],[Stock_Quantity]]*Inventory_Table[[#This Row],[Unit_Price]]</f>
        <v>106.5</v>
      </c>
      <c r="S848">
        <f>Inventory_Table[[#This Row],[Sales_Volume]]*Inventory_Table[[#This Row],[Unit_Price]]</f>
        <v>51</v>
      </c>
      <c r="T848" t="str">
        <f>IF(Inventory_Table[[#This Row],[Stock_Quantity]]&lt;=Inventory_Table[[#This Row],[Reorder_Level]],"REORDER","OK")</f>
        <v>REORDER</v>
      </c>
      <c r="U848" t="s">
        <v>3836</v>
      </c>
      <c r="V848" s="14">
        <f ca="1">TODAY()-Inventory_Table[[#This Row],[Last_Order_Date]]</f>
        <v>571</v>
      </c>
    </row>
    <row r="849" spans="1:22" x14ac:dyDescent="0.35">
      <c r="A849" t="s">
        <v>228</v>
      </c>
      <c r="B849" t="s">
        <v>18</v>
      </c>
      <c r="C849" t="s">
        <v>3181</v>
      </c>
      <c r="D849" t="s">
        <v>3350</v>
      </c>
      <c r="E849" t="s">
        <v>30</v>
      </c>
      <c r="F849" t="s">
        <v>3351</v>
      </c>
      <c r="G849" t="s">
        <v>3352</v>
      </c>
      <c r="H849" s="1">
        <v>46221</v>
      </c>
      <c r="I849" s="6">
        <v>45673</v>
      </c>
      <c r="J849" s="6">
        <v>46197</v>
      </c>
      <c r="K849">
        <v>13</v>
      </c>
      <c r="L849">
        <v>60</v>
      </c>
      <c r="M849">
        <v>100</v>
      </c>
      <c r="N849" s="8">
        <v>1.8</v>
      </c>
      <c r="O849">
        <v>44</v>
      </c>
      <c r="P849">
        <v>32</v>
      </c>
      <c r="Q849" s="3">
        <v>-0.68</v>
      </c>
      <c r="R849">
        <f>Inventory_Table[[#This Row],[Stock_Quantity]]*Inventory_Table[[#This Row],[Unit_Price]]</f>
        <v>23.400000000000002</v>
      </c>
      <c r="S849">
        <f>Inventory_Table[[#This Row],[Sales_Volume]]*Inventory_Table[[#This Row],[Unit_Price]]</f>
        <v>79.2</v>
      </c>
      <c r="T849" t="str">
        <f>IF(Inventory_Table[[#This Row],[Stock_Quantity]]&lt;=Inventory_Table[[#This Row],[Reorder_Level]],"REORDER","OK")</f>
        <v>REORDER</v>
      </c>
      <c r="U849" t="s">
        <v>3837</v>
      </c>
      <c r="V849" s="14">
        <f ca="1">TODAY()-Inventory_Table[[#This Row],[Last_Order_Date]]</f>
        <v>503</v>
      </c>
    </row>
    <row r="850" spans="1:22" x14ac:dyDescent="0.35">
      <c r="A850" t="s">
        <v>240</v>
      </c>
      <c r="B850" t="s">
        <v>36</v>
      </c>
      <c r="C850" t="s">
        <v>3353</v>
      </c>
      <c r="D850" t="s">
        <v>3354</v>
      </c>
      <c r="E850" t="s">
        <v>21</v>
      </c>
      <c r="F850" t="s">
        <v>3355</v>
      </c>
      <c r="G850" t="s">
        <v>3356</v>
      </c>
      <c r="H850" s="1">
        <v>46222</v>
      </c>
      <c r="I850" s="6">
        <v>45691</v>
      </c>
      <c r="J850" s="6">
        <v>46379</v>
      </c>
      <c r="K850">
        <v>43</v>
      </c>
      <c r="L850">
        <v>88</v>
      </c>
      <c r="M850">
        <v>33</v>
      </c>
      <c r="N850" s="8">
        <v>1</v>
      </c>
      <c r="O850">
        <v>84</v>
      </c>
      <c r="P850">
        <v>75</v>
      </c>
      <c r="Q850" s="3">
        <v>0.27</v>
      </c>
      <c r="R850">
        <f>Inventory_Table[[#This Row],[Stock_Quantity]]*Inventory_Table[[#This Row],[Unit_Price]]</f>
        <v>43</v>
      </c>
      <c r="S850">
        <f>Inventory_Table[[#This Row],[Sales_Volume]]*Inventory_Table[[#This Row],[Unit_Price]]</f>
        <v>84</v>
      </c>
      <c r="T850" t="str">
        <f>IF(Inventory_Table[[#This Row],[Stock_Quantity]]&lt;=Inventory_Table[[#This Row],[Reorder_Level]],"REORDER","OK")</f>
        <v>REORDER</v>
      </c>
      <c r="U850" t="s">
        <v>3836</v>
      </c>
      <c r="V850" s="14">
        <f ca="1">TODAY()-Inventory_Table[[#This Row],[Last_Order_Date]]</f>
        <v>485</v>
      </c>
    </row>
    <row r="851" spans="1:22" x14ac:dyDescent="0.35">
      <c r="A851" t="s">
        <v>1350</v>
      </c>
      <c r="B851" t="s">
        <v>114</v>
      </c>
      <c r="C851" t="s">
        <v>254</v>
      </c>
      <c r="D851" t="s">
        <v>3357</v>
      </c>
      <c r="E851" t="s">
        <v>68</v>
      </c>
      <c r="F851" t="s">
        <v>3358</v>
      </c>
      <c r="G851" t="s">
        <v>3359</v>
      </c>
      <c r="H851" s="1">
        <v>46222</v>
      </c>
      <c r="I851" s="6">
        <v>45494</v>
      </c>
      <c r="J851" s="6">
        <v>46339</v>
      </c>
      <c r="K851">
        <v>22</v>
      </c>
      <c r="L851">
        <v>24</v>
      </c>
      <c r="M851">
        <v>94</v>
      </c>
      <c r="N851" s="8">
        <v>6</v>
      </c>
      <c r="O851">
        <v>47</v>
      </c>
      <c r="P851">
        <v>71</v>
      </c>
      <c r="Q851" s="3">
        <v>0.11</v>
      </c>
      <c r="R851">
        <f>Inventory_Table[[#This Row],[Stock_Quantity]]*Inventory_Table[[#This Row],[Unit_Price]]</f>
        <v>132</v>
      </c>
      <c r="S851">
        <f>Inventory_Table[[#This Row],[Sales_Volume]]*Inventory_Table[[#This Row],[Unit_Price]]</f>
        <v>282</v>
      </c>
      <c r="T851" t="str">
        <f>IF(Inventory_Table[[#This Row],[Stock_Quantity]]&lt;=Inventory_Table[[#This Row],[Reorder_Level]],"REORDER","OK")</f>
        <v>REORDER</v>
      </c>
      <c r="U851" t="s">
        <v>3836</v>
      </c>
      <c r="V851" s="14">
        <f ca="1">TODAY()-Inventory_Table[[#This Row],[Last_Order_Date]]</f>
        <v>682</v>
      </c>
    </row>
    <row r="852" spans="1:22" x14ac:dyDescent="0.35">
      <c r="A852" t="s">
        <v>727</v>
      </c>
      <c r="B852" t="s">
        <v>36</v>
      </c>
      <c r="C852" t="s">
        <v>456</v>
      </c>
      <c r="D852" t="s">
        <v>3360</v>
      </c>
      <c r="E852" t="s">
        <v>21</v>
      </c>
      <c r="F852" t="s">
        <v>3361</v>
      </c>
      <c r="G852" t="s">
        <v>3362</v>
      </c>
      <c r="H852" s="1">
        <v>46222</v>
      </c>
      <c r="I852" s="6">
        <v>45527</v>
      </c>
      <c r="J852" s="6">
        <v>46157</v>
      </c>
      <c r="K852">
        <v>29</v>
      </c>
      <c r="L852">
        <v>33</v>
      </c>
      <c r="M852">
        <v>88</v>
      </c>
      <c r="N852" s="8">
        <v>0.8</v>
      </c>
      <c r="O852">
        <v>50</v>
      </c>
      <c r="P852">
        <v>35</v>
      </c>
      <c r="Q852" s="3">
        <v>-0.51</v>
      </c>
      <c r="R852">
        <f>Inventory_Table[[#This Row],[Stock_Quantity]]*Inventory_Table[[#This Row],[Unit_Price]]</f>
        <v>23.200000000000003</v>
      </c>
      <c r="S852">
        <f>Inventory_Table[[#This Row],[Sales_Volume]]*Inventory_Table[[#This Row],[Unit_Price]]</f>
        <v>40</v>
      </c>
      <c r="T852" t="str">
        <f>IF(Inventory_Table[[#This Row],[Stock_Quantity]]&lt;=Inventory_Table[[#This Row],[Reorder_Level]],"REORDER","OK")</f>
        <v>REORDER</v>
      </c>
      <c r="U852" t="s">
        <v>3838</v>
      </c>
      <c r="V852" s="14">
        <f ca="1">TODAY()-Inventory_Table[[#This Row],[Last_Order_Date]]</f>
        <v>649</v>
      </c>
    </row>
    <row r="853" spans="1:22" x14ac:dyDescent="0.35">
      <c r="A853" t="s">
        <v>567</v>
      </c>
      <c r="B853" t="s">
        <v>65</v>
      </c>
      <c r="C853" t="s">
        <v>3363</v>
      </c>
      <c r="D853" t="s">
        <v>3364</v>
      </c>
      <c r="E853" t="s">
        <v>21</v>
      </c>
      <c r="F853" t="s">
        <v>3365</v>
      </c>
      <c r="G853" t="s">
        <v>3366</v>
      </c>
      <c r="H853" s="1">
        <v>46222</v>
      </c>
      <c r="I853" s="6">
        <v>45704</v>
      </c>
      <c r="J853" s="6">
        <v>46415</v>
      </c>
      <c r="K853">
        <v>79</v>
      </c>
      <c r="L853">
        <v>47</v>
      </c>
      <c r="M853">
        <v>51</v>
      </c>
      <c r="N853" s="8">
        <v>9.5</v>
      </c>
      <c r="O853">
        <v>83</v>
      </c>
      <c r="P853">
        <v>69</v>
      </c>
      <c r="Q853" s="3">
        <v>0.3</v>
      </c>
      <c r="R853">
        <f>Inventory_Table[[#This Row],[Stock_Quantity]]*Inventory_Table[[#This Row],[Unit_Price]]</f>
        <v>750.5</v>
      </c>
      <c r="S853">
        <f>Inventory_Table[[#This Row],[Sales_Volume]]*Inventory_Table[[#This Row],[Unit_Price]]</f>
        <v>788.5</v>
      </c>
      <c r="T853" t="str">
        <f>IF(Inventory_Table[[#This Row],[Stock_Quantity]]&lt;=Inventory_Table[[#This Row],[Reorder_Level]],"REORDER","OK")</f>
        <v>OK</v>
      </c>
      <c r="U853" t="s">
        <v>3836</v>
      </c>
      <c r="V853" s="14">
        <f ca="1">TODAY()-Inventory_Table[[#This Row],[Last_Order_Date]]</f>
        <v>472</v>
      </c>
    </row>
    <row r="854" spans="1:22" x14ac:dyDescent="0.35">
      <c r="A854" t="s">
        <v>1201</v>
      </c>
      <c r="B854" t="s">
        <v>18</v>
      </c>
      <c r="C854" t="s">
        <v>3000</v>
      </c>
      <c r="D854" t="s">
        <v>3367</v>
      </c>
      <c r="E854" t="s">
        <v>21</v>
      </c>
      <c r="F854" t="s">
        <v>3368</v>
      </c>
      <c r="G854" t="s">
        <v>3369</v>
      </c>
      <c r="H854" s="1">
        <v>46223</v>
      </c>
      <c r="I854" s="6">
        <v>45673</v>
      </c>
      <c r="J854" s="6">
        <v>46162</v>
      </c>
      <c r="K854">
        <v>95</v>
      </c>
      <c r="L854">
        <v>29</v>
      </c>
      <c r="M854">
        <v>28</v>
      </c>
      <c r="N854" s="8">
        <v>4</v>
      </c>
      <c r="O854">
        <v>52</v>
      </c>
      <c r="P854">
        <v>46</v>
      </c>
      <c r="Q854" s="3">
        <v>0.17</v>
      </c>
      <c r="R854">
        <f>Inventory_Table[[#This Row],[Stock_Quantity]]*Inventory_Table[[#This Row],[Unit_Price]]</f>
        <v>380</v>
      </c>
      <c r="S854">
        <f>Inventory_Table[[#This Row],[Sales_Volume]]*Inventory_Table[[#This Row],[Unit_Price]]</f>
        <v>208</v>
      </c>
      <c r="T854" t="str">
        <f>IF(Inventory_Table[[#This Row],[Stock_Quantity]]&lt;=Inventory_Table[[#This Row],[Reorder_Level]],"REORDER","OK")</f>
        <v>OK</v>
      </c>
      <c r="U854" t="s">
        <v>3838</v>
      </c>
      <c r="V854" s="14">
        <f ca="1">TODAY()-Inventory_Table[[#This Row],[Last_Order_Date]]</f>
        <v>503</v>
      </c>
    </row>
    <row r="855" spans="1:22" x14ac:dyDescent="0.35">
      <c r="A855" t="s">
        <v>1311</v>
      </c>
      <c r="B855" t="s">
        <v>36</v>
      </c>
      <c r="C855" t="s">
        <v>490</v>
      </c>
      <c r="D855" t="s">
        <v>3370</v>
      </c>
      <c r="E855" t="s">
        <v>68</v>
      </c>
      <c r="F855" t="s">
        <v>3371</v>
      </c>
      <c r="G855" t="s">
        <v>3372</v>
      </c>
      <c r="H855" s="1">
        <v>46223</v>
      </c>
      <c r="I855" s="6">
        <v>45634</v>
      </c>
      <c r="J855" s="6">
        <v>46217</v>
      </c>
      <c r="K855">
        <v>70</v>
      </c>
      <c r="L855">
        <v>84</v>
      </c>
      <c r="M855">
        <v>72</v>
      </c>
      <c r="N855" s="8">
        <v>8</v>
      </c>
      <c r="O855">
        <v>71</v>
      </c>
      <c r="P855">
        <v>20</v>
      </c>
      <c r="Q855" s="3">
        <v>0.12</v>
      </c>
      <c r="R855">
        <f>Inventory_Table[[#This Row],[Stock_Quantity]]*Inventory_Table[[#This Row],[Unit_Price]]</f>
        <v>560</v>
      </c>
      <c r="S855">
        <f>Inventory_Table[[#This Row],[Sales_Volume]]*Inventory_Table[[#This Row],[Unit_Price]]</f>
        <v>568</v>
      </c>
      <c r="T855" t="str">
        <f>IF(Inventory_Table[[#This Row],[Stock_Quantity]]&lt;=Inventory_Table[[#This Row],[Reorder_Level]],"REORDER","OK")</f>
        <v>REORDER</v>
      </c>
      <c r="U855" t="s">
        <v>3836</v>
      </c>
      <c r="V855" s="14">
        <f ca="1">TODAY()-Inventory_Table[[#This Row],[Last_Order_Date]]</f>
        <v>542</v>
      </c>
    </row>
    <row r="856" spans="1:22" x14ac:dyDescent="0.35">
      <c r="A856" t="s">
        <v>183</v>
      </c>
      <c r="B856" t="s">
        <v>18</v>
      </c>
      <c r="C856" t="s">
        <v>654</v>
      </c>
      <c r="D856" t="s">
        <v>3373</v>
      </c>
      <c r="E856" t="s">
        <v>30</v>
      </c>
      <c r="F856" t="s">
        <v>3374</v>
      </c>
      <c r="G856" t="s">
        <v>3375</v>
      </c>
      <c r="H856" s="1">
        <v>46223</v>
      </c>
      <c r="I856" s="6">
        <v>45671</v>
      </c>
      <c r="J856" s="6">
        <v>46299</v>
      </c>
      <c r="K856">
        <v>61</v>
      </c>
      <c r="L856">
        <v>100</v>
      </c>
      <c r="M856">
        <v>94</v>
      </c>
      <c r="N856" s="8">
        <v>4</v>
      </c>
      <c r="O856">
        <v>76</v>
      </c>
      <c r="P856">
        <v>2</v>
      </c>
      <c r="Q856" s="3">
        <v>0.72</v>
      </c>
      <c r="R856">
        <f>Inventory_Table[[#This Row],[Stock_Quantity]]*Inventory_Table[[#This Row],[Unit_Price]]</f>
        <v>244</v>
      </c>
      <c r="S856">
        <f>Inventory_Table[[#This Row],[Sales_Volume]]*Inventory_Table[[#This Row],[Unit_Price]]</f>
        <v>304</v>
      </c>
      <c r="T856" t="str">
        <f>IF(Inventory_Table[[#This Row],[Stock_Quantity]]&lt;=Inventory_Table[[#This Row],[Reorder_Level]],"REORDER","OK")</f>
        <v>REORDER</v>
      </c>
      <c r="U856" t="s">
        <v>3836</v>
      </c>
      <c r="V856" s="14">
        <f ca="1">TODAY()-Inventory_Table[[#This Row],[Last_Order_Date]]</f>
        <v>505</v>
      </c>
    </row>
    <row r="857" spans="1:22" x14ac:dyDescent="0.35">
      <c r="A857" t="s">
        <v>388</v>
      </c>
      <c r="B857" t="s">
        <v>75</v>
      </c>
      <c r="C857" t="s">
        <v>213</v>
      </c>
      <c r="D857" t="s">
        <v>3376</v>
      </c>
      <c r="E857" t="s">
        <v>30</v>
      </c>
      <c r="F857" t="s">
        <v>3377</v>
      </c>
      <c r="G857" t="s">
        <v>3378</v>
      </c>
      <c r="H857" s="1">
        <v>46223</v>
      </c>
      <c r="I857" s="6">
        <v>45378</v>
      </c>
      <c r="J857" s="6">
        <v>46120</v>
      </c>
      <c r="K857">
        <v>11</v>
      </c>
      <c r="L857">
        <v>17</v>
      </c>
      <c r="M857">
        <v>59</v>
      </c>
      <c r="N857" s="8">
        <v>6</v>
      </c>
      <c r="O857">
        <v>69</v>
      </c>
      <c r="P857">
        <v>100</v>
      </c>
      <c r="Q857" s="3">
        <v>0.97</v>
      </c>
      <c r="R857">
        <f>Inventory_Table[[#This Row],[Stock_Quantity]]*Inventory_Table[[#This Row],[Unit_Price]]</f>
        <v>66</v>
      </c>
      <c r="S857">
        <f>Inventory_Table[[#This Row],[Sales_Volume]]*Inventory_Table[[#This Row],[Unit_Price]]</f>
        <v>414</v>
      </c>
      <c r="T857" t="str">
        <f>IF(Inventory_Table[[#This Row],[Stock_Quantity]]&lt;=Inventory_Table[[#This Row],[Reorder_Level]],"REORDER","OK")</f>
        <v>REORDER</v>
      </c>
      <c r="U857" t="s">
        <v>3838</v>
      </c>
      <c r="V857" s="14">
        <f ca="1">TODAY()-Inventory_Table[[#This Row],[Last_Order_Date]]</f>
        <v>798</v>
      </c>
    </row>
    <row r="858" spans="1:22" x14ac:dyDescent="0.35">
      <c r="A858" t="s">
        <v>750</v>
      </c>
      <c r="B858" t="s">
        <v>36</v>
      </c>
      <c r="C858" t="s">
        <v>1445</v>
      </c>
      <c r="D858" t="s">
        <v>3379</v>
      </c>
      <c r="E858" t="s">
        <v>21</v>
      </c>
      <c r="F858" t="s">
        <v>3380</v>
      </c>
      <c r="G858" t="s">
        <v>3381</v>
      </c>
      <c r="H858" s="1">
        <v>46223</v>
      </c>
      <c r="I858" s="6">
        <v>45510</v>
      </c>
      <c r="J858" s="6">
        <v>46249</v>
      </c>
      <c r="K858">
        <v>39</v>
      </c>
      <c r="L858">
        <v>80</v>
      </c>
      <c r="M858">
        <v>68</v>
      </c>
      <c r="N858" s="8">
        <v>2.5</v>
      </c>
      <c r="O858">
        <v>46</v>
      </c>
      <c r="P858">
        <v>54</v>
      </c>
      <c r="Q858" s="3">
        <v>-0.45</v>
      </c>
      <c r="R858">
        <f>Inventory_Table[[#This Row],[Stock_Quantity]]*Inventory_Table[[#This Row],[Unit_Price]]</f>
        <v>97.5</v>
      </c>
      <c r="S858">
        <f>Inventory_Table[[#This Row],[Sales_Volume]]*Inventory_Table[[#This Row],[Unit_Price]]</f>
        <v>115</v>
      </c>
      <c r="T858" t="str">
        <f>IF(Inventory_Table[[#This Row],[Stock_Quantity]]&lt;=Inventory_Table[[#This Row],[Reorder_Level]],"REORDER","OK")</f>
        <v>REORDER</v>
      </c>
      <c r="U858" t="s">
        <v>3836</v>
      </c>
      <c r="V858" s="14">
        <f ca="1">TODAY()-Inventory_Table[[#This Row],[Last_Order_Date]]</f>
        <v>666</v>
      </c>
    </row>
    <row r="859" spans="1:22" x14ac:dyDescent="0.35">
      <c r="A859" t="s">
        <v>17</v>
      </c>
      <c r="B859" t="s">
        <v>18</v>
      </c>
      <c r="C859" t="s">
        <v>143</v>
      </c>
      <c r="D859" t="s">
        <v>3382</v>
      </c>
      <c r="E859" t="s">
        <v>21</v>
      </c>
      <c r="F859" t="s">
        <v>3383</v>
      </c>
      <c r="G859" t="s">
        <v>3384</v>
      </c>
      <c r="H859" s="1">
        <v>46224</v>
      </c>
      <c r="I859" s="6">
        <v>45473</v>
      </c>
      <c r="J859" s="6">
        <v>46287</v>
      </c>
      <c r="K859">
        <v>50</v>
      </c>
      <c r="L859">
        <v>3</v>
      </c>
      <c r="M859">
        <v>88</v>
      </c>
      <c r="N859" s="8">
        <v>4.5</v>
      </c>
      <c r="O859">
        <v>69</v>
      </c>
      <c r="P859">
        <v>73</v>
      </c>
      <c r="Q859" s="3">
        <v>-0.17</v>
      </c>
      <c r="R859">
        <f>Inventory_Table[[#This Row],[Stock_Quantity]]*Inventory_Table[[#This Row],[Unit_Price]]</f>
        <v>225</v>
      </c>
      <c r="S859">
        <f>Inventory_Table[[#This Row],[Sales_Volume]]*Inventory_Table[[#This Row],[Unit_Price]]</f>
        <v>310.5</v>
      </c>
      <c r="T859" t="str">
        <f>IF(Inventory_Table[[#This Row],[Stock_Quantity]]&lt;=Inventory_Table[[#This Row],[Reorder_Level]],"REORDER","OK")</f>
        <v>OK</v>
      </c>
      <c r="U859" t="s">
        <v>3836</v>
      </c>
      <c r="V859" s="14">
        <f ca="1">TODAY()-Inventory_Table[[#This Row],[Last_Order_Date]]</f>
        <v>703</v>
      </c>
    </row>
    <row r="860" spans="1:22" x14ac:dyDescent="0.35">
      <c r="A860" t="s">
        <v>734</v>
      </c>
      <c r="B860" t="s">
        <v>163</v>
      </c>
      <c r="C860" t="s">
        <v>2311</v>
      </c>
      <c r="D860" t="s">
        <v>3385</v>
      </c>
      <c r="E860" t="s">
        <v>68</v>
      </c>
      <c r="F860" t="s">
        <v>3386</v>
      </c>
      <c r="G860" t="s">
        <v>3387</v>
      </c>
      <c r="H860" s="1">
        <v>46224</v>
      </c>
      <c r="I860" s="6">
        <v>45530</v>
      </c>
      <c r="J860" s="6">
        <v>46359</v>
      </c>
      <c r="K860">
        <v>59</v>
      </c>
      <c r="L860">
        <v>17</v>
      </c>
      <c r="M860">
        <v>1</v>
      </c>
      <c r="N860" s="8">
        <v>30</v>
      </c>
      <c r="O860">
        <v>69</v>
      </c>
      <c r="P860">
        <v>82</v>
      </c>
      <c r="Q860" s="3">
        <v>-0.06</v>
      </c>
      <c r="R860">
        <f>Inventory_Table[[#This Row],[Stock_Quantity]]*Inventory_Table[[#This Row],[Unit_Price]]</f>
        <v>1770</v>
      </c>
      <c r="S860">
        <f>Inventory_Table[[#This Row],[Sales_Volume]]*Inventory_Table[[#This Row],[Unit_Price]]</f>
        <v>2070</v>
      </c>
      <c r="T860" t="str">
        <f>IF(Inventory_Table[[#This Row],[Stock_Quantity]]&lt;=Inventory_Table[[#This Row],[Reorder_Level]],"REORDER","OK")</f>
        <v>OK</v>
      </c>
      <c r="U860" t="s">
        <v>3836</v>
      </c>
      <c r="V860" s="14">
        <f ca="1">TODAY()-Inventory_Table[[#This Row],[Last_Order_Date]]</f>
        <v>646</v>
      </c>
    </row>
    <row r="861" spans="1:22" x14ac:dyDescent="0.35">
      <c r="A861" t="s">
        <v>1292</v>
      </c>
      <c r="B861" t="s">
        <v>18</v>
      </c>
      <c r="C861" t="s">
        <v>2381</v>
      </c>
      <c r="D861" t="s">
        <v>3388</v>
      </c>
      <c r="E861" t="s">
        <v>30</v>
      </c>
      <c r="F861" t="s">
        <v>3389</v>
      </c>
      <c r="G861" t="s">
        <v>3390</v>
      </c>
      <c r="H861" s="1">
        <v>46224</v>
      </c>
      <c r="I861" s="6">
        <v>45697</v>
      </c>
      <c r="J861" s="6">
        <v>46426</v>
      </c>
      <c r="K861">
        <v>16</v>
      </c>
      <c r="L861">
        <v>23</v>
      </c>
      <c r="M861">
        <v>76</v>
      </c>
      <c r="N861" s="8">
        <v>6.1</v>
      </c>
      <c r="O861">
        <v>50</v>
      </c>
      <c r="P861">
        <v>27</v>
      </c>
      <c r="Q861" s="3">
        <v>-0.19</v>
      </c>
      <c r="R861">
        <f>Inventory_Table[[#This Row],[Stock_Quantity]]*Inventory_Table[[#This Row],[Unit_Price]]</f>
        <v>97.6</v>
      </c>
      <c r="S861">
        <f>Inventory_Table[[#This Row],[Sales_Volume]]*Inventory_Table[[#This Row],[Unit_Price]]</f>
        <v>305</v>
      </c>
      <c r="T861" t="str">
        <f>IF(Inventory_Table[[#This Row],[Stock_Quantity]]&lt;=Inventory_Table[[#This Row],[Reorder_Level]],"REORDER","OK")</f>
        <v>REORDER</v>
      </c>
      <c r="U861" t="s">
        <v>3836</v>
      </c>
      <c r="V861" s="14">
        <f ca="1">TODAY()-Inventory_Table[[#This Row],[Last_Order_Date]]</f>
        <v>479</v>
      </c>
    </row>
    <row r="862" spans="1:22" x14ac:dyDescent="0.35">
      <c r="A862" t="s">
        <v>222</v>
      </c>
      <c r="B862" t="s">
        <v>65</v>
      </c>
      <c r="C862" t="s">
        <v>201</v>
      </c>
      <c r="D862" t="s">
        <v>3391</v>
      </c>
      <c r="E862" t="s">
        <v>68</v>
      </c>
      <c r="F862" t="s">
        <v>3392</v>
      </c>
      <c r="G862" t="s">
        <v>3393</v>
      </c>
      <c r="H862" s="1">
        <v>46225</v>
      </c>
      <c r="I862" s="6">
        <v>45350</v>
      </c>
      <c r="J862" s="6">
        <v>46313</v>
      </c>
      <c r="K862">
        <v>62</v>
      </c>
      <c r="L862">
        <v>79</v>
      </c>
      <c r="M862">
        <v>23</v>
      </c>
      <c r="N862" s="8">
        <v>1.5</v>
      </c>
      <c r="O862">
        <v>32</v>
      </c>
      <c r="P862">
        <v>80</v>
      </c>
      <c r="Q862" s="3">
        <v>0.46</v>
      </c>
      <c r="R862">
        <f>Inventory_Table[[#This Row],[Stock_Quantity]]*Inventory_Table[[#This Row],[Unit_Price]]</f>
        <v>93</v>
      </c>
      <c r="S862">
        <f>Inventory_Table[[#This Row],[Sales_Volume]]*Inventory_Table[[#This Row],[Unit_Price]]</f>
        <v>48</v>
      </c>
      <c r="T862" t="str">
        <f>IF(Inventory_Table[[#This Row],[Stock_Quantity]]&lt;=Inventory_Table[[#This Row],[Reorder_Level]],"REORDER","OK")</f>
        <v>REORDER</v>
      </c>
      <c r="U862" t="s">
        <v>3836</v>
      </c>
      <c r="V862" s="14">
        <f ca="1">TODAY()-Inventory_Table[[#This Row],[Last_Order_Date]]</f>
        <v>826</v>
      </c>
    </row>
    <row r="863" spans="1:22" x14ac:dyDescent="0.35">
      <c r="A863" t="s">
        <v>842</v>
      </c>
      <c r="B863" t="s">
        <v>75</v>
      </c>
      <c r="C863" t="s">
        <v>1222</v>
      </c>
      <c r="D863" t="s">
        <v>3394</v>
      </c>
      <c r="E863" t="s">
        <v>30</v>
      </c>
      <c r="F863" t="s">
        <v>3395</v>
      </c>
      <c r="G863" t="s">
        <v>3396</v>
      </c>
      <c r="H863" s="1">
        <v>46225</v>
      </c>
      <c r="I863" s="6">
        <v>45687</v>
      </c>
      <c r="J863" s="6">
        <v>46188</v>
      </c>
      <c r="K863">
        <v>30</v>
      </c>
      <c r="L863">
        <v>81</v>
      </c>
      <c r="M863">
        <v>99</v>
      </c>
      <c r="N863" s="8">
        <v>9</v>
      </c>
      <c r="O863">
        <v>99</v>
      </c>
      <c r="P863">
        <v>3</v>
      </c>
      <c r="Q863" s="3">
        <v>-1.5</v>
      </c>
      <c r="R863">
        <f>Inventory_Table[[#This Row],[Stock_Quantity]]*Inventory_Table[[#This Row],[Unit_Price]]</f>
        <v>270</v>
      </c>
      <c r="S863">
        <f>Inventory_Table[[#This Row],[Sales_Volume]]*Inventory_Table[[#This Row],[Unit_Price]]</f>
        <v>891</v>
      </c>
      <c r="T863" t="str">
        <f>IF(Inventory_Table[[#This Row],[Stock_Quantity]]&lt;=Inventory_Table[[#This Row],[Reorder_Level]],"REORDER","OK")</f>
        <v>REORDER</v>
      </c>
      <c r="U863" t="s">
        <v>3837</v>
      </c>
      <c r="V863" s="14">
        <f ca="1">TODAY()-Inventory_Table[[#This Row],[Last_Order_Date]]</f>
        <v>489</v>
      </c>
    </row>
    <row r="864" spans="1:22" x14ac:dyDescent="0.35">
      <c r="A864" t="s">
        <v>496</v>
      </c>
      <c r="B864" t="s">
        <v>18</v>
      </c>
      <c r="C864" t="s">
        <v>321</v>
      </c>
      <c r="D864" t="s">
        <v>3397</v>
      </c>
      <c r="E864" t="s">
        <v>30</v>
      </c>
      <c r="F864" t="s">
        <v>3398</v>
      </c>
      <c r="G864" t="s">
        <v>3399</v>
      </c>
      <c r="H864" s="1">
        <v>46225</v>
      </c>
      <c r="I864" s="6">
        <v>45709</v>
      </c>
      <c r="J864" s="6">
        <v>46416</v>
      </c>
      <c r="K864">
        <v>13</v>
      </c>
      <c r="L864">
        <v>61</v>
      </c>
      <c r="M864">
        <v>77</v>
      </c>
      <c r="N864" s="8">
        <v>5.5</v>
      </c>
      <c r="O864">
        <v>42</v>
      </c>
      <c r="P864">
        <v>18</v>
      </c>
      <c r="Q864" s="3">
        <v>0.97</v>
      </c>
      <c r="R864">
        <f>Inventory_Table[[#This Row],[Stock_Quantity]]*Inventory_Table[[#This Row],[Unit_Price]]</f>
        <v>71.5</v>
      </c>
      <c r="S864">
        <f>Inventory_Table[[#This Row],[Sales_Volume]]*Inventory_Table[[#This Row],[Unit_Price]]</f>
        <v>231</v>
      </c>
      <c r="T864" t="str">
        <f>IF(Inventory_Table[[#This Row],[Stock_Quantity]]&lt;=Inventory_Table[[#This Row],[Reorder_Level]],"REORDER","OK")</f>
        <v>REORDER</v>
      </c>
      <c r="U864" t="s">
        <v>3836</v>
      </c>
      <c r="V864" s="14">
        <f ca="1">TODAY()-Inventory_Table[[#This Row],[Last_Order_Date]]</f>
        <v>467</v>
      </c>
    </row>
    <row r="865" spans="1:22" x14ac:dyDescent="0.35">
      <c r="A865" t="s">
        <v>718</v>
      </c>
      <c r="B865" t="s">
        <v>65</v>
      </c>
      <c r="C865" t="s">
        <v>362</v>
      </c>
      <c r="D865" t="s">
        <v>3400</v>
      </c>
      <c r="E865" t="s">
        <v>68</v>
      </c>
      <c r="F865" t="s">
        <v>3401</v>
      </c>
      <c r="G865" t="s">
        <v>3402</v>
      </c>
      <c r="H865" s="1">
        <v>46226</v>
      </c>
      <c r="I865" s="6">
        <v>45354</v>
      </c>
      <c r="J865" s="6">
        <v>46194</v>
      </c>
      <c r="K865">
        <v>14</v>
      </c>
      <c r="L865">
        <v>16</v>
      </c>
      <c r="M865">
        <v>93</v>
      </c>
      <c r="N865" s="8">
        <v>2</v>
      </c>
      <c r="O865">
        <v>39</v>
      </c>
      <c r="P865">
        <v>30</v>
      </c>
      <c r="Q865" s="3">
        <v>0.56999999999999995</v>
      </c>
      <c r="R865">
        <f>Inventory_Table[[#This Row],[Stock_Quantity]]*Inventory_Table[[#This Row],[Unit_Price]]</f>
        <v>28</v>
      </c>
      <c r="S865">
        <f>Inventory_Table[[#This Row],[Sales_Volume]]*Inventory_Table[[#This Row],[Unit_Price]]</f>
        <v>78</v>
      </c>
      <c r="T865" t="str">
        <f>IF(Inventory_Table[[#This Row],[Stock_Quantity]]&lt;=Inventory_Table[[#This Row],[Reorder_Level]],"REORDER","OK")</f>
        <v>REORDER</v>
      </c>
      <c r="U865" t="s">
        <v>3837</v>
      </c>
      <c r="V865" s="14">
        <f ca="1">TODAY()-Inventory_Table[[#This Row],[Last_Order_Date]]</f>
        <v>822</v>
      </c>
    </row>
    <row r="866" spans="1:22" x14ac:dyDescent="0.35">
      <c r="A866" t="s">
        <v>423</v>
      </c>
      <c r="B866" t="s">
        <v>65</v>
      </c>
      <c r="C866" t="s">
        <v>787</v>
      </c>
      <c r="D866" t="s">
        <v>3403</v>
      </c>
      <c r="E866" t="s">
        <v>21</v>
      </c>
      <c r="F866" t="s">
        <v>3404</v>
      </c>
      <c r="G866" t="s">
        <v>3405</v>
      </c>
      <c r="H866" s="1">
        <v>46226</v>
      </c>
      <c r="I866" s="6">
        <v>45466</v>
      </c>
      <c r="J866" s="6">
        <v>46378</v>
      </c>
      <c r="K866">
        <v>46</v>
      </c>
      <c r="L866">
        <v>6</v>
      </c>
      <c r="M866">
        <v>64</v>
      </c>
      <c r="N866" s="8">
        <v>10</v>
      </c>
      <c r="O866">
        <v>63</v>
      </c>
      <c r="P866">
        <v>29</v>
      </c>
      <c r="Q866" s="3">
        <v>0.23</v>
      </c>
      <c r="R866">
        <f>Inventory_Table[[#This Row],[Stock_Quantity]]*Inventory_Table[[#This Row],[Unit_Price]]</f>
        <v>460</v>
      </c>
      <c r="S866">
        <f>Inventory_Table[[#This Row],[Sales_Volume]]*Inventory_Table[[#This Row],[Unit_Price]]</f>
        <v>630</v>
      </c>
      <c r="T866" t="str">
        <f>IF(Inventory_Table[[#This Row],[Stock_Quantity]]&lt;=Inventory_Table[[#This Row],[Reorder_Level]],"REORDER","OK")</f>
        <v>OK</v>
      </c>
      <c r="U866" t="s">
        <v>3836</v>
      </c>
      <c r="V866" s="14">
        <f ca="1">TODAY()-Inventory_Table[[#This Row],[Last_Order_Date]]</f>
        <v>710</v>
      </c>
    </row>
    <row r="867" spans="1:22" x14ac:dyDescent="0.35">
      <c r="A867" t="s">
        <v>708</v>
      </c>
      <c r="B867" t="s">
        <v>163</v>
      </c>
      <c r="C867" t="s">
        <v>3406</v>
      </c>
      <c r="D867" t="s">
        <v>3407</v>
      </c>
      <c r="E867" t="s">
        <v>21</v>
      </c>
      <c r="F867" t="s">
        <v>3408</v>
      </c>
      <c r="G867" t="s">
        <v>3409</v>
      </c>
      <c r="H867" s="1">
        <v>46226</v>
      </c>
      <c r="I867" s="6">
        <v>45411</v>
      </c>
      <c r="J867" s="6">
        <v>46089</v>
      </c>
      <c r="K867">
        <v>62</v>
      </c>
      <c r="L867">
        <v>23</v>
      </c>
      <c r="M867">
        <v>25</v>
      </c>
      <c r="N867" s="8">
        <v>15.5</v>
      </c>
      <c r="O867">
        <v>34</v>
      </c>
      <c r="P867">
        <v>68</v>
      </c>
      <c r="Q867" s="3">
        <v>0.54</v>
      </c>
      <c r="R867">
        <f>Inventory_Table[[#This Row],[Stock_Quantity]]*Inventory_Table[[#This Row],[Unit_Price]]</f>
        <v>961</v>
      </c>
      <c r="S867">
        <f>Inventory_Table[[#This Row],[Sales_Volume]]*Inventory_Table[[#This Row],[Unit_Price]]</f>
        <v>527</v>
      </c>
      <c r="T867" t="str">
        <f>IF(Inventory_Table[[#This Row],[Stock_Quantity]]&lt;=Inventory_Table[[#This Row],[Reorder_Level]],"REORDER","OK")</f>
        <v>OK</v>
      </c>
      <c r="U867" t="s">
        <v>3838</v>
      </c>
      <c r="V867" s="14">
        <f ca="1">TODAY()-Inventory_Table[[#This Row],[Last_Order_Date]]</f>
        <v>765</v>
      </c>
    </row>
    <row r="868" spans="1:22" x14ac:dyDescent="0.35">
      <c r="A868" t="s">
        <v>376</v>
      </c>
      <c r="B868" t="s">
        <v>18</v>
      </c>
      <c r="C868" t="s">
        <v>1271</v>
      </c>
      <c r="D868" t="s">
        <v>3410</v>
      </c>
      <c r="E868" t="s">
        <v>68</v>
      </c>
      <c r="F868" t="s">
        <v>3411</v>
      </c>
      <c r="G868" t="s">
        <v>3412</v>
      </c>
      <c r="H868" s="1">
        <v>46226</v>
      </c>
      <c r="I868" s="6">
        <v>45372</v>
      </c>
      <c r="J868" s="6">
        <v>46166</v>
      </c>
      <c r="K868">
        <v>16</v>
      </c>
      <c r="L868">
        <v>75</v>
      </c>
      <c r="M868">
        <v>42</v>
      </c>
      <c r="N868" s="8">
        <v>2</v>
      </c>
      <c r="O868">
        <v>22</v>
      </c>
      <c r="P868">
        <v>46</v>
      </c>
      <c r="Q868" s="3">
        <v>-1</v>
      </c>
      <c r="R868">
        <f>Inventory_Table[[#This Row],[Stock_Quantity]]*Inventory_Table[[#This Row],[Unit_Price]]</f>
        <v>32</v>
      </c>
      <c r="S868">
        <f>Inventory_Table[[#This Row],[Sales_Volume]]*Inventory_Table[[#This Row],[Unit_Price]]</f>
        <v>44</v>
      </c>
      <c r="T868" t="str">
        <f>IF(Inventory_Table[[#This Row],[Stock_Quantity]]&lt;=Inventory_Table[[#This Row],[Reorder_Level]],"REORDER","OK")</f>
        <v>REORDER</v>
      </c>
      <c r="U868" t="s">
        <v>3838</v>
      </c>
      <c r="V868" s="14">
        <f ca="1">TODAY()-Inventory_Table[[#This Row],[Last_Order_Date]]</f>
        <v>804</v>
      </c>
    </row>
    <row r="869" spans="1:22" x14ac:dyDescent="0.35">
      <c r="A869" t="s">
        <v>467</v>
      </c>
      <c r="B869" t="s">
        <v>65</v>
      </c>
      <c r="C869" t="s">
        <v>928</v>
      </c>
      <c r="D869" t="s">
        <v>3413</v>
      </c>
      <c r="E869" t="s">
        <v>21</v>
      </c>
      <c r="F869" t="s">
        <v>3414</v>
      </c>
      <c r="G869" t="s">
        <v>3415</v>
      </c>
      <c r="H869" s="1">
        <v>46227</v>
      </c>
      <c r="I869" s="6">
        <v>45601</v>
      </c>
      <c r="J869" s="6">
        <v>46155</v>
      </c>
      <c r="K869">
        <v>54</v>
      </c>
      <c r="L869">
        <v>69</v>
      </c>
      <c r="M869">
        <v>68</v>
      </c>
      <c r="N869" s="8">
        <v>1.75</v>
      </c>
      <c r="O869">
        <v>77</v>
      </c>
      <c r="P869">
        <v>56</v>
      </c>
      <c r="Q869" s="3">
        <v>-1.0900000000000001</v>
      </c>
      <c r="R869">
        <f>Inventory_Table[[#This Row],[Stock_Quantity]]*Inventory_Table[[#This Row],[Unit_Price]]</f>
        <v>94.5</v>
      </c>
      <c r="S869">
        <f>Inventory_Table[[#This Row],[Sales_Volume]]*Inventory_Table[[#This Row],[Unit_Price]]</f>
        <v>134.75</v>
      </c>
      <c r="T869" t="str">
        <f>IF(Inventory_Table[[#This Row],[Stock_Quantity]]&lt;=Inventory_Table[[#This Row],[Reorder_Level]],"REORDER","OK")</f>
        <v>REORDER</v>
      </c>
      <c r="U869" t="s">
        <v>3838</v>
      </c>
      <c r="V869" s="14">
        <f ca="1">TODAY()-Inventory_Table[[#This Row],[Last_Order_Date]]</f>
        <v>575</v>
      </c>
    </row>
    <row r="870" spans="1:22" x14ac:dyDescent="0.35">
      <c r="A870" t="s">
        <v>26</v>
      </c>
      <c r="B870" t="s">
        <v>27</v>
      </c>
      <c r="C870" t="s">
        <v>1399</v>
      </c>
      <c r="D870" t="s">
        <v>3416</v>
      </c>
      <c r="E870" t="s">
        <v>30</v>
      </c>
      <c r="F870" t="s">
        <v>3417</v>
      </c>
      <c r="G870" t="s">
        <v>3418</v>
      </c>
      <c r="H870" s="1">
        <v>46228</v>
      </c>
      <c r="I870" s="6">
        <v>45437</v>
      </c>
      <c r="J870" s="6">
        <v>46131</v>
      </c>
      <c r="K870">
        <v>57</v>
      </c>
      <c r="L870">
        <v>99</v>
      </c>
      <c r="M870">
        <v>23</v>
      </c>
      <c r="N870" s="8">
        <v>2</v>
      </c>
      <c r="O870">
        <v>89</v>
      </c>
      <c r="P870">
        <v>21</v>
      </c>
      <c r="Q870" s="3">
        <v>0.27</v>
      </c>
      <c r="R870">
        <f>Inventory_Table[[#This Row],[Stock_Quantity]]*Inventory_Table[[#This Row],[Unit_Price]]</f>
        <v>114</v>
      </c>
      <c r="S870">
        <f>Inventory_Table[[#This Row],[Sales_Volume]]*Inventory_Table[[#This Row],[Unit_Price]]</f>
        <v>178</v>
      </c>
      <c r="T870" t="str">
        <f>IF(Inventory_Table[[#This Row],[Stock_Quantity]]&lt;=Inventory_Table[[#This Row],[Reorder_Level]],"REORDER","OK")</f>
        <v>REORDER</v>
      </c>
      <c r="U870" t="s">
        <v>3838</v>
      </c>
      <c r="V870" s="14">
        <f ca="1">TODAY()-Inventory_Table[[#This Row],[Last_Order_Date]]</f>
        <v>739</v>
      </c>
    </row>
    <row r="871" spans="1:22" x14ac:dyDescent="0.35">
      <c r="A871" t="s">
        <v>435</v>
      </c>
      <c r="B871" t="s">
        <v>18</v>
      </c>
      <c r="C871" t="s">
        <v>3419</v>
      </c>
      <c r="D871" t="s">
        <v>3420</v>
      </c>
      <c r="E871" t="s">
        <v>68</v>
      </c>
      <c r="F871" t="s">
        <v>3421</v>
      </c>
      <c r="G871" t="s">
        <v>3422</v>
      </c>
      <c r="H871" s="1">
        <v>46228</v>
      </c>
      <c r="I871" s="6">
        <v>45385</v>
      </c>
      <c r="J871" s="6">
        <v>46305</v>
      </c>
      <c r="K871">
        <v>17</v>
      </c>
      <c r="L871">
        <v>45</v>
      </c>
      <c r="M871">
        <v>44</v>
      </c>
      <c r="N871" s="8">
        <v>6</v>
      </c>
      <c r="O871">
        <v>37</v>
      </c>
      <c r="P871">
        <v>16</v>
      </c>
      <c r="Q871" s="3">
        <v>0.76</v>
      </c>
      <c r="R871">
        <f>Inventory_Table[[#This Row],[Stock_Quantity]]*Inventory_Table[[#This Row],[Unit_Price]]</f>
        <v>102</v>
      </c>
      <c r="S871">
        <f>Inventory_Table[[#This Row],[Sales_Volume]]*Inventory_Table[[#This Row],[Unit_Price]]</f>
        <v>222</v>
      </c>
      <c r="T871" t="str">
        <f>IF(Inventory_Table[[#This Row],[Stock_Quantity]]&lt;=Inventory_Table[[#This Row],[Reorder_Level]],"REORDER","OK")</f>
        <v>REORDER</v>
      </c>
      <c r="U871" t="s">
        <v>3836</v>
      </c>
      <c r="V871" s="14">
        <f ca="1">TODAY()-Inventory_Table[[#This Row],[Last_Order_Date]]</f>
        <v>791</v>
      </c>
    </row>
    <row r="872" spans="1:22" x14ac:dyDescent="0.35">
      <c r="A872" t="s">
        <v>975</v>
      </c>
      <c r="B872" t="s">
        <v>18</v>
      </c>
      <c r="C872" t="s">
        <v>3423</v>
      </c>
      <c r="D872" t="s">
        <v>3424</v>
      </c>
      <c r="E872" t="s">
        <v>68</v>
      </c>
      <c r="F872" t="s">
        <v>3425</v>
      </c>
      <c r="G872" t="s">
        <v>3426</v>
      </c>
      <c r="H872" s="1">
        <v>46228</v>
      </c>
      <c r="I872" s="6">
        <v>45647</v>
      </c>
      <c r="J872" s="6">
        <v>46083</v>
      </c>
      <c r="K872">
        <v>99</v>
      </c>
      <c r="L872">
        <v>37</v>
      </c>
      <c r="M872">
        <v>74</v>
      </c>
      <c r="N872" s="8">
        <v>2.1</v>
      </c>
      <c r="O872">
        <v>46</v>
      </c>
      <c r="P872">
        <v>46</v>
      </c>
      <c r="Q872" s="3">
        <v>0.56999999999999995</v>
      </c>
      <c r="R872">
        <f>Inventory_Table[[#This Row],[Stock_Quantity]]*Inventory_Table[[#This Row],[Unit_Price]]</f>
        <v>207.9</v>
      </c>
      <c r="S872">
        <f>Inventory_Table[[#This Row],[Sales_Volume]]*Inventory_Table[[#This Row],[Unit_Price]]</f>
        <v>96.600000000000009</v>
      </c>
      <c r="T872" t="str">
        <f>IF(Inventory_Table[[#This Row],[Stock_Quantity]]&lt;=Inventory_Table[[#This Row],[Reorder_Level]],"REORDER","OK")</f>
        <v>OK</v>
      </c>
      <c r="U872" t="s">
        <v>3838</v>
      </c>
      <c r="V872" s="14">
        <f ca="1">TODAY()-Inventory_Table[[#This Row],[Last_Order_Date]]</f>
        <v>529</v>
      </c>
    </row>
    <row r="873" spans="1:22" x14ac:dyDescent="0.35">
      <c r="A873" t="s">
        <v>1201</v>
      </c>
      <c r="B873" t="s">
        <v>18</v>
      </c>
      <c r="C873" t="s">
        <v>2023</v>
      </c>
      <c r="D873" t="s">
        <v>3427</v>
      </c>
      <c r="E873" t="s">
        <v>21</v>
      </c>
      <c r="F873" t="s">
        <v>3428</v>
      </c>
      <c r="G873" t="s">
        <v>3429</v>
      </c>
      <c r="H873" s="1">
        <v>46229</v>
      </c>
      <c r="I873" s="6">
        <v>45694</v>
      </c>
      <c r="J873" s="6">
        <v>46182</v>
      </c>
      <c r="K873">
        <v>40</v>
      </c>
      <c r="L873">
        <v>8</v>
      </c>
      <c r="M873">
        <v>98</v>
      </c>
      <c r="N873" s="8">
        <v>4</v>
      </c>
      <c r="O873">
        <v>86</v>
      </c>
      <c r="P873">
        <v>12</v>
      </c>
      <c r="Q873" s="3">
        <v>0</v>
      </c>
      <c r="R873">
        <f>Inventory_Table[[#This Row],[Stock_Quantity]]*Inventory_Table[[#This Row],[Unit_Price]]</f>
        <v>160</v>
      </c>
      <c r="S873">
        <f>Inventory_Table[[#This Row],[Sales_Volume]]*Inventory_Table[[#This Row],[Unit_Price]]</f>
        <v>344</v>
      </c>
      <c r="T873" t="str">
        <f>IF(Inventory_Table[[#This Row],[Stock_Quantity]]&lt;=Inventory_Table[[#This Row],[Reorder_Level]],"REORDER","OK")</f>
        <v>OK</v>
      </c>
      <c r="U873" t="s">
        <v>3837</v>
      </c>
      <c r="V873" s="14">
        <f ca="1">TODAY()-Inventory_Table[[#This Row],[Last_Order_Date]]</f>
        <v>482</v>
      </c>
    </row>
    <row r="874" spans="1:22" x14ac:dyDescent="0.35">
      <c r="A874" t="s">
        <v>350</v>
      </c>
      <c r="B874" t="s">
        <v>36</v>
      </c>
      <c r="C874" t="s">
        <v>3277</v>
      </c>
      <c r="D874" t="s">
        <v>3430</v>
      </c>
      <c r="E874" t="s">
        <v>21</v>
      </c>
      <c r="F874" t="s">
        <v>3431</v>
      </c>
      <c r="G874" t="s">
        <v>3432</v>
      </c>
      <c r="H874" s="1">
        <v>46229</v>
      </c>
      <c r="I874" s="6">
        <v>45691</v>
      </c>
      <c r="J874" s="6">
        <v>46230</v>
      </c>
      <c r="K874">
        <v>41</v>
      </c>
      <c r="L874">
        <v>61</v>
      </c>
      <c r="M874">
        <v>69</v>
      </c>
      <c r="N874" s="8">
        <v>1</v>
      </c>
      <c r="O874">
        <v>30</v>
      </c>
      <c r="P874">
        <v>100</v>
      </c>
      <c r="Q874" s="3">
        <v>0.86</v>
      </c>
      <c r="R874">
        <f>Inventory_Table[[#This Row],[Stock_Quantity]]*Inventory_Table[[#This Row],[Unit_Price]]</f>
        <v>41</v>
      </c>
      <c r="S874">
        <f>Inventory_Table[[#This Row],[Sales_Volume]]*Inventory_Table[[#This Row],[Unit_Price]]</f>
        <v>30</v>
      </c>
      <c r="T874" t="str">
        <f>IF(Inventory_Table[[#This Row],[Stock_Quantity]]&lt;=Inventory_Table[[#This Row],[Reorder_Level]],"REORDER","OK")</f>
        <v>REORDER</v>
      </c>
      <c r="U874" t="s">
        <v>3836</v>
      </c>
      <c r="V874" s="14">
        <f ca="1">TODAY()-Inventory_Table[[#This Row],[Last_Order_Date]]</f>
        <v>485</v>
      </c>
    </row>
    <row r="875" spans="1:22" x14ac:dyDescent="0.35">
      <c r="A875" t="s">
        <v>212</v>
      </c>
      <c r="B875" t="s">
        <v>75</v>
      </c>
      <c r="C875" t="s">
        <v>3433</v>
      </c>
      <c r="D875" t="s">
        <v>3434</v>
      </c>
      <c r="E875" t="s">
        <v>21</v>
      </c>
      <c r="F875" t="s">
        <v>3435</v>
      </c>
      <c r="G875" t="s">
        <v>3436</v>
      </c>
      <c r="H875" s="1">
        <v>46229</v>
      </c>
      <c r="I875" s="6">
        <v>45486</v>
      </c>
      <c r="J875" s="6">
        <v>46226</v>
      </c>
      <c r="K875">
        <v>14</v>
      </c>
      <c r="L875">
        <v>52</v>
      </c>
      <c r="M875">
        <v>80</v>
      </c>
      <c r="N875" s="8">
        <v>6.8</v>
      </c>
      <c r="O875">
        <v>64</v>
      </c>
      <c r="P875">
        <v>17</v>
      </c>
      <c r="Q875" s="3">
        <v>-2.33</v>
      </c>
      <c r="R875">
        <f>Inventory_Table[[#This Row],[Stock_Quantity]]*Inventory_Table[[#This Row],[Unit_Price]]</f>
        <v>95.2</v>
      </c>
      <c r="S875">
        <f>Inventory_Table[[#This Row],[Sales_Volume]]*Inventory_Table[[#This Row],[Unit_Price]]</f>
        <v>435.2</v>
      </c>
      <c r="T875" t="str">
        <f>IF(Inventory_Table[[#This Row],[Stock_Quantity]]&lt;=Inventory_Table[[#This Row],[Reorder_Level]],"REORDER","OK")</f>
        <v>REORDER</v>
      </c>
      <c r="U875" t="s">
        <v>3836</v>
      </c>
      <c r="V875" s="14">
        <f ca="1">TODAY()-Inventory_Table[[#This Row],[Last_Order_Date]]</f>
        <v>690</v>
      </c>
    </row>
    <row r="876" spans="1:22" x14ac:dyDescent="0.35">
      <c r="A876" t="s">
        <v>1502</v>
      </c>
      <c r="B876" t="s">
        <v>114</v>
      </c>
      <c r="C876" t="s">
        <v>3438</v>
      </c>
      <c r="D876" t="s">
        <v>3439</v>
      </c>
      <c r="E876" t="s">
        <v>30</v>
      </c>
      <c r="F876" t="s">
        <v>3440</v>
      </c>
      <c r="G876" t="s">
        <v>3441</v>
      </c>
      <c r="H876" s="1">
        <v>46230</v>
      </c>
      <c r="I876" s="6">
        <v>45504</v>
      </c>
      <c r="J876" s="6">
        <v>46085</v>
      </c>
      <c r="K876">
        <v>80</v>
      </c>
      <c r="L876">
        <v>61</v>
      </c>
      <c r="M876">
        <v>23</v>
      </c>
      <c r="N876" s="8">
        <v>5.5</v>
      </c>
      <c r="O876">
        <v>63</v>
      </c>
      <c r="P876">
        <v>75</v>
      </c>
      <c r="Q876" s="3">
        <v>0.73</v>
      </c>
      <c r="R876">
        <f>Inventory_Table[[#This Row],[Stock_Quantity]]*Inventory_Table[[#This Row],[Unit_Price]]</f>
        <v>440</v>
      </c>
      <c r="S876">
        <f>Inventory_Table[[#This Row],[Sales_Volume]]*Inventory_Table[[#This Row],[Unit_Price]]</f>
        <v>346.5</v>
      </c>
      <c r="T876" t="str">
        <f>IF(Inventory_Table[[#This Row],[Stock_Quantity]]&lt;=Inventory_Table[[#This Row],[Reorder_Level]],"REORDER","OK")</f>
        <v>OK</v>
      </c>
      <c r="U876" t="s">
        <v>3838</v>
      </c>
      <c r="V876" s="14">
        <f ca="1">TODAY()-Inventory_Table[[#This Row],[Last_Order_Date]]</f>
        <v>672</v>
      </c>
    </row>
    <row r="877" spans="1:22" x14ac:dyDescent="0.35">
      <c r="A877" t="s">
        <v>162</v>
      </c>
      <c r="B877" t="s">
        <v>163</v>
      </c>
      <c r="C877" t="s">
        <v>1874</v>
      </c>
      <c r="D877" t="s">
        <v>3442</v>
      </c>
      <c r="E877" t="s">
        <v>30</v>
      </c>
      <c r="F877" t="s">
        <v>3443</v>
      </c>
      <c r="G877" t="s">
        <v>3444</v>
      </c>
      <c r="H877" s="1">
        <v>46230</v>
      </c>
      <c r="I877" s="6">
        <v>45567</v>
      </c>
      <c r="J877" s="6">
        <v>46101</v>
      </c>
      <c r="K877">
        <v>74</v>
      </c>
      <c r="L877">
        <v>10</v>
      </c>
      <c r="M877">
        <v>74</v>
      </c>
      <c r="N877" s="8">
        <v>20</v>
      </c>
      <c r="O877">
        <v>100</v>
      </c>
      <c r="P877">
        <v>66</v>
      </c>
      <c r="Q877" s="3">
        <v>-0.19</v>
      </c>
      <c r="R877">
        <f>Inventory_Table[[#This Row],[Stock_Quantity]]*Inventory_Table[[#This Row],[Unit_Price]]</f>
        <v>1480</v>
      </c>
      <c r="S877">
        <f>Inventory_Table[[#This Row],[Sales_Volume]]*Inventory_Table[[#This Row],[Unit_Price]]</f>
        <v>2000</v>
      </c>
      <c r="T877" t="str">
        <f>IF(Inventory_Table[[#This Row],[Stock_Quantity]]&lt;=Inventory_Table[[#This Row],[Reorder_Level]],"REORDER","OK")</f>
        <v>OK</v>
      </c>
      <c r="U877" t="s">
        <v>3838</v>
      </c>
      <c r="V877" s="14">
        <f ca="1">TODAY()-Inventory_Table[[#This Row],[Last_Order_Date]]</f>
        <v>609</v>
      </c>
    </row>
    <row r="878" spans="1:22" x14ac:dyDescent="0.35">
      <c r="A878" t="s">
        <v>122</v>
      </c>
      <c r="B878" t="s">
        <v>18</v>
      </c>
      <c r="C878" t="s">
        <v>904</v>
      </c>
      <c r="D878" t="s">
        <v>3445</v>
      </c>
      <c r="E878" t="s">
        <v>68</v>
      </c>
      <c r="F878" t="s">
        <v>3446</v>
      </c>
      <c r="G878" t="s">
        <v>3447</v>
      </c>
      <c r="H878" s="1">
        <v>46230</v>
      </c>
      <c r="I878" s="6">
        <v>45567</v>
      </c>
      <c r="J878" s="6">
        <v>46378</v>
      </c>
      <c r="K878">
        <v>77</v>
      </c>
      <c r="L878">
        <v>54</v>
      </c>
      <c r="M878">
        <v>10</v>
      </c>
      <c r="N878" s="8">
        <v>2.5</v>
      </c>
      <c r="O878">
        <v>64</v>
      </c>
      <c r="P878">
        <v>73</v>
      </c>
      <c r="Q878" s="3">
        <v>0.34</v>
      </c>
      <c r="R878">
        <f>Inventory_Table[[#This Row],[Stock_Quantity]]*Inventory_Table[[#This Row],[Unit_Price]]</f>
        <v>192.5</v>
      </c>
      <c r="S878">
        <f>Inventory_Table[[#This Row],[Sales_Volume]]*Inventory_Table[[#This Row],[Unit_Price]]</f>
        <v>160</v>
      </c>
      <c r="T878" t="str">
        <f>IF(Inventory_Table[[#This Row],[Stock_Quantity]]&lt;=Inventory_Table[[#This Row],[Reorder_Level]],"REORDER","OK")</f>
        <v>OK</v>
      </c>
      <c r="U878" t="s">
        <v>3836</v>
      </c>
      <c r="V878" s="14">
        <f ca="1">TODAY()-Inventory_Table[[#This Row],[Last_Order_Date]]</f>
        <v>609</v>
      </c>
    </row>
    <row r="879" spans="1:22" x14ac:dyDescent="0.35">
      <c r="A879" t="s">
        <v>170</v>
      </c>
      <c r="B879" t="s">
        <v>18</v>
      </c>
      <c r="C879" t="s">
        <v>290</v>
      </c>
      <c r="D879" t="s">
        <v>3448</v>
      </c>
      <c r="E879" t="s">
        <v>21</v>
      </c>
      <c r="F879" t="s">
        <v>3449</v>
      </c>
      <c r="G879" t="s">
        <v>3450</v>
      </c>
      <c r="H879" s="1">
        <v>46230</v>
      </c>
      <c r="I879" s="6">
        <v>45465</v>
      </c>
      <c r="J879" s="6">
        <v>46166</v>
      </c>
      <c r="K879">
        <v>44</v>
      </c>
      <c r="L879">
        <v>77</v>
      </c>
      <c r="M879">
        <v>45</v>
      </c>
      <c r="N879" s="8">
        <v>2</v>
      </c>
      <c r="O879">
        <v>89</v>
      </c>
      <c r="P879">
        <v>64</v>
      </c>
      <c r="Q879" s="3">
        <v>-0.14000000000000001</v>
      </c>
      <c r="R879">
        <f>Inventory_Table[[#This Row],[Stock_Quantity]]*Inventory_Table[[#This Row],[Unit_Price]]</f>
        <v>88</v>
      </c>
      <c r="S879">
        <f>Inventory_Table[[#This Row],[Sales_Volume]]*Inventory_Table[[#This Row],[Unit_Price]]</f>
        <v>178</v>
      </c>
      <c r="T879" t="str">
        <f>IF(Inventory_Table[[#This Row],[Stock_Quantity]]&lt;=Inventory_Table[[#This Row],[Reorder_Level]],"REORDER","OK")</f>
        <v>REORDER</v>
      </c>
      <c r="U879" t="s">
        <v>3838</v>
      </c>
      <c r="V879" s="14">
        <f ca="1">TODAY()-Inventory_Table[[#This Row],[Last_Order_Date]]</f>
        <v>711</v>
      </c>
    </row>
    <row r="880" spans="1:22" x14ac:dyDescent="0.35">
      <c r="A880" t="s">
        <v>177</v>
      </c>
      <c r="B880" t="s">
        <v>18</v>
      </c>
      <c r="C880" t="s">
        <v>1653</v>
      </c>
      <c r="D880" t="s">
        <v>3451</v>
      </c>
      <c r="E880" t="s">
        <v>21</v>
      </c>
      <c r="F880" t="s">
        <v>3452</v>
      </c>
      <c r="G880" t="s">
        <v>3453</v>
      </c>
      <c r="H880" s="1">
        <v>46231</v>
      </c>
      <c r="I880" s="6">
        <v>45583</v>
      </c>
      <c r="J880" s="6">
        <v>46107</v>
      </c>
      <c r="K880">
        <v>92</v>
      </c>
      <c r="L880">
        <v>46</v>
      </c>
      <c r="M880">
        <v>13</v>
      </c>
      <c r="N880" s="8">
        <v>5</v>
      </c>
      <c r="O880">
        <v>24</v>
      </c>
      <c r="P880">
        <v>75</v>
      </c>
      <c r="Q880" s="3">
        <v>0.28000000000000003</v>
      </c>
      <c r="R880">
        <f>Inventory_Table[[#This Row],[Stock_Quantity]]*Inventory_Table[[#This Row],[Unit_Price]]</f>
        <v>460</v>
      </c>
      <c r="S880">
        <f>Inventory_Table[[#This Row],[Sales_Volume]]*Inventory_Table[[#This Row],[Unit_Price]]</f>
        <v>120</v>
      </c>
      <c r="T880" t="str">
        <f>IF(Inventory_Table[[#This Row],[Stock_Quantity]]&lt;=Inventory_Table[[#This Row],[Reorder_Level]],"REORDER","OK")</f>
        <v>OK</v>
      </c>
      <c r="U880" t="s">
        <v>3838</v>
      </c>
      <c r="V880" s="14">
        <f ca="1">TODAY()-Inventory_Table[[#This Row],[Last_Order_Date]]</f>
        <v>593</v>
      </c>
    </row>
    <row r="881" spans="1:22" x14ac:dyDescent="0.35">
      <c r="A881" t="s">
        <v>1341</v>
      </c>
      <c r="B881" t="s">
        <v>18</v>
      </c>
      <c r="C881" t="s">
        <v>357</v>
      </c>
      <c r="D881" t="s">
        <v>3454</v>
      </c>
      <c r="E881" t="s">
        <v>21</v>
      </c>
      <c r="F881" t="s">
        <v>3455</v>
      </c>
      <c r="G881" t="s">
        <v>3456</v>
      </c>
      <c r="H881" s="1">
        <v>46231</v>
      </c>
      <c r="I881" s="6">
        <v>45494</v>
      </c>
      <c r="J881" s="6">
        <v>46420</v>
      </c>
      <c r="K881">
        <v>26</v>
      </c>
      <c r="L881">
        <v>18</v>
      </c>
      <c r="M881">
        <v>62</v>
      </c>
      <c r="N881" s="8">
        <v>2.5</v>
      </c>
      <c r="O881">
        <v>57</v>
      </c>
      <c r="P881">
        <v>86</v>
      </c>
      <c r="Q881" s="3">
        <v>-2.13</v>
      </c>
      <c r="R881">
        <f>Inventory_Table[[#This Row],[Stock_Quantity]]*Inventory_Table[[#This Row],[Unit_Price]]</f>
        <v>65</v>
      </c>
      <c r="S881">
        <f>Inventory_Table[[#This Row],[Sales_Volume]]*Inventory_Table[[#This Row],[Unit_Price]]</f>
        <v>142.5</v>
      </c>
      <c r="T881" t="str">
        <f>IF(Inventory_Table[[#This Row],[Stock_Quantity]]&lt;=Inventory_Table[[#This Row],[Reorder_Level]],"REORDER","OK")</f>
        <v>OK</v>
      </c>
      <c r="U881" t="s">
        <v>3836</v>
      </c>
      <c r="V881" s="14">
        <f ca="1">TODAY()-Inventory_Table[[#This Row],[Last_Order_Date]]</f>
        <v>682</v>
      </c>
    </row>
    <row r="882" spans="1:22" x14ac:dyDescent="0.35">
      <c r="A882" t="s">
        <v>567</v>
      </c>
      <c r="B882" t="s">
        <v>65</v>
      </c>
      <c r="C882" t="s">
        <v>357</v>
      </c>
      <c r="D882" t="s">
        <v>3457</v>
      </c>
      <c r="E882" t="s">
        <v>30</v>
      </c>
      <c r="F882" t="s">
        <v>3458</v>
      </c>
      <c r="G882" t="s">
        <v>3459</v>
      </c>
      <c r="H882" s="1">
        <v>46231</v>
      </c>
      <c r="I882" s="6">
        <v>45427</v>
      </c>
      <c r="J882" s="6">
        <v>46206</v>
      </c>
      <c r="K882">
        <v>13</v>
      </c>
      <c r="L882">
        <v>88</v>
      </c>
      <c r="M882">
        <v>7</v>
      </c>
      <c r="N882" s="8">
        <v>9.5</v>
      </c>
      <c r="O882">
        <v>24</v>
      </c>
      <c r="P882">
        <v>21</v>
      </c>
      <c r="Q882" s="3">
        <v>-0.51</v>
      </c>
      <c r="R882">
        <f>Inventory_Table[[#This Row],[Stock_Quantity]]*Inventory_Table[[#This Row],[Unit_Price]]</f>
        <v>123.5</v>
      </c>
      <c r="S882">
        <f>Inventory_Table[[#This Row],[Sales_Volume]]*Inventory_Table[[#This Row],[Unit_Price]]</f>
        <v>228</v>
      </c>
      <c r="T882" t="str">
        <f>IF(Inventory_Table[[#This Row],[Stock_Quantity]]&lt;=Inventory_Table[[#This Row],[Reorder_Level]],"REORDER","OK")</f>
        <v>REORDER</v>
      </c>
      <c r="U882" t="s">
        <v>3836</v>
      </c>
      <c r="V882" s="14">
        <f ca="1">TODAY()-Inventory_Table[[#This Row],[Last_Order_Date]]</f>
        <v>749</v>
      </c>
    </row>
    <row r="883" spans="1:22" x14ac:dyDescent="0.35">
      <c r="A883" t="s">
        <v>58</v>
      </c>
      <c r="B883" t="s">
        <v>18</v>
      </c>
      <c r="C883" t="s">
        <v>672</v>
      </c>
      <c r="D883" t="s">
        <v>3460</v>
      </c>
      <c r="E883" t="s">
        <v>68</v>
      </c>
      <c r="F883" t="s">
        <v>3461</v>
      </c>
      <c r="G883" t="s">
        <v>3462</v>
      </c>
      <c r="H883" s="1">
        <v>46231</v>
      </c>
      <c r="I883" s="6">
        <v>45409</v>
      </c>
      <c r="J883" s="6">
        <v>46095</v>
      </c>
      <c r="K883">
        <v>90</v>
      </c>
      <c r="L883">
        <v>92</v>
      </c>
      <c r="M883">
        <v>56</v>
      </c>
      <c r="N883" s="8">
        <v>2.5</v>
      </c>
      <c r="O883">
        <v>71</v>
      </c>
      <c r="P883">
        <v>13</v>
      </c>
      <c r="Q883" s="3">
        <v>0.13</v>
      </c>
      <c r="R883">
        <f>Inventory_Table[[#This Row],[Stock_Quantity]]*Inventory_Table[[#This Row],[Unit_Price]]</f>
        <v>225</v>
      </c>
      <c r="S883">
        <f>Inventory_Table[[#This Row],[Sales_Volume]]*Inventory_Table[[#This Row],[Unit_Price]]</f>
        <v>177.5</v>
      </c>
      <c r="T883" t="str">
        <f>IF(Inventory_Table[[#This Row],[Stock_Quantity]]&lt;=Inventory_Table[[#This Row],[Reorder_Level]],"REORDER","OK")</f>
        <v>REORDER</v>
      </c>
      <c r="U883" t="s">
        <v>3838</v>
      </c>
      <c r="V883" s="14">
        <f ca="1">TODAY()-Inventory_Table[[#This Row],[Last_Order_Date]]</f>
        <v>767</v>
      </c>
    </row>
    <row r="884" spans="1:22" x14ac:dyDescent="0.35">
      <c r="A884" t="s">
        <v>270</v>
      </c>
      <c r="B884" t="s">
        <v>36</v>
      </c>
      <c r="C884" t="s">
        <v>1360</v>
      </c>
      <c r="D884" t="s">
        <v>3463</v>
      </c>
      <c r="E884" t="s">
        <v>68</v>
      </c>
      <c r="F884" t="s">
        <v>3464</v>
      </c>
      <c r="G884" t="s">
        <v>3465</v>
      </c>
      <c r="H884" s="1">
        <v>46231</v>
      </c>
      <c r="I884" s="6">
        <v>45542</v>
      </c>
      <c r="J884" s="6">
        <v>46260</v>
      </c>
      <c r="K884">
        <v>43</v>
      </c>
      <c r="L884">
        <v>73</v>
      </c>
      <c r="M884">
        <v>14</v>
      </c>
      <c r="N884" s="8">
        <v>4</v>
      </c>
      <c r="O884">
        <v>59</v>
      </c>
      <c r="P884">
        <v>65</v>
      </c>
      <c r="Q884" s="3">
        <v>0.82</v>
      </c>
      <c r="R884">
        <f>Inventory_Table[[#This Row],[Stock_Quantity]]*Inventory_Table[[#This Row],[Unit_Price]]</f>
        <v>172</v>
      </c>
      <c r="S884">
        <f>Inventory_Table[[#This Row],[Sales_Volume]]*Inventory_Table[[#This Row],[Unit_Price]]</f>
        <v>236</v>
      </c>
      <c r="T884" t="str">
        <f>IF(Inventory_Table[[#This Row],[Stock_Quantity]]&lt;=Inventory_Table[[#This Row],[Reorder_Level]],"REORDER","OK")</f>
        <v>REORDER</v>
      </c>
      <c r="U884" t="s">
        <v>3836</v>
      </c>
      <c r="V884" s="14">
        <f ca="1">TODAY()-Inventory_Table[[#This Row],[Last_Order_Date]]</f>
        <v>634</v>
      </c>
    </row>
    <row r="885" spans="1:22" x14ac:dyDescent="0.35">
      <c r="A885" t="s">
        <v>1201</v>
      </c>
      <c r="B885" t="s">
        <v>18</v>
      </c>
      <c r="C885" t="s">
        <v>1004</v>
      </c>
      <c r="D885" t="s">
        <v>3466</v>
      </c>
      <c r="E885" t="s">
        <v>21</v>
      </c>
      <c r="F885" t="s">
        <v>3467</v>
      </c>
      <c r="G885" t="s">
        <v>3468</v>
      </c>
      <c r="H885" s="1">
        <v>46231</v>
      </c>
      <c r="I885" s="6">
        <v>45588</v>
      </c>
      <c r="J885" s="6">
        <v>46216</v>
      </c>
      <c r="K885">
        <v>85</v>
      </c>
      <c r="L885">
        <v>54</v>
      </c>
      <c r="M885">
        <v>18</v>
      </c>
      <c r="N885" s="8">
        <v>4</v>
      </c>
      <c r="O885">
        <v>85</v>
      </c>
      <c r="P885">
        <v>44</v>
      </c>
      <c r="Q885" s="3">
        <v>-0.1</v>
      </c>
      <c r="R885">
        <f>Inventory_Table[[#This Row],[Stock_Quantity]]*Inventory_Table[[#This Row],[Unit_Price]]</f>
        <v>340</v>
      </c>
      <c r="S885">
        <f>Inventory_Table[[#This Row],[Sales_Volume]]*Inventory_Table[[#This Row],[Unit_Price]]</f>
        <v>340</v>
      </c>
      <c r="T885" t="str">
        <f>IF(Inventory_Table[[#This Row],[Stock_Quantity]]&lt;=Inventory_Table[[#This Row],[Reorder_Level]],"REORDER","OK")</f>
        <v>OK</v>
      </c>
      <c r="U885" t="s">
        <v>3836</v>
      </c>
      <c r="V885" s="14">
        <f ca="1">TODAY()-Inventory_Table[[#This Row],[Last_Order_Date]]</f>
        <v>588</v>
      </c>
    </row>
    <row r="886" spans="1:22" x14ac:dyDescent="0.35">
      <c r="A886" t="s">
        <v>135</v>
      </c>
      <c r="B886" t="s">
        <v>36</v>
      </c>
      <c r="C886" t="s">
        <v>1714</v>
      </c>
      <c r="D886" t="s">
        <v>3469</v>
      </c>
      <c r="E886" t="s">
        <v>21</v>
      </c>
      <c r="F886" t="s">
        <v>3470</v>
      </c>
      <c r="G886" t="s">
        <v>3471</v>
      </c>
      <c r="H886" s="1">
        <v>46232</v>
      </c>
      <c r="I886" s="6">
        <v>45393</v>
      </c>
      <c r="J886" s="6">
        <v>46290</v>
      </c>
      <c r="K886">
        <v>44</v>
      </c>
      <c r="L886">
        <v>84</v>
      </c>
      <c r="M886">
        <v>63</v>
      </c>
      <c r="N886" s="8">
        <v>2.5</v>
      </c>
      <c r="O886">
        <v>51</v>
      </c>
      <c r="P886">
        <v>67</v>
      </c>
      <c r="Q886" s="3">
        <v>0.48</v>
      </c>
      <c r="R886">
        <f>Inventory_Table[[#This Row],[Stock_Quantity]]*Inventory_Table[[#This Row],[Unit_Price]]</f>
        <v>110</v>
      </c>
      <c r="S886">
        <f>Inventory_Table[[#This Row],[Sales_Volume]]*Inventory_Table[[#This Row],[Unit_Price]]</f>
        <v>127.5</v>
      </c>
      <c r="T886" t="str">
        <f>IF(Inventory_Table[[#This Row],[Stock_Quantity]]&lt;=Inventory_Table[[#This Row],[Reorder_Level]],"REORDER","OK")</f>
        <v>REORDER</v>
      </c>
      <c r="U886" t="s">
        <v>3836</v>
      </c>
      <c r="V886" s="14">
        <f ca="1">TODAY()-Inventory_Table[[#This Row],[Last_Order_Date]]</f>
        <v>783</v>
      </c>
    </row>
    <row r="887" spans="1:22" x14ac:dyDescent="0.35">
      <c r="A887" t="s">
        <v>129</v>
      </c>
      <c r="B887" t="s">
        <v>18</v>
      </c>
      <c r="C887" t="s">
        <v>66</v>
      </c>
      <c r="D887" t="s">
        <v>3472</v>
      </c>
      <c r="E887" t="s">
        <v>68</v>
      </c>
      <c r="F887" t="s">
        <v>3473</v>
      </c>
      <c r="G887" t="s">
        <v>3474</v>
      </c>
      <c r="H887" s="1">
        <v>46232</v>
      </c>
      <c r="I887" s="6">
        <v>45663</v>
      </c>
      <c r="J887" s="6">
        <v>46428</v>
      </c>
      <c r="K887">
        <v>26</v>
      </c>
      <c r="L887">
        <v>95</v>
      </c>
      <c r="M887">
        <v>36</v>
      </c>
      <c r="N887" s="8">
        <v>4.5</v>
      </c>
      <c r="O887">
        <v>92</v>
      </c>
      <c r="P887">
        <v>14</v>
      </c>
      <c r="Q887" s="3">
        <v>-0.31</v>
      </c>
      <c r="R887">
        <f>Inventory_Table[[#This Row],[Stock_Quantity]]*Inventory_Table[[#This Row],[Unit_Price]]</f>
        <v>117</v>
      </c>
      <c r="S887">
        <f>Inventory_Table[[#This Row],[Sales_Volume]]*Inventory_Table[[#This Row],[Unit_Price]]</f>
        <v>414</v>
      </c>
      <c r="T887" t="str">
        <f>IF(Inventory_Table[[#This Row],[Stock_Quantity]]&lt;=Inventory_Table[[#This Row],[Reorder_Level]],"REORDER","OK")</f>
        <v>REORDER</v>
      </c>
      <c r="U887" t="s">
        <v>3836</v>
      </c>
      <c r="V887" s="14">
        <f ca="1">TODAY()-Inventory_Table[[#This Row],[Last_Order_Date]]</f>
        <v>513</v>
      </c>
    </row>
    <row r="888" spans="1:22" x14ac:dyDescent="0.35">
      <c r="A888" t="s">
        <v>122</v>
      </c>
      <c r="B888" t="s">
        <v>18</v>
      </c>
      <c r="C888" t="s">
        <v>2122</v>
      </c>
      <c r="D888" t="s">
        <v>3475</v>
      </c>
      <c r="E888" t="s">
        <v>21</v>
      </c>
      <c r="F888" t="s">
        <v>3476</v>
      </c>
      <c r="G888" t="s">
        <v>3477</v>
      </c>
      <c r="H888" s="1">
        <v>46232</v>
      </c>
      <c r="I888" s="6">
        <v>45692</v>
      </c>
      <c r="J888" s="6">
        <v>46407</v>
      </c>
      <c r="K888">
        <v>86</v>
      </c>
      <c r="L888">
        <v>66</v>
      </c>
      <c r="M888">
        <v>24</v>
      </c>
      <c r="N888" s="8">
        <v>2.5</v>
      </c>
      <c r="O888">
        <v>30</v>
      </c>
      <c r="P888">
        <v>6</v>
      </c>
      <c r="Q888" s="3">
        <v>0.85</v>
      </c>
      <c r="R888">
        <f>Inventory_Table[[#This Row],[Stock_Quantity]]*Inventory_Table[[#This Row],[Unit_Price]]</f>
        <v>215</v>
      </c>
      <c r="S888">
        <f>Inventory_Table[[#This Row],[Sales_Volume]]*Inventory_Table[[#This Row],[Unit_Price]]</f>
        <v>75</v>
      </c>
      <c r="T888" t="str">
        <f>IF(Inventory_Table[[#This Row],[Stock_Quantity]]&lt;=Inventory_Table[[#This Row],[Reorder_Level]],"REORDER","OK")</f>
        <v>OK</v>
      </c>
      <c r="U888" t="s">
        <v>3836</v>
      </c>
      <c r="V888" s="14">
        <f ca="1">TODAY()-Inventory_Table[[#This Row],[Last_Order_Date]]</f>
        <v>484</v>
      </c>
    </row>
    <row r="889" spans="1:22" x14ac:dyDescent="0.35">
      <c r="A889" t="s">
        <v>113</v>
      </c>
      <c r="B889" t="s">
        <v>114</v>
      </c>
      <c r="C889" t="s">
        <v>838</v>
      </c>
      <c r="D889" t="s">
        <v>3478</v>
      </c>
      <c r="E889" t="s">
        <v>21</v>
      </c>
      <c r="F889" t="s">
        <v>3479</v>
      </c>
      <c r="G889" t="s">
        <v>3480</v>
      </c>
      <c r="H889" s="1">
        <v>46232</v>
      </c>
      <c r="I889" s="6">
        <v>45638</v>
      </c>
      <c r="J889" s="6">
        <v>46356</v>
      </c>
      <c r="K889">
        <v>40</v>
      </c>
      <c r="L889">
        <v>91</v>
      </c>
      <c r="M889">
        <v>24</v>
      </c>
      <c r="N889" s="8">
        <v>4</v>
      </c>
      <c r="O889">
        <v>28</v>
      </c>
      <c r="P889">
        <v>47</v>
      </c>
      <c r="Q889" s="3">
        <v>0.8</v>
      </c>
      <c r="R889">
        <f>Inventory_Table[[#This Row],[Stock_Quantity]]*Inventory_Table[[#This Row],[Unit_Price]]</f>
        <v>160</v>
      </c>
      <c r="S889">
        <f>Inventory_Table[[#This Row],[Sales_Volume]]*Inventory_Table[[#This Row],[Unit_Price]]</f>
        <v>112</v>
      </c>
      <c r="T889" t="str">
        <f>IF(Inventory_Table[[#This Row],[Stock_Quantity]]&lt;=Inventory_Table[[#This Row],[Reorder_Level]],"REORDER","OK")</f>
        <v>REORDER</v>
      </c>
      <c r="U889" t="s">
        <v>3836</v>
      </c>
      <c r="V889" s="14">
        <f ca="1">TODAY()-Inventory_Table[[#This Row],[Last_Order_Date]]</f>
        <v>538</v>
      </c>
    </row>
    <row r="890" spans="1:22" x14ac:dyDescent="0.35">
      <c r="A890" t="s">
        <v>496</v>
      </c>
      <c r="B890" t="s">
        <v>18</v>
      </c>
      <c r="C890" t="s">
        <v>327</v>
      </c>
      <c r="D890" t="s">
        <v>3481</v>
      </c>
      <c r="E890" t="s">
        <v>30</v>
      </c>
      <c r="F890" t="s">
        <v>3482</v>
      </c>
      <c r="G890" t="s">
        <v>3483</v>
      </c>
      <c r="H890" s="1">
        <v>46233</v>
      </c>
      <c r="I890" s="6">
        <v>45432</v>
      </c>
      <c r="J890" s="6">
        <v>46224</v>
      </c>
      <c r="K890">
        <v>88</v>
      </c>
      <c r="L890">
        <v>99</v>
      </c>
      <c r="M890">
        <v>41</v>
      </c>
      <c r="N890" s="8">
        <v>5.5</v>
      </c>
      <c r="O890">
        <v>93</v>
      </c>
      <c r="P890">
        <v>99</v>
      </c>
      <c r="Q890" s="3">
        <v>-0.68</v>
      </c>
      <c r="R890">
        <f>Inventory_Table[[#This Row],[Stock_Quantity]]*Inventory_Table[[#This Row],[Unit_Price]]</f>
        <v>484</v>
      </c>
      <c r="S890">
        <f>Inventory_Table[[#This Row],[Sales_Volume]]*Inventory_Table[[#This Row],[Unit_Price]]</f>
        <v>511.5</v>
      </c>
      <c r="T890" t="str">
        <f>IF(Inventory_Table[[#This Row],[Stock_Quantity]]&lt;=Inventory_Table[[#This Row],[Reorder_Level]],"REORDER","OK")</f>
        <v>REORDER</v>
      </c>
      <c r="U890" t="s">
        <v>3836</v>
      </c>
      <c r="V890" s="14">
        <f ca="1">TODAY()-Inventory_Table[[#This Row],[Last_Order_Date]]</f>
        <v>744</v>
      </c>
    </row>
    <row r="891" spans="1:22" x14ac:dyDescent="0.35">
      <c r="A891" t="s">
        <v>567</v>
      </c>
      <c r="B891" t="s">
        <v>65</v>
      </c>
      <c r="C891" t="s">
        <v>1519</v>
      </c>
      <c r="D891" t="s">
        <v>3484</v>
      </c>
      <c r="E891" t="s">
        <v>30</v>
      </c>
      <c r="F891" t="s">
        <v>3485</v>
      </c>
      <c r="G891" t="s">
        <v>3486</v>
      </c>
      <c r="H891" s="1">
        <v>46233</v>
      </c>
      <c r="I891" s="6">
        <v>45596</v>
      </c>
      <c r="J891" s="6">
        <v>46223</v>
      </c>
      <c r="K891">
        <v>37</v>
      </c>
      <c r="L891">
        <v>47</v>
      </c>
      <c r="M891">
        <v>34</v>
      </c>
      <c r="N891" s="8">
        <v>9.5</v>
      </c>
      <c r="O891">
        <v>38</v>
      </c>
      <c r="P891">
        <v>89</v>
      </c>
      <c r="Q891" s="3">
        <v>-0.06</v>
      </c>
      <c r="R891">
        <f>Inventory_Table[[#This Row],[Stock_Quantity]]*Inventory_Table[[#This Row],[Unit_Price]]</f>
        <v>351.5</v>
      </c>
      <c r="S891">
        <f>Inventory_Table[[#This Row],[Sales_Volume]]*Inventory_Table[[#This Row],[Unit_Price]]</f>
        <v>361</v>
      </c>
      <c r="T891" t="str">
        <f>IF(Inventory_Table[[#This Row],[Stock_Quantity]]&lt;=Inventory_Table[[#This Row],[Reorder_Level]],"REORDER","OK")</f>
        <v>REORDER</v>
      </c>
      <c r="U891" t="s">
        <v>3836</v>
      </c>
      <c r="V891" s="14">
        <f ca="1">TODAY()-Inventory_Table[[#This Row],[Last_Order_Date]]</f>
        <v>580</v>
      </c>
    </row>
    <row r="892" spans="1:22" x14ac:dyDescent="0.35">
      <c r="A892" t="s">
        <v>331</v>
      </c>
      <c r="B892" t="s">
        <v>27</v>
      </c>
      <c r="C892" t="s">
        <v>1445</v>
      </c>
      <c r="D892" t="s">
        <v>3487</v>
      </c>
      <c r="E892" t="s">
        <v>68</v>
      </c>
      <c r="F892" t="s">
        <v>3488</v>
      </c>
      <c r="G892" t="s">
        <v>3489</v>
      </c>
      <c r="H892" s="1">
        <v>46233</v>
      </c>
      <c r="I892" s="6">
        <v>45545</v>
      </c>
      <c r="J892" s="6">
        <v>46082</v>
      </c>
      <c r="K892">
        <v>21</v>
      </c>
      <c r="L892">
        <v>25</v>
      </c>
      <c r="M892">
        <v>39</v>
      </c>
      <c r="N892" s="8">
        <v>4</v>
      </c>
      <c r="O892">
        <v>79</v>
      </c>
      <c r="P892">
        <v>30</v>
      </c>
      <c r="Q892" s="3">
        <v>-1.34</v>
      </c>
      <c r="R892">
        <f>Inventory_Table[[#This Row],[Stock_Quantity]]*Inventory_Table[[#This Row],[Unit_Price]]</f>
        <v>84</v>
      </c>
      <c r="S892">
        <f>Inventory_Table[[#This Row],[Sales_Volume]]*Inventory_Table[[#This Row],[Unit_Price]]</f>
        <v>316</v>
      </c>
      <c r="T892" t="str">
        <f>IF(Inventory_Table[[#This Row],[Stock_Quantity]]&lt;=Inventory_Table[[#This Row],[Reorder_Level]],"REORDER","OK")</f>
        <v>REORDER</v>
      </c>
      <c r="U892" t="s">
        <v>3838</v>
      </c>
      <c r="V892" s="14">
        <f ca="1">TODAY()-Inventory_Table[[#This Row],[Last_Order_Date]]</f>
        <v>631</v>
      </c>
    </row>
    <row r="893" spans="1:22" x14ac:dyDescent="0.35">
      <c r="A893" t="s">
        <v>17</v>
      </c>
      <c r="B893" t="s">
        <v>18</v>
      </c>
      <c r="C893" t="s">
        <v>1411</v>
      </c>
      <c r="D893" t="s">
        <v>3490</v>
      </c>
      <c r="E893" t="s">
        <v>21</v>
      </c>
      <c r="F893" t="s">
        <v>3491</v>
      </c>
      <c r="G893" t="s">
        <v>3492</v>
      </c>
      <c r="H893" s="1">
        <v>46234</v>
      </c>
      <c r="I893" s="6">
        <v>45500</v>
      </c>
      <c r="J893" s="6">
        <v>46210</v>
      </c>
      <c r="K893">
        <v>70</v>
      </c>
      <c r="L893">
        <v>31</v>
      </c>
      <c r="M893">
        <v>55</v>
      </c>
      <c r="N893" s="8">
        <v>4.5</v>
      </c>
      <c r="O893">
        <v>23</v>
      </c>
      <c r="P893">
        <v>80</v>
      </c>
      <c r="Q893" s="3">
        <v>0.62</v>
      </c>
      <c r="R893">
        <f>Inventory_Table[[#This Row],[Stock_Quantity]]*Inventory_Table[[#This Row],[Unit_Price]]</f>
        <v>315</v>
      </c>
      <c r="S893">
        <f>Inventory_Table[[#This Row],[Sales_Volume]]*Inventory_Table[[#This Row],[Unit_Price]]</f>
        <v>103.5</v>
      </c>
      <c r="T893" t="str">
        <f>IF(Inventory_Table[[#This Row],[Stock_Quantity]]&lt;=Inventory_Table[[#This Row],[Reorder_Level]],"REORDER","OK")</f>
        <v>OK</v>
      </c>
      <c r="U893" t="s">
        <v>3836</v>
      </c>
      <c r="V893" s="14">
        <f ca="1">TODAY()-Inventory_Table[[#This Row],[Last_Order_Date]]</f>
        <v>676</v>
      </c>
    </row>
    <row r="894" spans="1:22" x14ac:dyDescent="0.35">
      <c r="A894" t="s">
        <v>690</v>
      </c>
      <c r="B894" t="s">
        <v>36</v>
      </c>
      <c r="C894" t="s">
        <v>377</v>
      </c>
      <c r="D894" t="s">
        <v>3493</v>
      </c>
      <c r="E894" t="s">
        <v>30</v>
      </c>
      <c r="F894" t="s">
        <v>3494</v>
      </c>
      <c r="G894" t="s">
        <v>3495</v>
      </c>
      <c r="H894" s="1">
        <v>46234</v>
      </c>
      <c r="I894" s="6">
        <v>45687</v>
      </c>
      <c r="J894" s="6">
        <v>46384</v>
      </c>
      <c r="K894">
        <v>65</v>
      </c>
      <c r="L894">
        <v>94</v>
      </c>
      <c r="M894">
        <v>4</v>
      </c>
      <c r="N894" s="8">
        <v>2.5</v>
      </c>
      <c r="O894">
        <v>66</v>
      </c>
      <c r="P894">
        <v>36</v>
      </c>
      <c r="Q894" s="3">
        <v>-2.48</v>
      </c>
      <c r="R894">
        <f>Inventory_Table[[#This Row],[Stock_Quantity]]*Inventory_Table[[#This Row],[Unit_Price]]</f>
        <v>162.5</v>
      </c>
      <c r="S894">
        <f>Inventory_Table[[#This Row],[Sales_Volume]]*Inventory_Table[[#This Row],[Unit_Price]]</f>
        <v>165</v>
      </c>
      <c r="T894" t="str">
        <f>IF(Inventory_Table[[#This Row],[Stock_Quantity]]&lt;=Inventory_Table[[#This Row],[Reorder_Level]],"REORDER","OK")</f>
        <v>REORDER</v>
      </c>
      <c r="U894" t="s">
        <v>3836</v>
      </c>
      <c r="V894" s="14">
        <f ca="1">TODAY()-Inventory_Table[[#This Row],[Last_Order_Date]]</f>
        <v>489</v>
      </c>
    </row>
    <row r="895" spans="1:22" x14ac:dyDescent="0.35">
      <c r="A895" t="s">
        <v>741</v>
      </c>
      <c r="B895" t="s">
        <v>27</v>
      </c>
      <c r="C895" t="s">
        <v>1531</v>
      </c>
      <c r="D895" t="s">
        <v>3496</v>
      </c>
      <c r="E895" t="s">
        <v>21</v>
      </c>
      <c r="F895" t="s">
        <v>3497</v>
      </c>
      <c r="G895" t="s">
        <v>3498</v>
      </c>
      <c r="H895" s="1">
        <v>46234</v>
      </c>
      <c r="I895" s="6">
        <v>45646</v>
      </c>
      <c r="J895" s="6">
        <v>46312</v>
      </c>
      <c r="K895">
        <v>89</v>
      </c>
      <c r="L895">
        <v>79</v>
      </c>
      <c r="M895">
        <v>66</v>
      </c>
      <c r="N895" s="8">
        <v>5</v>
      </c>
      <c r="O895">
        <v>91</v>
      </c>
      <c r="P895">
        <v>31</v>
      </c>
      <c r="Q895" s="3">
        <v>0.45</v>
      </c>
      <c r="R895">
        <f>Inventory_Table[[#This Row],[Stock_Quantity]]*Inventory_Table[[#This Row],[Unit_Price]]</f>
        <v>445</v>
      </c>
      <c r="S895">
        <f>Inventory_Table[[#This Row],[Sales_Volume]]*Inventory_Table[[#This Row],[Unit_Price]]</f>
        <v>455</v>
      </c>
      <c r="T895" t="str">
        <f>IF(Inventory_Table[[#This Row],[Stock_Quantity]]&lt;=Inventory_Table[[#This Row],[Reorder_Level]],"REORDER","OK")</f>
        <v>OK</v>
      </c>
      <c r="U895" t="s">
        <v>3836</v>
      </c>
      <c r="V895" s="14">
        <f ca="1">TODAY()-Inventory_Table[[#This Row],[Last_Order_Date]]</f>
        <v>530</v>
      </c>
    </row>
    <row r="896" spans="1:22" x14ac:dyDescent="0.35">
      <c r="A896" t="s">
        <v>337</v>
      </c>
      <c r="B896" t="s">
        <v>27</v>
      </c>
      <c r="C896" t="s">
        <v>862</v>
      </c>
      <c r="D896" t="s">
        <v>3499</v>
      </c>
      <c r="E896" t="s">
        <v>21</v>
      </c>
      <c r="F896" t="s">
        <v>3500</v>
      </c>
      <c r="G896" t="s">
        <v>3501</v>
      </c>
      <c r="H896" s="1">
        <v>46247</v>
      </c>
      <c r="I896" s="6">
        <v>45471</v>
      </c>
      <c r="J896" s="6">
        <v>46086</v>
      </c>
      <c r="K896">
        <v>47</v>
      </c>
      <c r="L896">
        <v>48</v>
      </c>
      <c r="M896">
        <v>73</v>
      </c>
      <c r="N896" s="8">
        <v>6</v>
      </c>
      <c r="O896">
        <v>42</v>
      </c>
      <c r="P896">
        <v>51</v>
      </c>
      <c r="Q896" s="3">
        <v>0.66</v>
      </c>
      <c r="R896">
        <f>Inventory_Table[[#This Row],[Stock_Quantity]]*Inventory_Table[[#This Row],[Unit_Price]]</f>
        <v>282</v>
      </c>
      <c r="S896">
        <f>Inventory_Table[[#This Row],[Sales_Volume]]*Inventory_Table[[#This Row],[Unit_Price]]</f>
        <v>252</v>
      </c>
      <c r="T896" t="str">
        <f>IF(Inventory_Table[[#This Row],[Stock_Quantity]]&lt;=Inventory_Table[[#This Row],[Reorder_Level]],"REORDER","OK")</f>
        <v>REORDER</v>
      </c>
      <c r="U896" t="s">
        <v>3838</v>
      </c>
      <c r="V896" s="14">
        <f ca="1">TODAY()-Inventory_Table[[#This Row],[Last_Order_Date]]</f>
        <v>705</v>
      </c>
    </row>
    <row r="897" spans="1:22" x14ac:dyDescent="0.35">
      <c r="A897" t="s">
        <v>356</v>
      </c>
      <c r="B897" t="s">
        <v>18</v>
      </c>
      <c r="C897" t="s">
        <v>2450</v>
      </c>
      <c r="D897" t="s">
        <v>3502</v>
      </c>
      <c r="E897" t="s">
        <v>21</v>
      </c>
      <c r="F897" t="s">
        <v>3503</v>
      </c>
      <c r="G897" t="s">
        <v>3504</v>
      </c>
      <c r="H897" s="1">
        <v>46247</v>
      </c>
      <c r="I897" s="6">
        <v>45691</v>
      </c>
      <c r="J897" s="6">
        <v>46217</v>
      </c>
      <c r="K897">
        <v>70</v>
      </c>
      <c r="L897">
        <v>30</v>
      </c>
      <c r="M897">
        <v>69</v>
      </c>
      <c r="N897" s="8">
        <v>3.5</v>
      </c>
      <c r="O897">
        <v>44</v>
      </c>
      <c r="P897">
        <v>42</v>
      </c>
      <c r="Q897" s="3">
        <v>-0.21</v>
      </c>
      <c r="R897">
        <f>Inventory_Table[[#This Row],[Stock_Quantity]]*Inventory_Table[[#This Row],[Unit_Price]]</f>
        <v>245</v>
      </c>
      <c r="S897">
        <f>Inventory_Table[[#This Row],[Sales_Volume]]*Inventory_Table[[#This Row],[Unit_Price]]</f>
        <v>154</v>
      </c>
      <c r="T897" t="str">
        <f>IF(Inventory_Table[[#This Row],[Stock_Quantity]]&lt;=Inventory_Table[[#This Row],[Reorder_Level]],"REORDER","OK")</f>
        <v>OK</v>
      </c>
      <c r="U897" t="s">
        <v>3836</v>
      </c>
      <c r="V897" s="14">
        <f ca="1">TODAY()-Inventory_Table[[#This Row],[Last_Order_Date]]</f>
        <v>485</v>
      </c>
    </row>
    <row r="898" spans="1:22" x14ac:dyDescent="0.35">
      <c r="A898" t="s">
        <v>435</v>
      </c>
      <c r="B898" t="s">
        <v>18</v>
      </c>
      <c r="C898" t="s">
        <v>862</v>
      </c>
      <c r="D898" t="s">
        <v>3505</v>
      </c>
      <c r="E898" t="s">
        <v>30</v>
      </c>
      <c r="F898" t="s">
        <v>3506</v>
      </c>
      <c r="G898" t="s">
        <v>3507</v>
      </c>
      <c r="H898" s="1">
        <v>46247</v>
      </c>
      <c r="I898" s="6">
        <v>45639</v>
      </c>
      <c r="J898" s="6">
        <v>46080</v>
      </c>
      <c r="K898">
        <v>14</v>
      </c>
      <c r="L898">
        <v>66</v>
      </c>
      <c r="M898">
        <v>1</v>
      </c>
      <c r="N898" s="8">
        <v>6</v>
      </c>
      <c r="O898">
        <v>86</v>
      </c>
      <c r="P898">
        <v>15</v>
      </c>
      <c r="Q898" s="3">
        <v>0.05</v>
      </c>
      <c r="R898">
        <f>Inventory_Table[[#This Row],[Stock_Quantity]]*Inventory_Table[[#This Row],[Unit_Price]]</f>
        <v>84</v>
      </c>
      <c r="S898">
        <f>Inventory_Table[[#This Row],[Sales_Volume]]*Inventory_Table[[#This Row],[Unit_Price]]</f>
        <v>516</v>
      </c>
      <c r="T898" t="str">
        <f>IF(Inventory_Table[[#This Row],[Stock_Quantity]]&lt;=Inventory_Table[[#This Row],[Reorder_Level]],"REORDER","OK")</f>
        <v>REORDER</v>
      </c>
      <c r="U898" t="s">
        <v>3838</v>
      </c>
      <c r="V898" s="14">
        <f ca="1">TODAY()-Inventory_Table[[#This Row],[Last_Order_Date]]</f>
        <v>537</v>
      </c>
    </row>
    <row r="899" spans="1:22" x14ac:dyDescent="0.35">
      <c r="A899" t="s">
        <v>527</v>
      </c>
      <c r="B899" t="s">
        <v>65</v>
      </c>
      <c r="C899" t="s">
        <v>2381</v>
      </c>
      <c r="D899" t="s">
        <v>3508</v>
      </c>
      <c r="E899" t="s">
        <v>21</v>
      </c>
      <c r="F899" t="s">
        <v>3509</v>
      </c>
      <c r="G899" t="s">
        <v>3510</v>
      </c>
      <c r="H899" s="1">
        <v>46248</v>
      </c>
      <c r="I899" s="6">
        <v>45692</v>
      </c>
      <c r="J899" s="6">
        <v>46332</v>
      </c>
      <c r="K899">
        <v>53</v>
      </c>
      <c r="L899">
        <v>86</v>
      </c>
      <c r="M899">
        <v>54</v>
      </c>
      <c r="N899" s="8">
        <v>3</v>
      </c>
      <c r="O899">
        <v>44</v>
      </c>
      <c r="P899">
        <v>3</v>
      </c>
      <c r="Q899" s="3">
        <v>0.83</v>
      </c>
      <c r="R899">
        <f>Inventory_Table[[#This Row],[Stock_Quantity]]*Inventory_Table[[#This Row],[Unit_Price]]</f>
        <v>159</v>
      </c>
      <c r="S899">
        <f>Inventory_Table[[#This Row],[Sales_Volume]]*Inventory_Table[[#This Row],[Unit_Price]]</f>
        <v>132</v>
      </c>
      <c r="T899" t="str">
        <f>IF(Inventory_Table[[#This Row],[Stock_Quantity]]&lt;=Inventory_Table[[#This Row],[Reorder_Level]],"REORDER","OK")</f>
        <v>REORDER</v>
      </c>
      <c r="U899" t="s">
        <v>3836</v>
      </c>
      <c r="V899" s="14">
        <f ca="1">TODAY()-Inventory_Table[[#This Row],[Last_Order_Date]]</f>
        <v>484</v>
      </c>
    </row>
    <row r="900" spans="1:22" x14ac:dyDescent="0.35">
      <c r="A900" t="s">
        <v>435</v>
      </c>
      <c r="B900" t="s">
        <v>18</v>
      </c>
      <c r="C900" t="s">
        <v>2417</v>
      </c>
      <c r="D900" t="s">
        <v>3511</v>
      </c>
      <c r="E900" t="s">
        <v>68</v>
      </c>
      <c r="F900" t="s">
        <v>3512</v>
      </c>
      <c r="G900" t="s">
        <v>3513</v>
      </c>
      <c r="H900" s="1">
        <v>46248</v>
      </c>
      <c r="I900" s="6">
        <v>45458</v>
      </c>
      <c r="J900" s="6">
        <v>46308</v>
      </c>
      <c r="K900">
        <v>65</v>
      </c>
      <c r="L900">
        <v>69</v>
      </c>
      <c r="M900">
        <v>4</v>
      </c>
      <c r="N900" s="8">
        <v>6</v>
      </c>
      <c r="O900">
        <v>80</v>
      </c>
      <c r="P900">
        <v>26</v>
      </c>
      <c r="Q900" s="3">
        <v>0.93</v>
      </c>
      <c r="R900">
        <f>Inventory_Table[[#This Row],[Stock_Quantity]]*Inventory_Table[[#This Row],[Unit_Price]]</f>
        <v>390</v>
      </c>
      <c r="S900">
        <f>Inventory_Table[[#This Row],[Sales_Volume]]*Inventory_Table[[#This Row],[Unit_Price]]</f>
        <v>480</v>
      </c>
      <c r="T900" t="str">
        <f>IF(Inventory_Table[[#This Row],[Stock_Quantity]]&lt;=Inventory_Table[[#This Row],[Reorder_Level]],"REORDER","OK")</f>
        <v>REORDER</v>
      </c>
      <c r="U900" t="s">
        <v>3836</v>
      </c>
      <c r="V900" s="14">
        <f ca="1">TODAY()-Inventory_Table[[#This Row],[Last_Order_Date]]</f>
        <v>718</v>
      </c>
    </row>
    <row r="901" spans="1:22" x14ac:dyDescent="0.35">
      <c r="A901" t="s">
        <v>188</v>
      </c>
      <c r="B901" t="s">
        <v>65</v>
      </c>
      <c r="C901" t="s">
        <v>51</v>
      </c>
      <c r="D901" t="s">
        <v>3514</v>
      </c>
      <c r="E901" t="s">
        <v>30</v>
      </c>
      <c r="F901" t="s">
        <v>3515</v>
      </c>
      <c r="G901" t="s">
        <v>3516</v>
      </c>
      <c r="H901" s="1">
        <v>46248</v>
      </c>
      <c r="I901" s="6">
        <v>45483</v>
      </c>
      <c r="J901" s="6">
        <v>46386</v>
      </c>
      <c r="K901">
        <v>98</v>
      </c>
      <c r="L901">
        <v>20</v>
      </c>
      <c r="M901">
        <v>81</v>
      </c>
      <c r="N901" s="8">
        <v>4.75</v>
      </c>
      <c r="O901">
        <v>51</v>
      </c>
      <c r="P901">
        <v>23</v>
      </c>
      <c r="Q901" s="3">
        <v>0.68</v>
      </c>
      <c r="R901">
        <f>Inventory_Table[[#This Row],[Stock_Quantity]]*Inventory_Table[[#This Row],[Unit_Price]]</f>
        <v>465.5</v>
      </c>
      <c r="S901">
        <f>Inventory_Table[[#This Row],[Sales_Volume]]*Inventory_Table[[#This Row],[Unit_Price]]</f>
        <v>242.25</v>
      </c>
      <c r="T901" t="str">
        <f>IF(Inventory_Table[[#This Row],[Stock_Quantity]]&lt;=Inventory_Table[[#This Row],[Reorder_Level]],"REORDER","OK")</f>
        <v>OK</v>
      </c>
      <c r="U901" t="s">
        <v>3836</v>
      </c>
      <c r="V901" s="14">
        <f ca="1">TODAY()-Inventory_Table[[#This Row],[Last_Order_Date]]</f>
        <v>693</v>
      </c>
    </row>
    <row r="902" spans="1:22" x14ac:dyDescent="0.35">
      <c r="A902" t="s">
        <v>1371</v>
      </c>
      <c r="B902" t="s">
        <v>36</v>
      </c>
      <c r="C902" t="s">
        <v>1025</v>
      </c>
      <c r="D902" t="s">
        <v>3517</v>
      </c>
      <c r="E902" t="s">
        <v>21</v>
      </c>
      <c r="F902" t="s">
        <v>3518</v>
      </c>
      <c r="G902" t="s">
        <v>3519</v>
      </c>
      <c r="H902" s="1">
        <v>46248</v>
      </c>
      <c r="I902" s="6">
        <v>45530</v>
      </c>
      <c r="J902" s="6">
        <v>46271</v>
      </c>
      <c r="K902">
        <v>83</v>
      </c>
      <c r="L902">
        <v>35</v>
      </c>
      <c r="M902">
        <v>43</v>
      </c>
      <c r="N902" s="8">
        <v>0.2</v>
      </c>
      <c r="O902">
        <v>94</v>
      </c>
      <c r="P902">
        <v>68</v>
      </c>
      <c r="Q902" s="3">
        <v>0.55000000000000004</v>
      </c>
      <c r="R902">
        <f>Inventory_Table[[#This Row],[Stock_Quantity]]*Inventory_Table[[#This Row],[Unit_Price]]</f>
        <v>16.600000000000001</v>
      </c>
      <c r="S902">
        <f>Inventory_Table[[#This Row],[Sales_Volume]]*Inventory_Table[[#This Row],[Unit_Price]]</f>
        <v>18.8</v>
      </c>
      <c r="T902" t="str">
        <f>IF(Inventory_Table[[#This Row],[Stock_Quantity]]&lt;=Inventory_Table[[#This Row],[Reorder_Level]],"REORDER","OK")</f>
        <v>OK</v>
      </c>
      <c r="U902" t="s">
        <v>3836</v>
      </c>
      <c r="V902" s="14">
        <f ca="1">TODAY()-Inventory_Table[[#This Row],[Last_Order_Date]]</f>
        <v>646</v>
      </c>
    </row>
    <row r="903" spans="1:22" x14ac:dyDescent="0.35">
      <c r="A903" t="s">
        <v>557</v>
      </c>
      <c r="B903" t="s">
        <v>18</v>
      </c>
      <c r="C903" t="s">
        <v>513</v>
      </c>
      <c r="D903" t="s">
        <v>3520</v>
      </c>
      <c r="E903" t="s">
        <v>68</v>
      </c>
      <c r="F903" t="s">
        <v>3521</v>
      </c>
      <c r="G903" t="s">
        <v>3522</v>
      </c>
      <c r="H903" s="1">
        <v>46249</v>
      </c>
      <c r="I903" s="6">
        <v>45457</v>
      </c>
      <c r="J903" s="6">
        <v>46379</v>
      </c>
      <c r="K903">
        <v>89</v>
      </c>
      <c r="L903">
        <v>57</v>
      </c>
      <c r="M903">
        <v>92</v>
      </c>
      <c r="N903" s="8">
        <v>5</v>
      </c>
      <c r="O903">
        <v>38</v>
      </c>
      <c r="P903">
        <v>16</v>
      </c>
      <c r="Q903" s="3">
        <v>0.28000000000000003</v>
      </c>
      <c r="R903">
        <f>Inventory_Table[[#This Row],[Stock_Quantity]]*Inventory_Table[[#This Row],[Unit_Price]]</f>
        <v>445</v>
      </c>
      <c r="S903">
        <f>Inventory_Table[[#This Row],[Sales_Volume]]*Inventory_Table[[#This Row],[Unit_Price]]</f>
        <v>190</v>
      </c>
      <c r="T903" t="str">
        <f>IF(Inventory_Table[[#This Row],[Stock_Quantity]]&lt;=Inventory_Table[[#This Row],[Reorder_Level]],"REORDER","OK")</f>
        <v>OK</v>
      </c>
      <c r="U903" t="s">
        <v>3836</v>
      </c>
      <c r="V903" s="14">
        <f ca="1">TODAY()-Inventory_Table[[#This Row],[Last_Order_Date]]</f>
        <v>719</v>
      </c>
    </row>
    <row r="904" spans="1:22" x14ac:dyDescent="0.35">
      <c r="A904" t="s">
        <v>135</v>
      </c>
      <c r="B904" t="s">
        <v>36</v>
      </c>
      <c r="C904" t="s">
        <v>3523</v>
      </c>
      <c r="D904" t="s">
        <v>3524</v>
      </c>
      <c r="E904" t="s">
        <v>68</v>
      </c>
      <c r="F904" t="s">
        <v>3525</v>
      </c>
      <c r="G904" t="s">
        <v>3526</v>
      </c>
      <c r="H904" s="1">
        <v>46249</v>
      </c>
      <c r="I904" s="6">
        <v>45361</v>
      </c>
      <c r="J904" s="6">
        <v>46302</v>
      </c>
      <c r="K904">
        <v>23</v>
      </c>
      <c r="L904">
        <v>21</v>
      </c>
      <c r="M904">
        <v>59</v>
      </c>
      <c r="N904" s="8">
        <v>2.4</v>
      </c>
      <c r="O904">
        <v>81</v>
      </c>
      <c r="P904">
        <v>8</v>
      </c>
      <c r="Q904" s="3">
        <v>0.57999999999999996</v>
      </c>
      <c r="R904">
        <f>Inventory_Table[[#This Row],[Stock_Quantity]]*Inventory_Table[[#This Row],[Unit_Price]]</f>
        <v>55.199999999999996</v>
      </c>
      <c r="S904">
        <f>Inventory_Table[[#This Row],[Sales_Volume]]*Inventory_Table[[#This Row],[Unit_Price]]</f>
        <v>194.4</v>
      </c>
      <c r="T904" t="str">
        <f>IF(Inventory_Table[[#This Row],[Stock_Quantity]]&lt;=Inventory_Table[[#This Row],[Reorder_Level]],"REORDER","OK")</f>
        <v>OK</v>
      </c>
      <c r="U904" t="s">
        <v>3836</v>
      </c>
      <c r="V904" s="14">
        <f ca="1">TODAY()-Inventory_Table[[#This Row],[Last_Order_Date]]</f>
        <v>815</v>
      </c>
    </row>
    <row r="905" spans="1:22" x14ac:dyDescent="0.35">
      <c r="A905" t="s">
        <v>591</v>
      </c>
      <c r="B905" t="s">
        <v>36</v>
      </c>
      <c r="C905" t="s">
        <v>1554</v>
      </c>
      <c r="D905" t="s">
        <v>3527</v>
      </c>
      <c r="E905" t="s">
        <v>30</v>
      </c>
      <c r="F905" t="s">
        <v>3528</v>
      </c>
      <c r="G905" t="s">
        <v>3529</v>
      </c>
      <c r="H905" s="1">
        <v>46249</v>
      </c>
      <c r="I905" s="6">
        <v>45480</v>
      </c>
      <c r="J905" s="6">
        <v>46193</v>
      </c>
      <c r="K905">
        <v>39</v>
      </c>
      <c r="L905">
        <v>55</v>
      </c>
      <c r="M905">
        <v>39</v>
      </c>
      <c r="N905" s="8">
        <v>3</v>
      </c>
      <c r="O905">
        <v>47</v>
      </c>
      <c r="P905">
        <v>59</v>
      </c>
      <c r="Q905" s="3">
        <v>0.9</v>
      </c>
      <c r="R905">
        <f>Inventory_Table[[#This Row],[Stock_Quantity]]*Inventory_Table[[#This Row],[Unit_Price]]</f>
        <v>117</v>
      </c>
      <c r="S905">
        <f>Inventory_Table[[#This Row],[Sales_Volume]]*Inventory_Table[[#This Row],[Unit_Price]]</f>
        <v>141</v>
      </c>
      <c r="T905" t="str">
        <f>IF(Inventory_Table[[#This Row],[Stock_Quantity]]&lt;=Inventory_Table[[#This Row],[Reorder_Level]],"REORDER","OK")</f>
        <v>REORDER</v>
      </c>
      <c r="U905" t="s">
        <v>3837</v>
      </c>
      <c r="V905" s="14">
        <f ca="1">TODAY()-Inventory_Table[[#This Row],[Last_Order_Date]]</f>
        <v>696</v>
      </c>
    </row>
    <row r="906" spans="1:22" x14ac:dyDescent="0.35">
      <c r="A906" t="s">
        <v>413</v>
      </c>
      <c r="B906" t="s">
        <v>65</v>
      </c>
      <c r="C906" t="s">
        <v>90</v>
      </c>
      <c r="D906" t="s">
        <v>3530</v>
      </c>
      <c r="E906" t="s">
        <v>21</v>
      </c>
      <c r="F906" t="s">
        <v>3531</v>
      </c>
      <c r="G906" t="s">
        <v>3532</v>
      </c>
      <c r="H906" s="1">
        <v>46250</v>
      </c>
      <c r="I906" s="6">
        <v>45472</v>
      </c>
      <c r="J906" s="6">
        <v>46284</v>
      </c>
      <c r="K906">
        <v>22</v>
      </c>
      <c r="L906">
        <v>72</v>
      </c>
      <c r="M906">
        <v>70</v>
      </c>
      <c r="N906" s="8">
        <v>4.5</v>
      </c>
      <c r="O906">
        <v>32</v>
      </c>
      <c r="P906">
        <v>19</v>
      </c>
      <c r="Q906" s="3">
        <v>-0.26</v>
      </c>
      <c r="R906">
        <f>Inventory_Table[[#This Row],[Stock_Quantity]]*Inventory_Table[[#This Row],[Unit_Price]]</f>
        <v>99</v>
      </c>
      <c r="S906">
        <f>Inventory_Table[[#This Row],[Sales_Volume]]*Inventory_Table[[#This Row],[Unit_Price]]</f>
        <v>144</v>
      </c>
      <c r="T906" t="str">
        <f>IF(Inventory_Table[[#This Row],[Stock_Quantity]]&lt;=Inventory_Table[[#This Row],[Reorder_Level]],"REORDER","OK")</f>
        <v>REORDER</v>
      </c>
      <c r="U906" t="s">
        <v>3836</v>
      </c>
      <c r="V906" s="14">
        <f ca="1">TODAY()-Inventory_Table[[#This Row],[Last_Order_Date]]</f>
        <v>704</v>
      </c>
    </row>
    <row r="907" spans="1:22" x14ac:dyDescent="0.35">
      <c r="A907" t="s">
        <v>331</v>
      </c>
      <c r="B907" t="s">
        <v>27</v>
      </c>
      <c r="C907" t="s">
        <v>3533</v>
      </c>
      <c r="D907" t="s">
        <v>3534</v>
      </c>
      <c r="E907" t="s">
        <v>21</v>
      </c>
      <c r="F907" t="s">
        <v>3535</v>
      </c>
      <c r="G907" t="s">
        <v>3536</v>
      </c>
      <c r="H907" s="1">
        <v>46250</v>
      </c>
      <c r="I907" s="6">
        <v>45682</v>
      </c>
      <c r="J907" s="6">
        <v>46264</v>
      </c>
      <c r="K907">
        <v>79</v>
      </c>
      <c r="L907">
        <v>3</v>
      </c>
      <c r="M907">
        <v>36</v>
      </c>
      <c r="N907" s="8">
        <v>4</v>
      </c>
      <c r="O907">
        <v>46</v>
      </c>
      <c r="P907">
        <v>29</v>
      </c>
      <c r="Q907" s="3">
        <v>0.41</v>
      </c>
      <c r="R907">
        <f>Inventory_Table[[#This Row],[Stock_Quantity]]*Inventory_Table[[#This Row],[Unit_Price]]</f>
        <v>316</v>
      </c>
      <c r="S907">
        <f>Inventory_Table[[#This Row],[Sales_Volume]]*Inventory_Table[[#This Row],[Unit_Price]]</f>
        <v>184</v>
      </c>
      <c r="T907" t="str">
        <f>IF(Inventory_Table[[#This Row],[Stock_Quantity]]&lt;=Inventory_Table[[#This Row],[Reorder_Level]],"REORDER","OK")</f>
        <v>OK</v>
      </c>
      <c r="U907" t="s">
        <v>3836</v>
      </c>
      <c r="V907" s="14">
        <f ca="1">TODAY()-Inventory_Table[[#This Row],[Last_Order_Date]]</f>
        <v>494</v>
      </c>
    </row>
    <row r="908" spans="1:22" x14ac:dyDescent="0.35">
      <c r="A908" t="s">
        <v>371</v>
      </c>
      <c r="B908" t="s">
        <v>75</v>
      </c>
      <c r="C908" t="s">
        <v>2616</v>
      </c>
      <c r="D908" t="s">
        <v>3537</v>
      </c>
      <c r="E908" t="s">
        <v>68</v>
      </c>
      <c r="F908" t="s">
        <v>3538</v>
      </c>
      <c r="G908" t="s">
        <v>3539</v>
      </c>
      <c r="H908" s="1">
        <v>46251</v>
      </c>
      <c r="I908" s="6">
        <v>45566</v>
      </c>
      <c r="J908" s="6">
        <v>46268</v>
      </c>
      <c r="K908">
        <v>49</v>
      </c>
      <c r="L908">
        <v>73</v>
      </c>
      <c r="M908">
        <v>48</v>
      </c>
      <c r="N908" s="8">
        <v>12</v>
      </c>
      <c r="O908">
        <v>52</v>
      </c>
      <c r="P908">
        <v>62</v>
      </c>
      <c r="Q908" s="3">
        <v>0.37</v>
      </c>
      <c r="R908">
        <f>Inventory_Table[[#This Row],[Stock_Quantity]]*Inventory_Table[[#This Row],[Unit_Price]]</f>
        <v>588</v>
      </c>
      <c r="S908">
        <f>Inventory_Table[[#This Row],[Sales_Volume]]*Inventory_Table[[#This Row],[Unit_Price]]</f>
        <v>624</v>
      </c>
      <c r="T908" t="str">
        <f>IF(Inventory_Table[[#This Row],[Stock_Quantity]]&lt;=Inventory_Table[[#This Row],[Reorder_Level]],"REORDER","OK")</f>
        <v>REORDER</v>
      </c>
      <c r="U908" t="s">
        <v>3836</v>
      </c>
      <c r="V908" s="14">
        <f ca="1">TODAY()-Inventory_Table[[#This Row],[Last_Order_Date]]</f>
        <v>610</v>
      </c>
    </row>
    <row r="909" spans="1:22" x14ac:dyDescent="0.35">
      <c r="A909" t="s">
        <v>296</v>
      </c>
      <c r="B909" t="s">
        <v>27</v>
      </c>
      <c r="C909" t="s">
        <v>1987</v>
      </c>
      <c r="D909" t="s">
        <v>3540</v>
      </c>
      <c r="E909" t="s">
        <v>30</v>
      </c>
      <c r="F909" t="s">
        <v>3541</v>
      </c>
      <c r="G909" t="s">
        <v>3542</v>
      </c>
      <c r="H909" s="1">
        <v>46251</v>
      </c>
      <c r="I909" s="6">
        <v>45501</v>
      </c>
      <c r="J909" s="6">
        <v>46349</v>
      </c>
      <c r="K909">
        <v>35</v>
      </c>
      <c r="L909">
        <v>41</v>
      </c>
      <c r="M909">
        <v>84</v>
      </c>
      <c r="N909" s="8">
        <v>1.8</v>
      </c>
      <c r="O909">
        <v>62</v>
      </c>
      <c r="P909">
        <v>14</v>
      </c>
      <c r="Q909" s="3">
        <v>-0.19</v>
      </c>
      <c r="R909">
        <f>Inventory_Table[[#This Row],[Stock_Quantity]]*Inventory_Table[[#This Row],[Unit_Price]]</f>
        <v>63</v>
      </c>
      <c r="S909">
        <f>Inventory_Table[[#This Row],[Sales_Volume]]*Inventory_Table[[#This Row],[Unit_Price]]</f>
        <v>111.60000000000001</v>
      </c>
      <c r="T909" t="str">
        <f>IF(Inventory_Table[[#This Row],[Stock_Quantity]]&lt;=Inventory_Table[[#This Row],[Reorder_Level]],"REORDER","OK")</f>
        <v>REORDER</v>
      </c>
      <c r="U909" t="s">
        <v>3836</v>
      </c>
      <c r="V909" s="14">
        <f ca="1">TODAY()-Inventory_Table[[#This Row],[Last_Order_Date]]</f>
        <v>675</v>
      </c>
    </row>
    <row r="910" spans="1:22" x14ac:dyDescent="0.35">
      <c r="A910" t="s">
        <v>718</v>
      </c>
      <c r="B910" t="s">
        <v>65</v>
      </c>
      <c r="C910" t="s">
        <v>1771</v>
      </c>
      <c r="D910" t="s">
        <v>3543</v>
      </c>
      <c r="E910" t="s">
        <v>68</v>
      </c>
      <c r="F910" t="s">
        <v>3544</v>
      </c>
      <c r="G910" t="s">
        <v>3545</v>
      </c>
      <c r="H910" s="1">
        <v>46251</v>
      </c>
      <c r="I910" s="6">
        <v>45416</v>
      </c>
      <c r="J910" s="6">
        <v>46165</v>
      </c>
      <c r="K910">
        <v>27</v>
      </c>
      <c r="L910">
        <v>64</v>
      </c>
      <c r="M910">
        <v>78</v>
      </c>
      <c r="N910" s="8">
        <v>2</v>
      </c>
      <c r="O910">
        <v>57</v>
      </c>
      <c r="P910">
        <v>4</v>
      </c>
      <c r="Q910" s="3">
        <v>0.77</v>
      </c>
      <c r="R910">
        <f>Inventory_Table[[#This Row],[Stock_Quantity]]*Inventory_Table[[#This Row],[Unit_Price]]</f>
        <v>54</v>
      </c>
      <c r="S910">
        <f>Inventory_Table[[#This Row],[Sales_Volume]]*Inventory_Table[[#This Row],[Unit_Price]]</f>
        <v>114</v>
      </c>
      <c r="T910" t="str">
        <f>IF(Inventory_Table[[#This Row],[Stock_Quantity]]&lt;=Inventory_Table[[#This Row],[Reorder_Level]],"REORDER","OK")</f>
        <v>REORDER</v>
      </c>
      <c r="U910" t="s">
        <v>3838</v>
      </c>
      <c r="V910" s="14">
        <f ca="1">TODAY()-Inventory_Table[[#This Row],[Last_Order_Date]]</f>
        <v>760</v>
      </c>
    </row>
    <row r="911" spans="1:22" x14ac:dyDescent="0.35">
      <c r="A911" t="s">
        <v>786</v>
      </c>
      <c r="B911" t="s">
        <v>65</v>
      </c>
      <c r="C911" t="s">
        <v>399</v>
      </c>
      <c r="D911" t="s">
        <v>3546</v>
      </c>
      <c r="E911" t="s">
        <v>21</v>
      </c>
      <c r="F911" t="s">
        <v>3547</v>
      </c>
      <c r="G911" t="s">
        <v>3548</v>
      </c>
      <c r="H911" s="1">
        <v>46251</v>
      </c>
      <c r="I911" s="6">
        <v>45372</v>
      </c>
      <c r="J911" s="6">
        <v>46090</v>
      </c>
      <c r="K911">
        <v>63</v>
      </c>
      <c r="L911">
        <v>4</v>
      </c>
      <c r="M911">
        <v>46</v>
      </c>
      <c r="N911" s="8">
        <v>2.5</v>
      </c>
      <c r="O911">
        <v>40</v>
      </c>
      <c r="P911">
        <v>69</v>
      </c>
      <c r="Q911" s="3">
        <v>0.93</v>
      </c>
      <c r="R911">
        <f>Inventory_Table[[#This Row],[Stock_Quantity]]*Inventory_Table[[#This Row],[Unit_Price]]</f>
        <v>157.5</v>
      </c>
      <c r="S911">
        <f>Inventory_Table[[#This Row],[Sales_Volume]]*Inventory_Table[[#This Row],[Unit_Price]]</f>
        <v>100</v>
      </c>
      <c r="T911" t="str">
        <f>IF(Inventory_Table[[#This Row],[Stock_Quantity]]&lt;=Inventory_Table[[#This Row],[Reorder_Level]],"REORDER","OK")</f>
        <v>OK</v>
      </c>
      <c r="U911" t="s">
        <v>3838</v>
      </c>
      <c r="V911" s="14">
        <f ca="1">TODAY()-Inventory_Table[[#This Row],[Last_Order_Date]]</f>
        <v>804</v>
      </c>
    </row>
    <row r="912" spans="1:22" x14ac:dyDescent="0.35">
      <c r="A912" t="s">
        <v>129</v>
      </c>
      <c r="B912" t="s">
        <v>18</v>
      </c>
      <c r="C912" t="s">
        <v>1810</v>
      </c>
      <c r="D912" t="s">
        <v>3549</v>
      </c>
      <c r="E912" t="s">
        <v>21</v>
      </c>
      <c r="F912" t="s">
        <v>3550</v>
      </c>
      <c r="G912" t="s">
        <v>3551</v>
      </c>
      <c r="H912" s="1">
        <v>46252</v>
      </c>
      <c r="I912" s="6">
        <v>45615</v>
      </c>
      <c r="J912" s="6">
        <v>46376</v>
      </c>
      <c r="K912">
        <v>77</v>
      </c>
      <c r="L912">
        <v>20</v>
      </c>
      <c r="M912">
        <v>5</v>
      </c>
      <c r="N912" s="8">
        <v>4.5</v>
      </c>
      <c r="O912">
        <v>61</v>
      </c>
      <c r="P912">
        <v>62</v>
      </c>
      <c r="Q912" s="3">
        <v>-0.73</v>
      </c>
      <c r="R912">
        <f>Inventory_Table[[#This Row],[Stock_Quantity]]*Inventory_Table[[#This Row],[Unit_Price]]</f>
        <v>346.5</v>
      </c>
      <c r="S912">
        <f>Inventory_Table[[#This Row],[Sales_Volume]]*Inventory_Table[[#This Row],[Unit_Price]]</f>
        <v>274.5</v>
      </c>
      <c r="T912" t="str">
        <f>IF(Inventory_Table[[#This Row],[Stock_Quantity]]&lt;=Inventory_Table[[#This Row],[Reorder_Level]],"REORDER","OK")</f>
        <v>OK</v>
      </c>
      <c r="U912" t="s">
        <v>3836</v>
      </c>
      <c r="V912" s="14">
        <f ca="1">TODAY()-Inventory_Table[[#This Row],[Last_Order_Date]]</f>
        <v>561</v>
      </c>
    </row>
    <row r="913" spans="1:22" x14ac:dyDescent="0.35">
      <c r="A913" t="s">
        <v>222</v>
      </c>
      <c r="B913" t="s">
        <v>65</v>
      </c>
      <c r="C913" t="s">
        <v>1531</v>
      </c>
      <c r="D913" t="s">
        <v>3552</v>
      </c>
      <c r="E913" t="s">
        <v>21</v>
      </c>
      <c r="F913" t="s">
        <v>3553</v>
      </c>
      <c r="G913" t="s">
        <v>3554</v>
      </c>
      <c r="H913" s="1">
        <v>46252</v>
      </c>
      <c r="I913" s="6">
        <v>45618</v>
      </c>
      <c r="J913" s="6">
        <v>46158</v>
      </c>
      <c r="K913">
        <v>14</v>
      </c>
      <c r="L913">
        <v>74</v>
      </c>
      <c r="M913">
        <v>71</v>
      </c>
      <c r="N913" s="8">
        <v>1.5</v>
      </c>
      <c r="O913">
        <v>37</v>
      </c>
      <c r="P913">
        <v>22</v>
      </c>
      <c r="Q913" s="3">
        <v>-0.02</v>
      </c>
      <c r="R913">
        <f>Inventory_Table[[#This Row],[Stock_Quantity]]*Inventory_Table[[#This Row],[Unit_Price]]</f>
        <v>21</v>
      </c>
      <c r="S913">
        <f>Inventory_Table[[#This Row],[Sales_Volume]]*Inventory_Table[[#This Row],[Unit_Price]]</f>
        <v>55.5</v>
      </c>
      <c r="T913" t="str">
        <f>IF(Inventory_Table[[#This Row],[Stock_Quantity]]&lt;=Inventory_Table[[#This Row],[Reorder_Level]],"REORDER","OK")</f>
        <v>REORDER</v>
      </c>
      <c r="U913" t="s">
        <v>3838</v>
      </c>
      <c r="V913" s="14">
        <f ca="1">TODAY()-Inventory_Table[[#This Row],[Last_Order_Date]]</f>
        <v>558</v>
      </c>
    </row>
    <row r="914" spans="1:22" x14ac:dyDescent="0.35">
      <c r="A914" t="s">
        <v>1307</v>
      </c>
      <c r="B914" t="s">
        <v>163</v>
      </c>
      <c r="C914" t="s">
        <v>3140</v>
      </c>
      <c r="D914" t="s">
        <v>3555</v>
      </c>
      <c r="E914" t="s">
        <v>68</v>
      </c>
      <c r="F914" t="s">
        <v>3556</v>
      </c>
      <c r="G914" t="s">
        <v>3557</v>
      </c>
      <c r="H914" s="1">
        <v>46252</v>
      </c>
      <c r="I914" s="6">
        <v>45700</v>
      </c>
      <c r="J914" s="6">
        <v>46141</v>
      </c>
      <c r="K914">
        <v>63</v>
      </c>
      <c r="L914">
        <v>92</v>
      </c>
      <c r="M914">
        <v>26</v>
      </c>
      <c r="N914" s="8">
        <v>8</v>
      </c>
      <c r="O914">
        <v>93</v>
      </c>
      <c r="P914">
        <v>99</v>
      </c>
      <c r="Q914" s="3">
        <v>0.41</v>
      </c>
      <c r="R914">
        <f>Inventory_Table[[#This Row],[Stock_Quantity]]*Inventory_Table[[#This Row],[Unit_Price]]</f>
        <v>504</v>
      </c>
      <c r="S914">
        <f>Inventory_Table[[#This Row],[Sales_Volume]]*Inventory_Table[[#This Row],[Unit_Price]]</f>
        <v>744</v>
      </c>
      <c r="T914" t="str">
        <f>IF(Inventory_Table[[#This Row],[Stock_Quantity]]&lt;=Inventory_Table[[#This Row],[Reorder_Level]],"REORDER","OK")</f>
        <v>REORDER</v>
      </c>
      <c r="U914" t="s">
        <v>3838</v>
      </c>
      <c r="V914" s="14">
        <f ca="1">TODAY()-Inventory_Table[[#This Row],[Last_Order_Date]]</f>
        <v>476</v>
      </c>
    </row>
    <row r="915" spans="1:22" x14ac:dyDescent="0.35">
      <c r="A915" t="s">
        <v>418</v>
      </c>
      <c r="B915" t="s">
        <v>65</v>
      </c>
      <c r="C915" t="s">
        <v>606</v>
      </c>
      <c r="D915" t="s">
        <v>3558</v>
      </c>
      <c r="E915" t="s">
        <v>30</v>
      </c>
      <c r="F915" t="s">
        <v>3559</v>
      </c>
      <c r="G915" t="s">
        <v>3560</v>
      </c>
      <c r="H915" s="1">
        <v>46252</v>
      </c>
      <c r="I915" s="6">
        <v>45385</v>
      </c>
      <c r="J915" s="6">
        <v>46329</v>
      </c>
      <c r="K915">
        <v>85</v>
      </c>
      <c r="L915">
        <v>4</v>
      </c>
      <c r="M915">
        <v>75</v>
      </c>
      <c r="N915" s="8">
        <v>6.5</v>
      </c>
      <c r="O915">
        <v>95</v>
      </c>
      <c r="P915">
        <v>70</v>
      </c>
      <c r="Q915" s="3">
        <v>-0.06</v>
      </c>
      <c r="R915">
        <f>Inventory_Table[[#This Row],[Stock_Quantity]]*Inventory_Table[[#This Row],[Unit_Price]]</f>
        <v>552.5</v>
      </c>
      <c r="S915">
        <f>Inventory_Table[[#This Row],[Sales_Volume]]*Inventory_Table[[#This Row],[Unit_Price]]</f>
        <v>617.5</v>
      </c>
      <c r="T915" t="str">
        <f>IF(Inventory_Table[[#This Row],[Stock_Quantity]]&lt;=Inventory_Table[[#This Row],[Reorder_Level]],"REORDER","OK")</f>
        <v>OK</v>
      </c>
      <c r="U915" t="s">
        <v>3836</v>
      </c>
      <c r="V915" s="14">
        <f ca="1">TODAY()-Inventory_Table[[#This Row],[Last_Order_Date]]</f>
        <v>791</v>
      </c>
    </row>
    <row r="916" spans="1:22" x14ac:dyDescent="0.35">
      <c r="A916" t="s">
        <v>212</v>
      </c>
      <c r="B916" t="s">
        <v>75</v>
      </c>
      <c r="C916" t="s">
        <v>1129</v>
      </c>
      <c r="D916" t="s">
        <v>3561</v>
      </c>
      <c r="E916" t="s">
        <v>68</v>
      </c>
      <c r="F916" t="s">
        <v>3562</v>
      </c>
      <c r="G916" t="s">
        <v>3563</v>
      </c>
      <c r="H916" s="1">
        <v>46252</v>
      </c>
      <c r="I916" s="6">
        <v>45606</v>
      </c>
      <c r="J916" s="6">
        <v>46096</v>
      </c>
      <c r="K916">
        <v>59</v>
      </c>
      <c r="L916">
        <v>59</v>
      </c>
      <c r="M916">
        <v>10</v>
      </c>
      <c r="N916" s="8">
        <v>7</v>
      </c>
      <c r="O916">
        <v>57</v>
      </c>
      <c r="P916">
        <v>50</v>
      </c>
      <c r="Q916" s="3">
        <v>0.26</v>
      </c>
      <c r="R916">
        <f>Inventory_Table[[#This Row],[Stock_Quantity]]*Inventory_Table[[#This Row],[Unit_Price]]</f>
        <v>413</v>
      </c>
      <c r="S916">
        <f>Inventory_Table[[#This Row],[Sales_Volume]]*Inventory_Table[[#This Row],[Unit_Price]]</f>
        <v>399</v>
      </c>
      <c r="T916" t="str">
        <f>IF(Inventory_Table[[#This Row],[Stock_Quantity]]&lt;=Inventory_Table[[#This Row],[Reorder_Level]],"REORDER","OK")</f>
        <v>REORDER</v>
      </c>
      <c r="U916" t="s">
        <v>3838</v>
      </c>
      <c r="V916" s="14">
        <f ca="1">TODAY()-Inventory_Table[[#This Row],[Last_Order_Date]]</f>
        <v>570</v>
      </c>
    </row>
    <row r="917" spans="1:22" x14ac:dyDescent="0.35">
      <c r="A917" t="s">
        <v>842</v>
      </c>
      <c r="B917" t="s">
        <v>75</v>
      </c>
      <c r="C917" t="s">
        <v>1889</v>
      </c>
      <c r="D917" t="s">
        <v>3564</v>
      </c>
      <c r="E917" t="s">
        <v>21</v>
      </c>
      <c r="F917" t="s">
        <v>3565</v>
      </c>
      <c r="G917" t="s">
        <v>3566</v>
      </c>
      <c r="H917" s="1">
        <v>46252</v>
      </c>
      <c r="I917" s="6">
        <v>45441</v>
      </c>
      <c r="J917" s="6">
        <v>46397</v>
      </c>
      <c r="K917">
        <v>79</v>
      </c>
      <c r="L917">
        <v>53</v>
      </c>
      <c r="M917">
        <v>12</v>
      </c>
      <c r="N917" s="8">
        <v>9</v>
      </c>
      <c r="O917">
        <v>45</v>
      </c>
      <c r="P917">
        <v>95</v>
      </c>
      <c r="Q917" s="3">
        <v>0.12</v>
      </c>
      <c r="R917">
        <f>Inventory_Table[[#This Row],[Stock_Quantity]]*Inventory_Table[[#This Row],[Unit_Price]]</f>
        <v>711</v>
      </c>
      <c r="S917">
        <f>Inventory_Table[[#This Row],[Sales_Volume]]*Inventory_Table[[#This Row],[Unit_Price]]</f>
        <v>405</v>
      </c>
      <c r="T917" t="str">
        <f>IF(Inventory_Table[[#This Row],[Stock_Quantity]]&lt;=Inventory_Table[[#This Row],[Reorder_Level]],"REORDER","OK")</f>
        <v>OK</v>
      </c>
      <c r="U917" t="s">
        <v>3836</v>
      </c>
      <c r="V917" s="14">
        <f ca="1">TODAY()-Inventory_Table[[#This Row],[Last_Order_Date]]</f>
        <v>735</v>
      </c>
    </row>
    <row r="918" spans="1:22" x14ac:dyDescent="0.35">
      <c r="A918" t="s">
        <v>35</v>
      </c>
      <c r="B918" t="s">
        <v>36</v>
      </c>
      <c r="C918" t="s">
        <v>3251</v>
      </c>
      <c r="D918" t="s">
        <v>3567</v>
      </c>
      <c r="E918" t="s">
        <v>30</v>
      </c>
      <c r="F918" t="s">
        <v>3568</v>
      </c>
      <c r="G918" t="s">
        <v>3569</v>
      </c>
      <c r="H918" s="1">
        <v>46252</v>
      </c>
      <c r="I918" s="6">
        <v>45577</v>
      </c>
      <c r="J918" s="6">
        <v>46118</v>
      </c>
      <c r="K918">
        <v>80</v>
      </c>
      <c r="L918">
        <v>100</v>
      </c>
      <c r="M918">
        <v>48</v>
      </c>
      <c r="N918" s="8">
        <v>12</v>
      </c>
      <c r="O918">
        <v>100</v>
      </c>
      <c r="P918">
        <v>28</v>
      </c>
      <c r="Q918" s="3">
        <v>-1.1100000000000001</v>
      </c>
      <c r="R918">
        <f>Inventory_Table[[#This Row],[Stock_Quantity]]*Inventory_Table[[#This Row],[Unit_Price]]</f>
        <v>960</v>
      </c>
      <c r="S918">
        <f>Inventory_Table[[#This Row],[Sales_Volume]]*Inventory_Table[[#This Row],[Unit_Price]]</f>
        <v>1200</v>
      </c>
      <c r="T918" t="str">
        <f>IF(Inventory_Table[[#This Row],[Stock_Quantity]]&lt;=Inventory_Table[[#This Row],[Reorder_Level]],"REORDER","OK")</f>
        <v>REORDER</v>
      </c>
      <c r="U918" t="s">
        <v>3838</v>
      </c>
      <c r="V918" s="14">
        <f ca="1">TODAY()-Inventory_Table[[#This Row],[Last_Order_Date]]</f>
        <v>599</v>
      </c>
    </row>
    <row r="919" spans="1:22" x14ac:dyDescent="0.35">
      <c r="A919" t="s">
        <v>170</v>
      </c>
      <c r="B919" t="s">
        <v>18</v>
      </c>
      <c r="C919" t="s">
        <v>3251</v>
      </c>
      <c r="D919" t="s">
        <v>3570</v>
      </c>
      <c r="E919" t="s">
        <v>30</v>
      </c>
      <c r="F919" t="s">
        <v>3571</v>
      </c>
      <c r="G919" t="s">
        <v>3572</v>
      </c>
      <c r="H919" s="1">
        <v>46253</v>
      </c>
      <c r="I919" s="6">
        <v>45566</v>
      </c>
      <c r="J919" s="6">
        <v>46428</v>
      </c>
      <c r="K919">
        <v>100</v>
      </c>
      <c r="L919">
        <v>3</v>
      </c>
      <c r="M919">
        <v>32</v>
      </c>
      <c r="N919" s="8">
        <v>2</v>
      </c>
      <c r="O919">
        <v>98</v>
      </c>
      <c r="P919">
        <v>91</v>
      </c>
      <c r="Q919" s="3">
        <v>0.72</v>
      </c>
      <c r="R919">
        <f>Inventory_Table[[#This Row],[Stock_Quantity]]*Inventory_Table[[#This Row],[Unit_Price]]</f>
        <v>200</v>
      </c>
      <c r="S919">
        <f>Inventory_Table[[#This Row],[Sales_Volume]]*Inventory_Table[[#This Row],[Unit_Price]]</f>
        <v>196</v>
      </c>
      <c r="T919" t="str">
        <f>IF(Inventory_Table[[#This Row],[Stock_Quantity]]&lt;=Inventory_Table[[#This Row],[Reorder_Level]],"REORDER","OK")</f>
        <v>OK</v>
      </c>
      <c r="U919" t="s">
        <v>3836</v>
      </c>
      <c r="V919" s="14">
        <f ca="1">TODAY()-Inventory_Table[[#This Row],[Last_Order_Date]]</f>
        <v>610</v>
      </c>
    </row>
    <row r="920" spans="1:22" x14ac:dyDescent="0.35">
      <c r="A920" t="s">
        <v>326</v>
      </c>
      <c r="B920" t="s">
        <v>18</v>
      </c>
      <c r="C920" t="s">
        <v>1279</v>
      </c>
      <c r="D920" t="s">
        <v>3573</v>
      </c>
      <c r="E920" t="s">
        <v>30</v>
      </c>
      <c r="F920" t="s">
        <v>3574</v>
      </c>
      <c r="G920" t="s">
        <v>3575</v>
      </c>
      <c r="H920" s="1">
        <v>46253</v>
      </c>
      <c r="I920" s="6">
        <v>45502</v>
      </c>
      <c r="J920" s="6">
        <v>46083</v>
      </c>
      <c r="K920">
        <v>90</v>
      </c>
      <c r="L920">
        <v>30</v>
      </c>
      <c r="M920">
        <v>42</v>
      </c>
      <c r="N920" s="8">
        <v>5</v>
      </c>
      <c r="O920">
        <v>76</v>
      </c>
      <c r="P920">
        <v>69</v>
      </c>
      <c r="Q920" s="3">
        <v>7.0000000000000007E-2</v>
      </c>
      <c r="R920">
        <f>Inventory_Table[[#This Row],[Stock_Quantity]]*Inventory_Table[[#This Row],[Unit_Price]]</f>
        <v>450</v>
      </c>
      <c r="S920">
        <f>Inventory_Table[[#This Row],[Sales_Volume]]*Inventory_Table[[#This Row],[Unit_Price]]</f>
        <v>380</v>
      </c>
      <c r="T920" t="str">
        <f>IF(Inventory_Table[[#This Row],[Stock_Quantity]]&lt;=Inventory_Table[[#This Row],[Reorder_Level]],"REORDER","OK")</f>
        <v>OK</v>
      </c>
      <c r="U920" t="s">
        <v>3838</v>
      </c>
      <c r="V920" s="14">
        <f ca="1">TODAY()-Inventory_Table[[#This Row],[Last_Order_Date]]</f>
        <v>674</v>
      </c>
    </row>
    <row r="921" spans="1:22" x14ac:dyDescent="0.35">
      <c r="A921" t="s">
        <v>1603</v>
      </c>
      <c r="B921" t="s">
        <v>36</v>
      </c>
      <c r="C921" t="s">
        <v>440</v>
      </c>
      <c r="D921" t="s">
        <v>3576</v>
      </c>
      <c r="E921" t="s">
        <v>68</v>
      </c>
      <c r="F921" t="s">
        <v>3577</v>
      </c>
      <c r="G921" t="s">
        <v>3578</v>
      </c>
      <c r="H921" s="1">
        <v>46254</v>
      </c>
      <c r="I921" s="6">
        <v>45473</v>
      </c>
      <c r="J921" s="6">
        <v>46185</v>
      </c>
      <c r="K921">
        <v>85</v>
      </c>
      <c r="L921">
        <v>28</v>
      </c>
      <c r="M921">
        <v>21</v>
      </c>
      <c r="N921" s="8">
        <v>3</v>
      </c>
      <c r="O921">
        <v>45</v>
      </c>
      <c r="P921">
        <v>89</v>
      </c>
      <c r="Q921" s="3">
        <v>0.09</v>
      </c>
      <c r="R921">
        <f>Inventory_Table[[#This Row],[Stock_Quantity]]*Inventory_Table[[#This Row],[Unit_Price]]</f>
        <v>255</v>
      </c>
      <c r="S921">
        <f>Inventory_Table[[#This Row],[Sales_Volume]]*Inventory_Table[[#This Row],[Unit_Price]]</f>
        <v>135</v>
      </c>
      <c r="T921" t="str">
        <f>IF(Inventory_Table[[#This Row],[Stock_Quantity]]&lt;=Inventory_Table[[#This Row],[Reorder_Level]],"REORDER","OK")</f>
        <v>OK</v>
      </c>
      <c r="U921" t="s">
        <v>3837</v>
      </c>
      <c r="V921" s="14">
        <f ca="1">TODAY()-Inventory_Table[[#This Row],[Last_Order_Date]]</f>
        <v>703</v>
      </c>
    </row>
    <row r="922" spans="1:22" x14ac:dyDescent="0.35">
      <c r="A922" t="s">
        <v>222</v>
      </c>
      <c r="B922" t="s">
        <v>65</v>
      </c>
      <c r="C922" t="s">
        <v>2822</v>
      </c>
      <c r="D922" t="s">
        <v>3579</v>
      </c>
      <c r="E922" t="s">
        <v>68</v>
      </c>
      <c r="F922" t="s">
        <v>3580</v>
      </c>
      <c r="G922" t="s">
        <v>3581</v>
      </c>
      <c r="H922" s="1">
        <v>46254</v>
      </c>
      <c r="I922" s="6">
        <v>45402</v>
      </c>
      <c r="J922" s="6">
        <v>46364</v>
      </c>
      <c r="K922">
        <v>63</v>
      </c>
      <c r="L922">
        <v>43</v>
      </c>
      <c r="M922">
        <v>8</v>
      </c>
      <c r="N922" s="8">
        <v>1.5</v>
      </c>
      <c r="O922">
        <v>55</v>
      </c>
      <c r="P922">
        <v>72</v>
      </c>
      <c r="Q922" s="3">
        <v>-0.98</v>
      </c>
      <c r="R922">
        <f>Inventory_Table[[#This Row],[Stock_Quantity]]*Inventory_Table[[#This Row],[Unit_Price]]</f>
        <v>94.5</v>
      </c>
      <c r="S922">
        <f>Inventory_Table[[#This Row],[Sales_Volume]]*Inventory_Table[[#This Row],[Unit_Price]]</f>
        <v>82.5</v>
      </c>
      <c r="T922" t="str">
        <f>IF(Inventory_Table[[#This Row],[Stock_Quantity]]&lt;=Inventory_Table[[#This Row],[Reorder_Level]],"REORDER","OK")</f>
        <v>OK</v>
      </c>
      <c r="U922" t="s">
        <v>3836</v>
      </c>
      <c r="V922" s="14">
        <f ca="1">TODAY()-Inventory_Table[[#This Row],[Last_Order_Date]]</f>
        <v>774</v>
      </c>
    </row>
    <row r="923" spans="1:22" x14ac:dyDescent="0.35">
      <c r="A923" t="s">
        <v>690</v>
      </c>
      <c r="B923" t="s">
        <v>36</v>
      </c>
      <c r="C923" t="s">
        <v>3582</v>
      </c>
      <c r="D923" t="s">
        <v>3583</v>
      </c>
      <c r="E923" t="s">
        <v>21</v>
      </c>
      <c r="F923" t="s">
        <v>3584</v>
      </c>
      <c r="G923" t="s">
        <v>3585</v>
      </c>
      <c r="H923" s="1">
        <v>46255</v>
      </c>
      <c r="I923" s="6">
        <v>45691</v>
      </c>
      <c r="J923" s="6">
        <v>46336</v>
      </c>
      <c r="K923">
        <v>97</v>
      </c>
      <c r="L923">
        <v>26</v>
      </c>
      <c r="M923">
        <v>15</v>
      </c>
      <c r="N923" s="8">
        <v>2.5</v>
      </c>
      <c r="O923">
        <v>33</v>
      </c>
      <c r="P923">
        <v>58</v>
      </c>
      <c r="Q923" s="3">
        <v>-0.31</v>
      </c>
      <c r="R923">
        <f>Inventory_Table[[#This Row],[Stock_Quantity]]*Inventory_Table[[#This Row],[Unit_Price]]</f>
        <v>242.5</v>
      </c>
      <c r="S923">
        <f>Inventory_Table[[#This Row],[Sales_Volume]]*Inventory_Table[[#This Row],[Unit_Price]]</f>
        <v>82.5</v>
      </c>
      <c r="T923" t="str">
        <f>IF(Inventory_Table[[#This Row],[Stock_Quantity]]&lt;=Inventory_Table[[#This Row],[Reorder_Level]],"REORDER","OK")</f>
        <v>OK</v>
      </c>
      <c r="U923" t="s">
        <v>3836</v>
      </c>
      <c r="V923" s="14">
        <f ca="1">TODAY()-Inventory_Table[[#This Row],[Last_Order_Date]]</f>
        <v>485</v>
      </c>
    </row>
    <row r="924" spans="1:22" x14ac:dyDescent="0.35">
      <c r="A924" t="s">
        <v>1415</v>
      </c>
      <c r="B924" t="s">
        <v>114</v>
      </c>
      <c r="C924" t="s">
        <v>899</v>
      </c>
      <c r="D924" t="s">
        <v>3586</v>
      </c>
      <c r="E924" t="s">
        <v>30</v>
      </c>
      <c r="F924" t="s">
        <v>3587</v>
      </c>
      <c r="G924" t="s">
        <v>3588</v>
      </c>
      <c r="H924" s="1">
        <v>46256</v>
      </c>
      <c r="I924" s="6">
        <v>45538</v>
      </c>
      <c r="J924" s="6">
        <v>46407</v>
      </c>
      <c r="K924">
        <v>56</v>
      </c>
      <c r="L924">
        <v>62</v>
      </c>
      <c r="M924">
        <v>64</v>
      </c>
      <c r="N924" s="8">
        <v>2.5</v>
      </c>
      <c r="O924">
        <v>56</v>
      </c>
      <c r="P924">
        <v>73</v>
      </c>
      <c r="Q924" s="3">
        <v>-0.76</v>
      </c>
      <c r="R924">
        <f>Inventory_Table[[#This Row],[Stock_Quantity]]*Inventory_Table[[#This Row],[Unit_Price]]</f>
        <v>140</v>
      </c>
      <c r="S924">
        <f>Inventory_Table[[#This Row],[Sales_Volume]]*Inventory_Table[[#This Row],[Unit_Price]]</f>
        <v>140</v>
      </c>
      <c r="T924" t="str">
        <f>IF(Inventory_Table[[#This Row],[Stock_Quantity]]&lt;=Inventory_Table[[#This Row],[Reorder_Level]],"REORDER","OK")</f>
        <v>REORDER</v>
      </c>
      <c r="U924" t="s">
        <v>3836</v>
      </c>
      <c r="V924" s="14">
        <f ca="1">TODAY()-Inventory_Table[[#This Row],[Last_Order_Date]]</f>
        <v>638</v>
      </c>
    </row>
    <row r="925" spans="1:22" x14ac:dyDescent="0.35">
      <c r="A925" t="s">
        <v>371</v>
      </c>
      <c r="B925" t="s">
        <v>75</v>
      </c>
      <c r="C925" t="s">
        <v>1619</v>
      </c>
      <c r="D925" t="s">
        <v>3589</v>
      </c>
      <c r="E925" t="s">
        <v>21</v>
      </c>
      <c r="F925" t="s">
        <v>3590</v>
      </c>
      <c r="G925" t="s">
        <v>3591</v>
      </c>
      <c r="H925" s="1">
        <v>46256</v>
      </c>
      <c r="I925" s="6">
        <v>45451</v>
      </c>
      <c r="J925" s="6">
        <v>46187</v>
      </c>
      <c r="K925">
        <v>19</v>
      </c>
      <c r="L925">
        <v>94</v>
      </c>
      <c r="M925">
        <v>17</v>
      </c>
      <c r="N925" s="8">
        <v>11.5</v>
      </c>
      <c r="O925">
        <v>96</v>
      </c>
      <c r="P925">
        <v>74</v>
      </c>
      <c r="Q925" s="3">
        <v>-0.3</v>
      </c>
      <c r="R925">
        <f>Inventory_Table[[#This Row],[Stock_Quantity]]*Inventory_Table[[#This Row],[Unit_Price]]</f>
        <v>218.5</v>
      </c>
      <c r="S925">
        <f>Inventory_Table[[#This Row],[Sales_Volume]]*Inventory_Table[[#This Row],[Unit_Price]]</f>
        <v>1104</v>
      </c>
      <c r="T925" t="str">
        <f>IF(Inventory_Table[[#This Row],[Stock_Quantity]]&lt;=Inventory_Table[[#This Row],[Reorder_Level]],"REORDER","OK")</f>
        <v>REORDER</v>
      </c>
      <c r="U925" t="s">
        <v>3837</v>
      </c>
      <c r="V925" s="14">
        <f ca="1">TODAY()-Inventory_Table[[#This Row],[Last_Order_Date]]</f>
        <v>725</v>
      </c>
    </row>
    <row r="926" spans="1:22" x14ac:dyDescent="0.35">
      <c r="A926" t="s">
        <v>308</v>
      </c>
      <c r="B926" t="s">
        <v>27</v>
      </c>
      <c r="C926" t="s">
        <v>1084</v>
      </c>
      <c r="D926" t="s">
        <v>3592</v>
      </c>
      <c r="E926" t="s">
        <v>21</v>
      </c>
      <c r="F926" t="s">
        <v>3593</v>
      </c>
      <c r="G926" t="s">
        <v>3594</v>
      </c>
      <c r="H926" s="1">
        <v>46256</v>
      </c>
      <c r="I926" s="6">
        <v>45669</v>
      </c>
      <c r="J926" s="6">
        <v>46403</v>
      </c>
      <c r="K926">
        <v>15</v>
      </c>
      <c r="L926">
        <v>34</v>
      </c>
      <c r="M926">
        <v>57</v>
      </c>
      <c r="N926" s="8">
        <v>6.5</v>
      </c>
      <c r="O926">
        <v>49</v>
      </c>
      <c r="P926">
        <v>96</v>
      </c>
      <c r="Q926" s="3">
        <v>0.23</v>
      </c>
      <c r="R926">
        <f>Inventory_Table[[#This Row],[Stock_Quantity]]*Inventory_Table[[#This Row],[Unit_Price]]</f>
        <v>97.5</v>
      </c>
      <c r="S926">
        <f>Inventory_Table[[#This Row],[Sales_Volume]]*Inventory_Table[[#This Row],[Unit_Price]]</f>
        <v>318.5</v>
      </c>
      <c r="T926" t="str">
        <f>IF(Inventory_Table[[#This Row],[Stock_Quantity]]&lt;=Inventory_Table[[#This Row],[Reorder_Level]],"REORDER","OK")</f>
        <v>REORDER</v>
      </c>
      <c r="U926" t="s">
        <v>3836</v>
      </c>
      <c r="V926" s="14">
        <f ca="1">TODAY()-Inventory_Table[[#This Row],[Last_Order_Date]]</f>
        <v>507</v>
      </c>
    </row>
    <row r="927" spans="1:22" x14ac:dyDescent="0.35">
      <c r="A927" t="s">
        <v>356</v>
      </c>
      <c r="B927" t="s">
        <v>18</v>
      </c>
      <c r="C927" t="s">
        <v>3595</v>
      </c>
      <c r="D927" t="s">
        <v>3596</v>
      </c>
      <c r="E927" t="s">
        <v>30</v>
      </c>
      <c r="F927" t="s">
        <v>3597</v>
      </c>
      <c r="G927" t="s">
        <v>3598</v>
      </c>
      <c r="H927" s="1">
        <v>46257</v>
      </c>
      <c r="I927" s="6">
        <v>45578</v>
      </c>
      <c r="J927" s="6">
        <v>46293</v>
      </c>
      <c r="K927">
        <v>18</v>
      </c>
      <c r="L927">
        <v>52</v>
      </c>
      <c r="M927">
        <v>22</v>
      </c>
      <c r="N927" s="8">
        <v>3.5</v>
      </c>
      <c r="O927">
        <v>42</v>
      </c>
      <c r="P927">
        <v>32</v>
      </c>
      <c r="Q927" s="3">
        <v>-0.96</v>
      </c>
      <c r="R927">
        <f>Inventory_Table[[#This Row],[Stock_Quantity]]*Inventory_Table[[#This Row],[Unit_Price]]</f>
        <v>63</v>
      </c>
      <c r="S927">
        <f>Inventory_Table[[#This Row],[Sales_Volume]]*Inventory_Table[[#This Row],[Unit_Price]]</f>
        <v>147</v>
      </c>
      <c r="T927" t="str">
        <f>IF(Inventory_Table[[#This Row],[Stock_Quantity]]&lt;=Inventory_Table[[#This Row],[Reorder_Level]],"REORDER","OK")</f>
        <v>REORDER</v>
      </c>
      <c r="U927" t="s">
        <v>3836</v>
      </c>
      <c r="V927" s="14">
        <f ca="1">TODAY()-Inventory_Table[[#This Row],[Last_Order_Date]]</f>
        <v>598</v>
      </c>
    </row>
    <row r="928" spans="1:22" x14ac:dyDescent="0.35">
      <c r="A928" t="s">
        <v>1307</v>
      </c>
      <c r="B928" t="s">
        <v>163</v>
      </c>
      <c r="C928" t="s">
        <v>3353</v>
      </c>
      <c r="D928" t="s">
        <v>3599</v>
      </c>
      <c r="E928" t="s">
        <v>21</v>
      </c>
      <c r="F928" t="s">
        <v>3600</v>
      </c>
      <c r="G928" t="s">
        <v>3601</v>
      </c>
      <c r="H928" s="1">
        <v>46257</v>
      </c>
      <c r="I928" s="6">
        <v>45609</v>
      </c>
      <c r="J928" s="6">
        <v>46329</v>
      </c>
      <c r="K928">
        <v>88</v>
      </c>
      <c r="L928">
        <v>50</v>
      </c>
      <c r="M928">
        <v>88</v>
      </c>
      <c r="N928" s="8">
        <v>8</v>
      </c>
      <c r="O928">
        <v>78</v>
      </c>
      <c r="P928">
        <v>28</v>
      </c>
      <c r="Q928" s="3">
        <v>0.24</v>
      </c>
      <c r="R928">
        <f>Inventory_Table[[#This Row],[Stock_Quantity]]*Inventory_Table[[#This Row],[Unit_Price]]</f>
        <v>704</v>
      </c>
      <c r="S928">
        <f>Inventory_Table[[#This Row],[Sales_Volume]]*Inventory_Table[[#This Row],[Unit_Price]]</f>
        <v>624</v>
      </c>
      <c r="T928" t="str">
        <f>IF(Inventory_Table[[#This Row],[Stock_Quantity]]&lt;=Inventory_Table[[#This Row],[Reorder_Level]],"REORDER","OK")</f>
        <v>OK</v>
      </c>
      <c r="U928" t="s">
        <v>3836</v>
      </c>
      <c r="V928" s="14">
        <f ca="1">TODAY()-Inventory_Table[[#This Row],[Last_Order_Date]]</f>
        <v>567</v>
      </c>
    </row>
    <row r="929" spans="1:22" x14ac:dyDescent="0.35">
      <c r="A929" t="s">
        <v>695</v>
      </c>
      <c r="B929" t="s">
        <v>65</v>
      </c>
      <c r="C929" t="s">
        <v>1653</v>
      </c>
      <c r="D929" t="s">
        <v>3602</v>
      </c>
      <c r="E929" t="s">
        <v>21</v>
      </c>
      <c r="F929" t="s">
        <v>3603</v>
      </c>
      <c r="G929" t="s">
        <v>3604</v>
      </c>
      <c r="H929" s="1">
        <v>46257</v>
      </c>
      <c r="I929" s="6">
        <v>45552</v>
      </c>
      <c r="J929" s="6">
        <v>46410</v>
      </c>
      <c r="K929">
        <v>44</v>
      </c>
      <c r="L929">
        <v>48</v>
      </c>
      <c r="M929">
        <v>77</v>
      </c>
      <c r="N929" s="8">
        <v>2.5</v>
      </c>
      <c r="O929">
        <v>67</v>
      </c>
      <c r="P929">
        <v>79</v>
      </c>
      <c r="Q929" s="3">
        <v>0.64</v>
      </c>
      <c r="R929">
        <f>Inventory_Table[[#This Row],[Stock_Quantity]]*Inventory_Table[[#This Row],[Unit_Price]]</f>
        <v>110</v>
      </c>
      <c r="S929">
        <f>Inventory_Table[[#This Row],[Sales_Volume]]*Inventory_Table[[#This Row],[Unit_Price]]</f>
        <v>167.5</v>
      </c>
      <c r="T929" t="str">
        <f>IF(Inventory_Table[[#This Row],[Stock_Quantity]]&lt;=Inventory_Table[[#This Row],[Reorder_Level]],"REORDER","OK")</f>
        <v>REORDER</v>
      </c>
      <c r="U929" t="s">
        <v>3836</v>
      </c>
      <c r="V929" s="14">
        <f ca="1">TODAY()-Inventory_Table[[#This Row],[Last_Order_Date]]</f>
        <v>624</v>
      </c>
    </row>
    <row r="930" spans="1:22" x14ac:dyDescent="0.35">
      <c r="A930" t="s">
        <v>1307</v>
      </c>
      <c r="B930" t="s">
        <v>163</v>
      </c>
      <c r="C930" t="s">
        <v>1893</v>
      </c>
      <c r="D930" t="s">
        <v>3605</v>
      </c>
      <c r="E930" t="s">
        <v>68</v>
      </c>
      <c r="F930" t="s">
        <v>3606</v>
      </c>
      <c r="G930" t="s">
        <v>3607</v>
      </c>
      <c r="H930" s="1">
        <v>46258</v>
      </c>
      <c r="I930" s="6">
        <v>45565</v>
      </c>
      <c r="J930" s="6">
        <v>46128</v>
      </c>
      <c r="K930">
        <v>80</v>
      </c>
      <c r="L930">
        <v>54</v>
      </c>
      <c r="M930">
        <v>21</v>
      </c>
      <c r="N930" s="8">
        <v>8.5</v>
      </c>
      <c r="O930">
        <v>81</v>
      </c>
      <c r="P930">
        <v>37</v>
      </c>
      <c r="Q930" s="3">
        <v>-0.18</v>
      </c>
      <c r="R930">
        <f>Inventory_Table[[#This Row],[Stock_Quantity]]*Inventory_Table[[#This Row],[Unit_Price]]</f>
        <v>680</v>
      </c>
      <c r="S930">
        <f>Inventory_Table[[#This Row],[Sales_Volume]]*Inventory_Table[[#This Row],[Unit_Price]]</f>
        <v>688.5</v>
      </c>
      <c r="T930" t="str">
        <f>IF(Inventory_Table[[#This Row],[Stock_Quantity]]&lt;=Inventory_Table[[#This Row],[Reorder_Level]],"REORDER","OK")</f>
        <v>OK</v>
      </c>
      <c r="U930" t="s">
        <v>3838</v>
      </c>
      <c r="V930" s="14">
        <f ca="1">TODAY()-Inventory_Table[[#This Row],[Last_Order_Date]]</f>
        <v>611</v>
      </c>
    </row>
    <row r="931" spans="1:22" x14ac:dyDescent="0.35">
      <c r="A931" t="s">
        <v>423</v>
      </c>
      <c r="B931" t="s">
        <v>65</v>
      </c>
      <c r="C931" t="s">
        <v>1164</v>
      </c>
      <c r="D931" t="s">
        <v>3609</v>
      </c>
      <c r="E931" t="s">
        <v>68</v>
      </c>
      <c r="F931" t="s">
        <v>3610</v>
      </c>
      <c r="G931" t="s">
        <v>3611</v>
      </c>
      <c r="H931" s="1">
        <v>46258</v>
      </c>
      <c r="I931" s="6">
        <v>45613</v>
      </c>
      <c r="J931" s="6">
        <v>46102</v>
      </c>
      <c r="K931">
        <v>58</v>
      </c>
      <c r="L931">
        <v>24</v>
      </c>
      <c r="M931">
        <v>25</v>
      </c>
      <c r="N931" s="8">
        <v>10</v>
      </c>
      <c r="O931">
        <v>75</v>
      </c>
      <c r="P931">
        <v>26</v>
      </c>
      <c r="Q931" s="3">
        <v>0.54</v>
      </c>
      <c r="R931">
        <f>Inventory_Table[[#This Row],[Stock_Quantity]]*Inventory_Table[[#This Row],[Unit_Price]]</f>
        <v>580</v>
      </c>
      <c r="S931">
        <f>Inventory_Table[[#This Row],[Sales_Volume]]*Inventory_Table[[#This Row],[Unit_Price]]</f>
        <v>750</v>
      </c>
      <c r="T931" t="str">
        <f>IF(Inventory_Table[[#This Row],[Stock_Quantity]]&lt;=Inventory_Table[[#This Row],[Reorder_Level]],"REORDER","OK")</f>
        <v>OK</v>
      </c>
      <c r="U931" t="s">
        <v>3838</v>
      </c>
      <c r="V931" s="14">
        <f ca="1">TODAY()-Inventory_Table[[#This Row],[Last_Order_Date]]</f>
        <v>563</v>
      </c>
    </row>
    <row r="932" spans="1:22" x14ac:dyDescent="0.35">
      <c r="A932" t="s">
        <v>222</v>
      </c>
      <c r="B932" t="s">
        <v>65</v>
      </c>
      <c r="C932" t="s">
        <v>908</v>
      </c>
      <c r="D932" t="s">
        <v>3612</v>
      </c>
      <c r="E932" t="s">
        <v>21</v>
      </c>
      <c r="F932" t="s">
        <v>3613</v>
      </c>
      <c r="G932" t="s">
        <v>3614</v>
      </c>
      <c r="H932" s="1">
        <v>46259</v>
      </c>
      <c r="I932" s="6">
        <v>45705</v>
      </c>
      <c r="J932" s="6">
        <v>46325</v>
      </c>
      <c r="K932">
        <v>57</v>
      </c>
      <c r="L932">
        <v>63</v>
      </c>
      <c r="M932">
        <v>41</v>
      </c>
      <c r="N932" s="8">
        <v>1.5</v>
      </c>
      <c r="O932">
        <v>53</v>
      </c>
      <c r="P932">
        <v>94</v>
      </c>
      <c r="Q932" s="3">
        <v>0.65</v>
      </c>
      <c r="R932">
        <f>Inventory_Table[[#This Row],[Stock_Quantity]]*Inventory_Table[[#This Row],[Unit_Price]]</f>
        <v>85.5</v>
      </c>
      <c r="S932">
        <f>Inventory_Table[[#This Row],[Sales_Volume]]*Inventory_Table[[#This Row],[Unit_Price]]</f>
        <v>79.5</v>
      </c>
      <c r="T932" t="str">
        <f>IF(Inventory_Table[[#This Row],[Stock_Quantity]]&lt;=Inventory_Table[[#This Row],[Reorder_Level]],"REORDER","OK")</f>
        <v>REORDER</v>
      </c>
      <c r="U932" t="s">
        <v>3836</v>
      </c>
      <c r="V932" s="14">
        <f ca="1">TODAY()-Inventory_Table[[#This Row],[Last_Order_Date]]</f>
        <v>471</v>
      </c>
    </row>
    <row r="933" spans="1:22" x14ac:dyDescent="0.35">
      <c r="A933" t="s">
        <v>388</v>
      </c>
      <c r="B933" t="s">
        <v>75</v>
      </c>
      <c r="C933" t="s">
        <v>1411</v>
      </c>
      <c r="D933" t="s">
        <v>3615</v>
      </c>
      <c r="E933" t="s">
        <v>68</v>
      </c>
      <c r="F933" t="s">
        <v>3616</v>
      </c>
      <c r="G933" t="s">
        <v>3617</v>
      </c>
      <c r="H933" s="1">
        <v>46259</v>
      </c>
      <c r="I933" s="6">
        <v>45501</v>
      </c>
      <c r="J933" s="6">
        <v>46418</v>
      </c>
      <c r="K933">
        <v>30</v>
      </c>
      <c r="L933">
        <v>55</v>
      </c>
      <c r="M933">
        <v>4</v>
      </c>
      <c r="N933" s="8">
        <v>6</v>
      </c>
      <c r="O933">
        <v>56</v>
      </c>
      <c r="P933">
        <v>31</v>
      </c>
      <c r="Q933" s="3">
        <v>-0.77</v>
      </c>
      <c r="R933">
        <f>Inventory_Table[[#This Row],[Stock_Quantity]]*Inventory_Table[[#This Row],[Unit_Price]]</f>
        <v>180</v>
      </c>
      <c r="S933">
        <f>Inventory_Table[[#This Row],[Sales_Volume]]*Inventory_Table[[#This Row],[Unit_Price]]</f>
        <v>336</v>
      </c>
      <c r="T933" t="str">
        <f>IF(Inventory_Table[[#This Row],[Stock_Quantity]]&lt;=Inventory_Table[[#This Row],[Reorder_Level]],"REORDER","OK")</f>
        <v>REORDER</v>
      </c>
      <c r="U933" t="s">
        <v>3836</v>
      </c>
      <c r="V933" s="14">
        <f ca="1">TODAY()-Inventory_Table[[#This Row],[Last_Order_Date]]</f>
        <v>675</v>
      </c>
    </row>
    <row r="934" spans="1:22" x14ac:dyDescent="0.35">
      <c r="A934" t="s">
        <v>567</v>
      </c>
      <c r="B934" t="s">
        <v>65</v>
      </c>
      <c r="C934" t="s">
        <v>1657</v>
      </c>
      <c r="D934" t="s">
        <v>3618</v>
      </c>
      <c r="E934" t="s">
        <v>68</v>
      </c>
      <c r="F934" t="s">
        <v>3619</v>
      </c>
      <c r="G934" t="s">
        <v>3620</v>
      </c>
      <c r="H934" s="1">
        <v>46259</v>
      </c>
      <c r="I934" s="6">
        <v>45679</v>
      </c>
      <c r="J934" s="6">
        <v>46192</v>
      </c>
      <c r="K934">
        <v>74</v>
      </c>
      <c r="L934">
        <v>22</v>
      </c>
      <c r="M934">
        <v>91</v>
      </c>
      <c r="N934" s="8">
        <v>9.5</v>
      </c>
      <c r="O934">
        <v>24</v>
      </c>
      <c r="P934">
        <v>12</v>
      </c>
      <c r="Q934" s="3">
        <v>0.45</v>
      </c>
      <c r="R934">
        <f>Inventory_Table[[#This Row],[Stock_Quantity]]*Inventory_Table[[#This Row],[Unit_Price]]</f>
        <v>703</v>
      </c>
      <c r="S934">
        <f>Inventory_Table[[#This Row],[Sales_Volume]]*Inventory_Table[[#This Row],[Unit_Price]]</f>
        <v>228</v>
      </c>
      <c r="T934" t="str">
        <f>IF(Inventory_Table[[#This Row],[Stock_Quantity]]&lt;=Inventory_Table[[#This Row],[Reorder_Level]],"REORDER","OK")</f>
        <v>OK</v>
      </c>
      <c r="U934" t="s">
        <v>3837</v>
      </c>
      <c r="V934" s="14">
        <f ca="1">TODAY()-Inventory_Table[[#This Row],[Last_Order_Date]]</f>
        <v>497</v>
      </c>
    </row>
    <row r="935" spans="1:22" x14ac:dyDescent="0.35">
      <c r="A935" t="s">
        <v>1311</v>
      </c>
      <c r="B935" t="s">
        <v>36</v>
      </c>
      <c r="C935" t="s">
        <v>1133</v>
      </c>
      <c r="D935" t="s">
        <v>3621</v>
      </c>
      <c r="E935" t="s">
        <v>68</v>
      </c>
      <c r="F935" t="s">
        <v>3622</v>
      </c>
      <c r="G935" t="s">
        <v>3623</v>
      </c>
      <c r="H935" s="1">
        <v>46260</v>
      </c>
      <c r="I935" s="6">
        <v>45616</v>
      </c>
      <c r="J935" s="6">
        <v>46304</v>
      </c>
      <c r="K935">
        <v>80</v>
      </c>
      <c r="L935">
        <v>9</v>
      </c>
      <c r="M935">
        <v>29</v>
      </c>
      <c r="N935" s="8">
        <v>8.1</v>
      </c>
      <c r="O935">
        <v>54</v>
      </c>
      <c r="P935">
        <v>62</v>
      </c>
      <c r="Q935" s="3">
        <v>0.5</v>
      </c>
      <c r="R935">
        <f>Inventory_Table[[#This Row],[Stock_Quantity]]*Inventory_Table[[#This Row],[Unit_Price]]</f>
        <v>648</v>
      </c>
      <c r="S935">
        <f>Inventory_Table[[#This Row],[Sales_Volume]]*Inventory_Table[[#This Row],[Unit_Price]]</f>
        <v>437.4</v>
      </c>
      <c r="T935" t="str">
        <f>IF(Inventory_Table[[#This Row],[Stock_Quantity]]&lt;=Inventory_Table[[#This Row],[Reorder_Level]],"REORDER","OK")</f>
        <v>OK</v>
      </c>
      <c r="U935" t="s">
        <v>3836</v>
      </c>
      <c r="V935" s="14">
        <f ca="1">TODAY()-Inventory_Table[[#This Row],[Last_Order_Date]]</f>
        <v>560</v>
      </c>
    </row>
    <row r="936" spans="1:22" x14ac:dyDescent="0.35">
      <c r="A936" t="s">
        <v>228</v>
      </c>
      <c r="B936" t="s">
        <v>18</v>
      </c>
      <c r="C936" t="s">
        <v>1599</v>
      </c>
      <c r="D936" t="s">
        <v>3625</v>
      </c>
      <c r="E936" t="s">
        <v>68</v>
      </c>
      <c r="F936" t="s">
        <v>3626</v>
      </c>
      <c r="G936" t="s">
        <v>3627</v>
      </c>
      <c r="H936" s="1">
        <v>46260</v>
      </c>
      <c r="I936" s="6">
        <v>45572</v>
      </c>
      <c r="J936" s="6">
        <v>46360</v>
      </c>
      <c r="K936">
        <v>31</v>
      </c>
      <c r="L936">
        <v>98</v>
      </c>
      <c r="M936">
        <v>72</v>
      </c>
      <c r="N936" s="8">
        <v>1.8</v>
      </c>
      <c r="O936">
        <v>91</v>
      </c>
      <c r="P936">
        <v>29</v>
      </c>
      <c r="Q936" s="3">
        <v>-0.15</v>
      </c>
      <c r="R936">
        <f>Inventory_Table[[#This Row],[Stock_Quantity]]*Inventory_Table[[#This Row],[Unit_Price]]</f>
        <v>55.800000000000004</v>
      </c>
      <c r="S936">
        <f>Inventory_Table[[#This Row],[Sales_Volume]]*Inventory_Table[[#This Row],[Unit_Price]]</f>
        <v>163.80000000000001</v>
      </c>
      <c r="T936" t="str">
        <f>IF(Inventory_Table[[#This Row],[Stock_Quantity]]&lt;=Inventory_Table[[#This Row],[Reorder_Level]],"REORDER","OK")</f>
        <v>REORDER</v>
      </c>
      <c r="U936" t="s">
        <v>3836</v>
      </c>
      <c r="V936" s="14">
        <f ca="1">TODAY()-Inventory_Table[[#This Row],[Last_Order_Date]]</f>
        <v>604</v>
      </c>
    </row>
    <row r="937" spans="1:22" x14ac:dyDescent="0.35">
      <c r="A937" t="s">
        <v>1292</v>
      </c>
      <c r="B937" t="s">
        <v>18</v>
      </c>
      <c r="C937" t="s">
        <v>760</v>
      </c>
      <c r="D937" t="s">
        <v>3628</v>
      </c>
      <c r="E937" t="s">
        <v>21</v>
      </c>
      <c r="F937" t="s">
        <v>3629</v>
      </c>
      <c r="G937" t="s">
        <v>3630</v>
      </c>
      <c r="H937" s="1">
        <v>46260</v>
      </c>
      <c r="I937" s="6">
        <v>45633</v>
      </c>
      <c r="J937" s="6">
        <v>46163</v>
      </c>
      <c r="K937">
        <v>31</v>
      </c>
      <c r="L937">
        <v>89</v>
      </c>
      <c r="M937">
        <v>7</v>
      </c>
      <c r="N937" s="8">
        <v>5.9</v>
      </c>
      <c r="O937">
        <v>46</v>
      </c>
      <c r="P937">
        <v>54</v>
      </c>
      <c r="Q937" s="3">
        <v>0.68</v>
      </c>
      <c r="R937">
        <f>Inventory_Table[[#This Row],[Stock_Quantity]]*Inventory_Table[[#This Row],[Unit_Price]]</f>
        <v>182.9</v>
      </c>
      <c r="S937">
        <f>Inventory_Table[[#This Row],[Sales_Volume]]*Inventory_Table[[#This Row],[Unit_Price]]</f>
        <v>271.40000000000003</v>
      </c>
      <c r="T937" t="str">
        <f>IF(Inventory_Table[[#This Row],[Stock_Quantity]]&lt;=Inventory_Table[[#This Row],[Reorder_Level]],"REORDER","OK")</f>
        <v>REORDER</v>
      </c>
      <c r="U937" t="s">
        <v>3838</v>
      </c>
      <c r="V937" s="14">
        <f ca="1">TODAY()-Inventory_Table[[#This Row],[Last_Order_Date]]</f>
        <v>543</v>
      </c>
    </row>
    <row r="938" spans="1:22" x14ac:dyDescent="0.35">
      <c r="A938" t="s">
        <v>567</v>
      </c>
      <c r="B938" t="s">
        <v>65</v>
      </c>
      <c r="C938" t="s">
        <v>19</v>
      </c>
      <c r="D938" t="s">
        <v>3631</v>
      </c>
      <c r="E938" t="s">
        <v>30</v>
      </c>
      <c r="F938" t="s">
        <v>3632</v>
      </c>
      <c r="G938" t="s">
        <v>3633</v>
      </c>
      <c r="H938" s="1">
        <v>46260</v>
      </c>
      <c r="I938" s="6">
        <v>45565</v>
      </c>
      <c r="J938" s="6">
        <v>46321</v>
      </c>
      <c r="K938">
        <v>75</v>
      </c>
      <c r="L938">
        <v>46</v>
      </c>
      <c r="M938">
        <v>75</v>
      </c>
      <c r="N938" s="8">
        <v>9.5</v>
      </c>
      <c r="O938">
        <v>43</v>
      </c>
      <c r="P938">
        <v>77</v>
      </c>
      <c r="Q938" s="3">
        <v>-0.17</v>
      </c>
      <c r="R938">
        <f>Inventory_Table[[#This Row],[Stock_Quantity]]*Inventory_Table[[#This Row],[Unit_Price]]</f>
        <v>712.5</v>
      </c>
      <c r="S938">
        <f>Inventory_Table[[#This Row],[Sales_Volume]]*Inventory_Table[[#This Row],[Unit_Price]]</f>
        <v>408.5</v>
      </c>
      <c r="T938" t="str">
        <f>IF(Inventory_Table[[#This Row],[Stock_Quantity]]&lt;=Inventory_Table[[#This Row],[Reorder_Level]],"REORDER","OK")</f>
        <v>OK</v>
      </c>
      <c r="U938" t="s">
        <v>3836</v>
      </c>
      <c r="V938" s="14">
        <f ca="1">TODAY()-Inventory_Table[[#This Row],[Last_Order_Date]]</f>
        <v>611</v>
      </c>
    </row>
    <row r="939" spans="1:22" x14ac:dyDescent="0.35">
      <c r="A939" t="s">
        <v>170</v>
      </c>
      <c r="B939" t="s">
        <v>18</v>
      </c>
      <c r="C939" t="s">
        <v>1117</v>
      </c>
      <c r="D939" t="s">
        <v>3634</v>
      </c>
      <c r="E939" t="s">
        <v>30</v>
      </c>
      <c r="F939" t="s">
        <v>3635</v>
      </c>
      <c r="G939" t="s">
        <v>3636</v>
      </c>
      <c r="H939" s="1">
        <v>46261</v>
      </c>
      <c r="I939" s="6">
        <v>45700</v>
      </c>
      <c r="J939" s="6">
        <v>46150</v>
      </c>
      <c r="K939">
        <v>65</v>
      </c>
      <c r="L939">
        <v>10</v>
      </c>
      <c r="M939">
        <v>81</v>
      </c>
      <c r="N939" s="8">
        <v>2</v>
      </c>
      <c r="O939">
        <v>71</v>
      </c>
      <c r="P939">
        <v>61</v>
      </c>
      <c r="Q939" s="3">
        <v>-0.79</v>
      </c>
      <c r="R939">
        <f>Inventory_Table[[#This Row],[Stock_Quantity]]*Inventory_Table[[#This Row],[Unit_Price]]</f>
        <v>130</v>
      </c>
      <c r="S939">
        <f>Inventory_Table[[#This Row],[Sales_Volume]]*Inventory_Table[[#This Row],[Unit_Price]]</f>
        <v>142</v>
      </c>
      <c r="T939" t="str">
        <f>IF(Inventory_Table[[#This Row],[Stock_Quantity]]&lt;=Inventory_Table[[#This Row],[Reorder_Level]],"REORDER","OK")</f>
        <v>OK</v>
      </c>
      <c r="U939" t="s">
        <v>3838</v>
      </c>
      <c r="V939" s="14">
        <f ca="1">TODAY()-Inventory_Table[[#This Row],[Last_Order_Date]]</f>
        <v>476</v>
      </c>
    </row>
    <row r="940" spans="1:22" x14ac:dyDescent="0.35">
      <c r="A940" t="s">
        <v>122</v>
      </c>
      <c r="B940" t="s">
        <v>18</v>
      </c>
      <c r="C940" t="s">
        <v>481</v>
      </c>
      <c r="D940" t="s">
        <v>3637</v>
      </c>
      <c r="E940" t="s">
        <v>21</v>
      </c>
      <c r="F940" t="s">
        <v>3638</v>
      </c>
      <c r="G940" t="s">
        <v>3639</v>
      </c>
      <c r="H940" s="1">
        <v>46261</v>
      </c>
      <c r="I940" s="6">
        <v>45463</v>
      </c>
      <c r="J940" s="6">
        <v>46323</v>
      </c>
      <c r="K940">
        <v>33</v>
      </c>
      <c r="L940">
        <v>89</v>
      </c>
      <c r="M940">
        <v>15</v>
      </c>
      <c r="N940" s="8">
        <v>2.5</v>
      </c>
      <c r="O940">
        <v>90</v>
      </c>
      <c r="P940">
        <v>52</v>
      </c>
      <c r="Q940" s="3">
        <v>0.14000000000000001</v>
      </c>
      <c r="R940">
        <f>Inventory_Table[[#This Row],[Stock_Quantity]]*Inventory_Table[[#This Row],[Unit_Price]]</f>
        <v>82.5</v>
      </c>
      <c r="S940">
        <f>Inventory_Table[[#This Row],[Sales_Volume]]*Inventory_Table[[#This Row],[Unit_Price]]</f>
        <v>225</v>
      </c>
      <c r="T940" t="str">
        <f>IF(Inventory_Table[[#This Row],[Stock_Quantity]]&lt;=Inventory_Table[[#This Row],[Reorder_Level]],"REORDER","OK")</f>
        <v>REORDER</v>
      </c>
      <c r="U940" t="s">
        <v>3836</v>
      </c>
      <c r="V940" s="14">
        <f ca="1">TODAY()-Inventory_Table[[#This Row],[Last_Order_Date]]</f>
        <v>713</v>
      </c>
    </row>
    <row r="941" spans="1:22" x14ac:dyDescent="0.35">
      <c r="A941" t="s">
        <v>89</v>
      </c>
      <c r="B941" t="s">
        <v>36</v>
      </c>
      <c r="C941" t="s">
        <v>3640</v>
      </c>
      <c r="D941" t="s">
        <v>3641</v>
      </c>
      <c r="E941" t="s">
        <v>30</v>
      </c>
      <c r="F941" t="s">
        <v>3642</v>
      </c>
      <c r="G941" t="s">
        <v>3643</v>
      </c>
      <c r="H941" s="1">
        <v>46261</v>
      </c>
      <c r="I941" s="6">
        <v>45415</v>
      </c>
      <c r="J941" s="6">
        <v>46129</v>
      </c>
      <c r="K941">
        <v>80</v>
      </c>
      <c r="L941">
        <v>69</v>
      </c>
      <c r="M941">
        <v>71</v>
      </c>
      <c r="N941" s="8">
        <v>1.75</v>
      </c>
      <c r="O941">
        <v>41</v>
      </c>
      <c r="P941">
        <v>43</v>
      </c>
      <c r="Q941" s="3">
        <v>0.42</v>
      </c>
      <c r="R941">
        <f>Inventory_Table[[#This Row],[Stock_Quantity]]*Inventory_Table[[#This Row],[Unit_Price]]</f>
        <v>140</v>
      </c>
      <c r="S941">
        <f>Inventory_Table[[#This Row],[Sales_Volume]]*Inventory_Table[[#This Row],[Unit_Price]]</f>
        <v>71.75</v>
      </c>
      <c r="T941" t="str">
        <f>IF(Inventory_Table[[#This Row],[Stock_Quantity]]&lt;=Inventory_Table[[#This Row],[Reorder_Level]],"REORDER","OK")</f>
        <v>OK</v>
      </c>
      <c r="U941" t="s">
        <v>3838</v>
      </c>
      <c r="V941" s="14">
        <f ca="1">TODAY()-Inventory_Table[[#This Row],[Last_Order_Date]]</f>
        <v>761</v>
      </c>
    </row>
    <row r="942" spans="1:22" x14ac:dyDescent="0.35">
      <c r="A942" t="s">
        <v>135</v>
      </c>
      <c r="B942" t="s">
        <v>36</v>
      </c>
      <c r="C942" t="s">
        <v>383</v>
      </c>
      <c r="D942" t="s">
        <v>3644</v>
      </c>
      <c r="E942" t="s">
        <v>21</v>
      </c>
      <c r="F942" t="s">
        <v>3645</v>
      </c>
      <c r="G942" t="s">
        <v>3646</v>
      </c>
      <c r="H942" s="1">
        <v>46261</v>
      </c>
      <c r="I942" s="6">
        <v>45567</v>
      </c>
      <c r="J942" s="6">
        <v>46125</v>
      </c>
      <c r="K942">
        <v>92</v>
      </c>
      <c r="L942">
        <v>1</v>
      </c>
      <c r="M942">
        <v>23</v>
      </c>
      <c r="N942" s="8">
        <v>2.5</v>
      </c>
      <c r="O942">
        <v>78</v>
      </c>
      <c r="P942">
        <v>36</v>
      </c>
      <c r="Q942" s="3">
        <v>-0.05</v>
      </c>
      <c r="R942">
        <f>Inventory_Table[[#This Row],[Stock_Quantity]]*Inventory_Table[[#This Row],[Unit_Price]]</f>
        <v>230</v>
      </c>
      <c r="S942">
        <f>Inventory_Table[[#This Row],[Sales_Volume]]*Inventory_Table[[#This Row],[Unit_Price]]</f>
        <v>195</v>
      </c>
      <c r="T942" t="str">
        <f>IF(Inventory_Table[[#This Row],[Stock_Quantity]]&lt;=Inventory_Table[[#This Row],[Reorder_Level]],"REORDER","OK")</f>
        <v>OK</v>
      </c>
      <c r="U942" t="s">
        <v>3838</v>
      </c>
      <c r="V942" s="14">
        <f ca="1">TODAY()-Inventory_Table[[#This Row],[Last_Order_Date]]</f>
        <v>609</v>
      </c>
    </row>
    <row r="943" spans="1:22" x14ac:dyDescent="0.35">
      <c r="A943" t="s">
        <v>893</v>
      </c>
      <c r="B943" t="s">
        <v>65</v>
      </c>
      <c r="C943" t="s">
        <v>1420</v>
      </c>
      <c r="D943" t="s">
        <v>3647</v>
      </c>
      <c r="E943" t="s">
        <v>21</v>
      </c>
      <c r="F943" t="s">
        <v>3648</v>
      </c>
      <c r="G943" t="s">
        <v>3649</v>
      </c>
      <c r="H943" s="1">
        <v>46261</v>
      </c>
      <c r="I943" s="6">
        <v>45376</v>
      </c>
      <c r="J943" s="6">
        <v>46095</v>
      </c>
      <c r="K943">
        <v>71</v>
      </c>
      <c r="L943">
        <v>60</v>
      </c>
      <c r="M943">
        <v>62</v>
      </c>
      <c r="N943" s="8">
        <v>4.5</v>
      </c>
      <c r="O943">
        <v>60</v>
      </c>
      <c r="P943">
        <v>63</v>
      </c>
      <c r="Q943" s="3">
        <v>0.54</v>
      </c>
      <c r="R943">
        <f>Inventory_Table[[#This Row],[Stock_Quantity]]*Inventory_Table[[#This Row],[Unit_Price]]</f>
        <v>319.5</v>
      </c>
      <c r="S943">
        <f>Inventory_Table[[#This Row],[Sales_Volume]]*Inventory_Table[[#This Row],[Unit_Price]]</f>
        <v>270</v>
      </c>
      <c r="T943" t="str">
        <f>IF(Inventory_Table[[#This Row],[Stock_Quantity]]&lt;=Inventory_Table[[#This Row],[Reorder_Level]],"REORDER","OK")</f>
        <v>OK</v>
      </c>
      <c r="U943" t="s">
        <v>3838</v>
      </c>
      <c r="V943" s="14">
        <f ca="1">TODAY()-Inventory_Table[[#This Row],[Last_Order_Date]]</f>
        <v>800</v>
      </c>
    </row>
    <row r="944" spans="1:22" x14ac:dyDescent="0.35">
      <c r="A944" t="s">
        <v>253</v>
      </c>
      <c r="B944" t="s">
        <v>65</v>
      </c>
      <c r="C944" t="s">
        <v>2225</v>
      </c>
      <c r="D944" t="s">
        <v>3650</v>
      </c>
      <c r="E944" t="s">
        <v>30</v>
      </c>
      <c r="F944" t="s">
        <v>3651</v>
      </c>
      <c r="G944" t="s">
        <v>3652</v>
      </c>
      <c r="H944" s="1">
        <v>46262</v>
      </c>
      <c r="I944" s="6">
        <v>45623</v>
      </c>
      <c r="J944" s="6">
        <v>46442</v>
      </c>
      <c r="K944">
        <v>52</v>
      </c>
      <c r="L944">
        <v>81</v>
      </c>
      <c r="M944">
        <v>53</v>
      </c>
      <c r="N944" s="8">
        <v>2</v>
      </c>
      <c r="O944">
        <v>95</v>
      </c>
      <c r="P944">
        <v>88</v>
      </c>
      <c r="Q944" s="3">
        <v>-0.05</v>
      </c>
      <c r="R944">
        <f>Inventory_Table[[#This Row],[Stock_Quantity]]*Inventory_Table[[#This Row],[Unit_Price]]</f>
        <v>104</v>
      </c>
      <c r="S944">
        <f>Inventory_Table[[#This Row],[Sales_Volume]]*Inventory_Table[[#This Row],[Unit_Price]]</f>
        <v>190</v>
      </c>
      <c r="T944" t="str">
        <f>IF(Inventory_Table[[#This Row],[Stock_Quantity]]&lt;=Inventory_Table[[#This Row],[Reorder_Level]],"REORDER","OK")</f>
        <v>REORDER</v>
      </c>
      <c r="U944" t="s">
        <v>3836</v>
      </c>
      <c r="V944" s="14">
        <f ca="1">TODAY()-Inventory_Table[[#This Row],[Last_Order_Date]]</f>
        <v>553</v>
      </c>
    </row>
    <row r="945" spans="1:22" x14ac:dyDescent="0.35">
      <c r="A945" t="s">
        <v>1704</v>
      </c>
      <c r="B945" t="s">
        <v>18</v>
      </c>
      <c r="C945" t="s">
        <v>1837</v>
      </c>
      <c r="D945" t="s">
        <v>3653</v>
      </c>
      <c r="E945" t="s">
        <v>21</v>
      </c>
      <c r="F945" t="s">
        <v>3654</v>
      </c>
      <c r="G945" t="s">
        <v>3655</v>
      </c>
      <c r="H945" s="1">
        <v>46262</v>
      </c>
      <c r="I945" s="6">
        <v>45454</v>
      </c>
      <c r="J945" s="6">
        <v>46169</v>
      </c>
      <c r="K945">
        <v>40</v>
      </c>
      <c r="L945">
        <v>61</v>
      </c>
      <c r="M945">
        <v>47</v>
      </c>
      <c r="N945" s="8">
        <v>10</v>
      </c>
      <c r="O945">
        <v>76</v>
      </c>
      <c r="P945">
        <v>10</v>
      </c>
      <c r="Q945" s="3">
        <v>7.0000000000000007E-2</v>
      </c>
      <c r="R945">
        <f>Inventory_Table[[#This Row],[Stock_Quantity]]*Inventory_Table[[#This Row],[Unit_Price]]</f>
        <v>400</v>
      </c>
      <c r="S945">
        <f>Inventory_Table[[#This Row],[Sales_Volume]]*Inventory_Table[[#This Row],[Unit_Price]]</f>
        <v>760</v>
      </c>
      <c r="T945" t="str">
        <f>IF(Inventory_Table[[#This Row],[Stock_Quantity]]&lt;=Inventory_Table[[#This Row],[Reorder_Level]],"REORDER","OK")</f>
        <v>REORDER</v>
      </c>
      <c r="U945" t="s">
        <v>3838</v>
      </c>
      <c r="V945" s="14">
        <f ca="1">TODAY()-Inventory_Table[[#This Row],[Last_Order_Date]]</f>
        <v>722</v>
      </c>
    </row>
    <row r="946" spans="1:22" x14ac:dyDescent="0.35">
      <c r="A946" t="s">
        <v>331</v>
      </c>
      <c r="B946" t="s">
        <v>27</v>
      </c>
      <c r="C946" t="s">
        <v>1213</v>
      </c>
      <c r="D946" t="s">
        <v>3656</v>
      </c>
      <c r="E946" t="s">
        <v>68</v>
      </c>
      <c r="F946" t="s">
        <v>3657</v>
      </c>
      <c r="G946" t="s">
        <v>3658</v>
      </c>
      <c r="H946" s="1">
        <v>46263</v>
      </c>
      <c r="I946" s="6">
        <v>45673</v>
      </c>
      <c r="J946" s="6">
        <v>46188</v>
      </c>
      <c r="K946">
        <v>60</v>
      </c>
      <c r="L946">
        <v>88</v>
      </c>
      <c r="M946">
        <v>65</v>
      </c>
      <c r="N946" s="8">
        <v>4</v>
      </c>
      <c r="O946">
        <v>94</v>
      </c>
      <c r="P946">
        <v>15</v>
      </c>
      <c r="Q946" s="3">
        <v>0.87</v>
      </c>
      <c r="R946">
        <f>Inventory_Table[[#This Row],[Stock_Quantity]]*Inventory_Table[[#This Row],[Unit_Price]]</f>
        <v>240</v>
      </c>
      <c r="S946">
        <f>Inventory_Table[[#This Row],[Sales_Volume]]*Inventory_Table[[#This Row],[Unit_Price]]</f>
        <v>376</v>
      </c>
      <c r="T946" t="str">
        <f>IF(Inventory_Table[[#This Row],[Stock_Quantity]]&lt;=Inventory_Table[[#This Row],[Reorder_Level]],"REORDER","OK")</f>
        <v>REORDER</v>
      </c>
      <c r="U946" t="s">
        <v>3837</v>
      </c>
      <c r="V946" s="14">
        <f ca="1">TODAY()-Inventory_Table[[#This Row],[Last_Order_Date]]</f>
        <v>503</v>
      </c>
    </row>
    <row r="947" spans="1:22" x14ac:dyDescent="0.35">
      <c r="A947" t="s">
        <v>1900</v>
      </c>
      <c r="B947" t="s">
        <v>75</v>
      </c>
      <c r="C947" t="s">
        <v>1743</v>
      </c>
      <c r="D947" t="s">
        <v>3659</v>
      </c>
      <c r="E947" t="s">
        <v>30</v>
      </c>
      <c r="F947" t="s">
        <v>3660</v>
      </c>
      <c r="G947" t="s">
        <v>3661</v>
      </c>
      <c r="H947" s="1">
        <v>46263</v>
      </c>
      <c r="I947" s="6">
        <v>45628</v>
      </c>
      <c r="J947" s="6">
        <v>46269</v>
      </c>
      <c r="K947">
        <v>71</v>
      </c>
      <c r="L947">
        <v>7</v>
      </c>
      <c r="M947">
        <v>6</v>
      </c>
      <c r="N947" s="8">
        <v>7.5</v>
      </c>
      <c r="O947">
        <v>52</v>
      </c>
      <c r="P947">
        <v>68</v>
      </c>
      <c r="Q947" s="3">
        <v>0.84</v>
      </c>
      <c r="R947">
        <f>Inventory_Table[[#This Row],[Stock_Quantity]]*Inventory_Table[[#This Row],[Unit_Price]]</f>
        <v>532.5</v>
      </c>
      <c r="S947">
        <f>Inventory_Table[[#This Row],[Sales_Volume]]*Inventory_Table[[#This Row],[Unit_Price]]</f>
        <v>390</v>
      </c>
      <c r="T947" t="str">
        <f>IF(Inventory_Table[[#This Row],[Stock_Quantity]]&lt;=Inventory_Table[[#This Row],[Reorder_Level]],"REORDER","OK")</f>
        <v>OK</v>
      </c>
      <c r="U947" t="s">
        <v>3836</v>
      </c>
      <c r="V947" s="14">
        <f ca="1">TODAY()-Inventory_Table[[#This Row],[Last_Order_Date]]</f>
        <v>548</v>
      </c>
    </row>
    <row r="948" spans="1:22" x14ac:dyDescent="0.35">
      <c r="A948" t="s">
        <v>356</v>
      </c>
      <c r="B948" t="s">
        <v>18</v>
      </c>
      <c r="C948" t="s">
        <v>1420</v>
      </c>
      <c r="D948" t="s">
        <v>3662</v>
      </c>
      <c r="E948" t="s">
        <v>21</v>
      </c>
      <c r="F948" t="s">
        <v>3663</v>
      </c>
      <c r="G948" t="s">
        <v>3664</v>
      </c>
      <c r="H948" s="1">
        <v>46264</v>
      </c>
      <c r="I948" s="6">
        <v>45582</v>
      </c>
      <c r="J948" s="6">
        <v>46086</v>
      </c>
      <c r="K948">
        <v>44</v>
      </c>
      <c r="L948">
        <v>80</v>
      </c>
      <c r="M948">
        <v>84</v>
      </c>
      <c r="N948" s="8">
        <v>3.4</v>
      </c>
      <c r="O948">
        <v>96</v>
      </c>
      <c r="P948">
        <v>68</v>
      </c>
      <c r="Q948" s="3">
        <v>-0.31</v>
      </c>
      <c r="R948">
        <f>Inventory_Table[[#This Row],[Stock_Quantity]]*Inventory_Table[[#This Row],[Unit_Price]]</f>
        <v>149.6</v>
      </c>
      <c r="S948">
        <f>Inventory_Table[[#This Row],[Sales_Volume]]*Inventory_Table[[#This Row],[Unit_Price]]</f>
        <v>326.39999999999998</v>
      </c>
      <c r="T948" t="str">
        <f>IF(Inventory_Table[[#This Row],[Stock_Quantity]]&lt;=Inventory_Table[[#This Row],[Reorder_Level]],"REORDER","OK")</f>
        <v>REORDER</v>
      </c>
      <c r="U948" t="s">
        <v>3838</v>
      </c>
      <c r="V948" s="14">
        <f ca="1">TODAY()-Inventory_Table[[#This Row],[Last_Order_Date]]</f>
        <v>594</v>
      </c>
    </row>
    <row r="949" spans="1:22" x14ac:dyDescent="0.35">
      <c r="A949" t="s">
        <v>413</v>
      </c>
      <c r="B949" t="s">
        <v>65</v>
      </c>
      <c r="C949" t="s">
        <v>968</v>
      </c>
      <c r="D949" t="s">
        <v>3666</v>
      </c>
      <c r="E949" t="s">
        <v>68</v>
      </c>
      <c r="F949" t="s">
        <v>3667</v>
      </c>
      <c r="G949" t="s">
        <v>3668</v>
      </c>
      <c r="H949" s="1">
        <v>46264</v>
      </c>
      <c r="I949" s="6">
        <v>45472</v>
      </c>
      <c r="J949" s="6">
        <v>46091</v>
      </c>
      <c r="K949">
        <v>19</v>
      </c>
      <c r="L949">
        <v>17</v>
      </c>
      <c r="M949">
        <v>14</v>
      </c>
      <c r="N949" s="8">
        <v>4.3</v>
      </c>
      <c r="O949">
        <v>58</v>
      </c>
      <c r="P949">
        <v>23</v>
      </c>
      <c r="Q949" s="3">
        <v>0.28999999999999998</v>
      </c>
      <c r="R949">
        <f>Inventory_Table[[#This Row],[Stock_Quantity]]*Inventory_Table[[#This Row],[Unit_Price]]</f>
        <v>81.7</v>
      </c>
      <c r="S949">
        <f>Inventory_Table[[#This Row],[Sales_Volume]]*Inventory_Table[[#This Row],[Unit_Price]]</f>
        <v>249.39999999999998</v>
      </c>
      <c r="T949" t="str">
        <f>IF(Inventory_Table[[#This Row],[Stock_Quantity]]&lt;=Inventory_Table[[#This Row],[Reorder_Level]],"REORDER","OK")</f>
        <v>OK</v>
      </c>
      <c r="U949" t="s">
        <v>3838</v>
      </c>
      <c r="V949" s="14">
        <f ca="1">TODAY()-Inventory_Table[[#This Row],[Last_Order_Date]]</f>
        <v>704</v>
      </c>
    </row>
    <row r="950" spans="1:22" x14ac:dyDescent="0.35">
      <c r="A950" t="s">
        <v>893</v>
      </c>
      <c r="B950" t="s">
        <v>65</v>
      </c>
      <c r="C950" t="s">
        <v>290</v>
      </c>
      <c r="D950" t="s">
        <v>3669</v>
      </c>
      <c r="E950" t="s">
        <v>68</v>
      </c>
      <c r="F950" t="s">
        <v>3670</v>
      </c>
      <c r="G950" t="s">
        <v>3671</v>
      </c>
      <c r="H950" s="1">
        <v>46264</v>
      </c>
      <c r="I950" s="6">
        <v>45451</v>
      </c>
      <c r="J950" s="6">
        <v>46178</v>
      </c>
      <c r="K950">
        <v>11</v>
      </c>
      <c r="L950">
        <v>87</v>
      </c>
      <c r="M950">
        <v>64</v>
      </c>
      <c r="N950" s="8">
        <v>4.5</v>
      </c>
      <c r="O950">
        <v>29</v>
      </c>
      <c r="P950">
        <v>6</v>
      </c>
      <c r="Q950" s="3">
        <v>0.6</v>
      </c>
      <c r="R950">
        <f>Inventory_Table[[#This Row],[Stock_Quantity]]*Inventory_Table[[#This Row],[Unit_Price]]</f>
        <v>49.5</v>
      </c>
      <c r="S950">
        <f>Inventory_Table[[#This Row],[Sales_Volume]]*Inventory_Table[[#This Row],[Unit_Price]]</f>
        <v>130.5</v>
      </c>
      <c r="T950" t="str">
        <f>IF(Inventory_Table[[#This Row],[Stock_Quantity]]&lt;=Inventory_Table[[#This Row],[Reorder_Level]],"REORDER","OK")</f>
        <v>REORDER</v>
      </c>
      <c r="U950" t="s">
        <v>3837</v>
      </c>
      <c r="V950" s="14">
        <f ca="1">TODAY()-Inventory_Table[[#This Row],[Last_Order_Date]]</f>
        <v>725</v>
      </c>
    </row>
    <row r="951" spans="1:22" x14ac:dyDescent="0.35">
      <c r="A951" t="s">
        <v>435</v>
      </c>
      <c r="B951" t="s">
        <v>18</v>
      </c>
      <c r="C951" t="s">
        <v>332</v>
      </c>
      <c r="D951" t="s">
        <v>3672</v>
      </c>
      <c r="E951" t="s">
        <v>68</v>
      </c>
      <c r="F951" t="s">
        <v>3673</v>
      </c>
      <c r="G951" t="s">
        <v>3674</v>
      </c>
      <c r="H951" s="1">
        <v>46264</v>
      </c>
      <c r="I951" s="6">
        <v>45531</v>
      </c>
      <c r="J951" s="6">
        <v>46321</v>
      </c>
      <c r="K951">
        <v>22</v>
      </c>
      <c r="L951">
        <v>35</v>
      </c>
      <c r="M951">
        <v>55</v>
      </c>
      <c r="N951" s="8">
        <v>6</v>
      </c>
      <c r="O951">
        <v>41</v>
      </c>
      <c r="P951">
        <v>27</v>
      </c>
      <c r="Q951" s="3">
        <v>0.79</v>
      </c>
      <c r="R951">
        <f>Inventory_Table[[#This Row],[Stock_Quantity]]*Inventory_Table[[#This Row],[Unit_Price]]</f>
        <v>132</v>
      </c>
      <c r="S951">
        <f>Inventory_Table[[#This Row],[Sales_Volume]]*Inventory_Table[[#This Row],[Unit_Price]]</f>
        <v>246</v>
      </c>
      <c r="T951" t="str">
        <f>IF(Inventory_Table[[#This Row],[Stock_Quantity]]&lt;=Inventory_Table[[#This Row],[Reorder_Level]],"REORDER","OK")</f>
        <v>REORDER</v>
      </c>
      <c r="U951" t="s">
        <v>3836</v>
      </c>
      <c r="V951" s="14">
        <f ca="1">TODAY()-Inventory_Table[[#This Row],[Last_Order_Date]]</f>
        <v>645</v>
      </c>
    </row>
    <row r="952" spans="1:22" x14ac:dyDescent="0.35">
      <c r="A952" t="s">
        <v>106</v>
      </c>
      <c r="B952" t="s">
        <v>18</v>
      </c>
      <c r="C952" t="s">
        <v>229</v>
      </c>
      <c r="D952" t="s">
        <v>3675</v>
      </c>
      <c r="E952" t="s">
        <v>21</v>
      </c>
      <c r="F952" t="s">
        <v>3676</v>
      </c>
      <c r="G952" t="s">
        <v>3677</v>
      </c>
      <c r="H952" s="1">
        <v>46265</v>
      </c>
      <c r="I952" s="6">
        <v>45701</v>
      </c>
      <c r="J952" s="6">
        <v>46140</v>
      </c>
      <c r="K952">
        <v>15</v>
      </c>
      <c r="L952">
        <v>44</v>
      </c>
      <c r="M952">
        <v>88</v>
      </c>
      <c r="N952" s="8">
        <v>3</v>
      </c>
      <c r="O952">
        <v>56</v>
      </c>
      <c r="P952">
        <v>12</v>
      </c>
      <c r="Q952" s="3">
        <v>0.34</v>
      </c>
      <c r="R952">
        <f>Inventory_Table[[#This Row],[Stock_Quantity]]*Inventory_Table[[#This Row],[Unit_Price]]</f>
        <v>45</v>
      </c>
      <c r="S952">
        <f>Inventory_Table[[#This Row],[Sales_Volume]]*Inventory_Table[[#This Row],[Unit_Price]]</f>
        <v>168</v>
      </c>
      <c r="T952" t="str">
        <f>IF(Inventory_Table[[#This Row],[Stock_Quantity]]&lt;=Inventory_Table[[#This Row],[Reorder_Level]],"REORDER","OK")</f>
        <v>REORDER</v>
      </c>
      <c r="U952" t="s">
        <v>3838</v>
      </c>
      <c r="V952" s="14">
        <f ca="1">TODAY()-Inventory_Table[[#This Row],[Last_Order_Date]]</f>
        <v>475</v>
      </c>
    </row>
    <row r="953" spans="1:22" x14ac:dyDescent="0.35">
      <c r="A953" t="s">
        <v>435</v>
      </c>
      <c r="B953" t="s">
        <v>18</v>
      </c>
      <c r="C953" t="s">
        <v>1870</v>
      </c>
      <c r="D953" t="s">
        <v>3678</v>
      </c>
      <c r="E953" t="s">
        <v>68</v>
      </c>
      <c r="F953" t="s">
        <v>3679</v>
      </c>
      <c r="G953" t="s">
        <v>3680</v>
      </c>
      <c r="H953" s="1">
        <v>46265</v>
      </c>
      <c r="I953" s="6">
        <v>45519</v>
      </c>
      <c r="J953" s="6">
        <v>46250</v>
      </c>
      <c r="K953">
        <v>52</v>
      </c>
      <c r="L953">
        <v>8</v>
      </c>
      <c r="M953">
        <v>37</v>
      </c>
      <c r="N953" s="8">
        <v>6</v>
      </c>
      <c r="O953">
        <v>38</v>
      </c>
      <c r="P953">
        <v>81</v>
      </c>
      <c r="Q953" s="3">
        <v>0.79</v>
      </c>
      <c r="R953">
        <f>Inventory_Table[[#This Row],[Stock_Quantity]]*Inventory_Table[[#This Row],[Unit_Price]]</f>
        <v>312</v>
      </c>
      <c r="S953">
        <f>Inventory_Table[[#This Row],[Sales_Volume]]*Inventory_Table[[#This Row],[Unit_Price]]</f>
        <v>228</v>
      </c>
      <c r="T953" t="str">
        <f>IF(Inventory_Table[[#This Row],[Stock_Quantity]]&lt;=Inventory_Table[[#This Row],[Reorder_Level]],"REORDER","OK")</f>
        <v>OK</v>
      </c>
      <c r="U953" t="s">
        <v>3836</v>
      </c>
      <c r="V953" s="14">
        <f ca="1">TODAY()-Inventory_Table[[#This Row],[Last_Order_Date]]</f>
        <v>657</v>
      </c>
    </row>
    <row r="954" spans="1:22" x14ac:dyDescent="0.35">
      <c r="A954" t="s">
        <v>83</v>
      </c>
      <c r="B954" t="s">
        <v>36</v>
      </c>
      <c r="C954" t="s">
        <v>1088</v>
      </c>
      <c r="D954" t="s">
        <v>3681</v>
      </c>
      <c r="E954" t="s">
        <v>30</v>
      </c>
      <c r="F954" t="s">
        <v>3682</v>
      </c>
      <c r="G954" t="s">
        <v>3683</v>
      </c>
      <c r="H954" s="1">
        <v>46278</v>
      </c>
      <c r="I954" s="6">
        <v>45663</v>
      </c>
      <c r="J954" s="6">
        <v>46382</v>
      </c>
      <c r="K954">
        <v>100</v>
      </c>
      <c r="L954">
        <v>31</v>
      </c>
      <c r="M954">
        <v>43</v>
      </c>
      <c r="N954" s="8">
        <v>9</v>
      </c>
      <c r="O954">
        <v>88</v>
      </c>
      <c r="P954">
        <v>52</v>
      </c>
      <c r="Q954" s="3">
        <v>-1.1299999999999999</v>
      </c>
      <c r="R954">
        <f>Inventory_Table[[#This Row],[Stock_Quantity]]*Inventory_Table[[#This Row],[Unit_Price]]</f>
        <v>900</v>
      </c>
      <c r="S954">
        <f>Inventory_Table[[#This Row],[Sales_Volume]]*Inventory_Table[[#This Row],[Unit_Price]]</f>
        <v>792</v>
      </c>
      <c r="T954" t="str">
        <f>IF(Inventory_Table[[#This Row],[Stock_Quantity]]&lt;=Inventory_Table[[#This Row],[Reorder_Level]],"REORDER","OK")</f>
        <v>OK</v>
      </c>
      <c r="U954" t="s">
        <v>3836</v>
      </c>
      <c r="V954" s="14">
        <f ca="1">TODAY()-Inventory_Table[[#This Row],[Last_Order_Date]]</f>
        <v>513</v>
      </c>
    </row>
    <row r="955" spans="1:22" x14ac:dyDescent="0.35">
      <c r="A955" t="s">
        <v>240</v>
      </c>
      <c r="B955" t="s">
        <v>36</v>
      </c>
      <c r="C955" t="s">
        <v>3433</v>
      </c>
      <c r="D955" t="s">
        <v>3684</v>
      </c>
      <c r="E955" t="s">
        <v>68</v>
      </c>
      <c r="F955" t="s">
        <v>3685</v>
      </c>
      <c r="G955" t="s">
        <v>3686</v>
      </c>
      <c r="H955" s="1">
        <v>46278</v>
      </c>
      <c r="I955" s="6">
        <v>45452</v>
      </c>
      <c r="J955" s="6">
        <v>46335</v>
      </c>
      <c r="K955">
        <v>18</v>
      </c>
      <c r="L955">
        <v>64</v>
      </c>
      <c r="M955">
        <v>86</v>
      </c>
      <c r="N955" s="8">
        <v>1</v>
      </c>
      <c r="O955">
        <v>73</v>
      </c>
      <c r="P955">
        <v>38</v>
      </c>
      <c r="Q955" s="3">
        <v>0.41</v>
      </c>
      <c r="R955">
        <f>Inventory_Table[[#This Row],[Stock_Quantity]]*Inventory_Table[[#This Row],[Unit_Price]]</f>
        <v>18</v>
      </c>
      <c r="S955">
        <f>Inventory_Table[[#This Row],[Sales_Volume]]*Inventory_Table[[#This Row],[Unit_Price]]</f>
        <v>73</v>
      </c>
      <c r="T955" t="str">
        <f>IF(Inventory_Table[[#This Row],[Stock_Quantity]]&lt;=Inventory_Table[[#This Row],[Reorder_Level]],"REORDER","OK")</f>
        <v>REORDER</v>
      </c>
      <c r="U955" t="s">
        <v>3836</v>
      </c>
      <c r="V955" s="14">
        <f ca="1">TODAY()-Inventory_Table[[#This Row],[Last_Order_Date]]</f>
        <v>724</v>
      </c>
    </row>
    <row r="956" spans="1:22" x14ac:dyDescent="0.35">
      <c r="A956" t="s">
        <v>503</v>
      </c>
      <c r="B956" t="s">
        <v>27</v>
      </c>
      <c r="C956" t="s">
        <v>475</v>
      </c>
      <c r="D956" t="s">
        <v>3687</v>
      </c>
      <c r="E956" t="s">
        <v>68</v>
      </c>
      <c r="F956" t="s">
        <v>3688</v>
      </c>
      <c r="G956" t="s">
        <v>3689</v>
      </c>
      <c r="H956" s="1">
        <v>46278</v>
      </c>
      <c r="I956" s="6">
        <v>45707</v>
      </c>
      <c r="J956" s="6">
        <v>46095</v>
      </c>
      <c r="K956">
        <v>39</v>
      </c>
      <c r="L956">
        <v>13</v>
      </c>
      <c r="M956">
        <v>13</v>
      </c>
      <c r="N956" s="8">
        <v>2.5</v>
      </c>
      <c r="O956">
        <v>84</v>
      </c>
      <c r="P956">
        <v>93</v>
      </c>
      <c r="Q956" s="3">
        <v>0.48</v>
      </c>
      <c r="R956">
        <f>Inventory_Table[[#This Row],[Stock_Quantity]]*Inventory_Table[[#This Row],[Unit_Price]]</f>
        <v>97.5</v>
      </c>
      <c r="S956">
        <f>Inventory_Table[[#This Row],[Sales_Volume]]*Inventory_Table[[#This Row],[Unit_Price]]</f>
        <v>210</v>
      </c>
      <c r="T956" t="str">
        <f>IF(Inventory_Table[[#This Row],[Stock_Quantity]]&lt;=Inventory_Table[[#This Row],[Reorder_Level]],"REORDER","OK")</f>
        <v>OK</v>
      </c>
      <c r="U956" t="s">
        <v>3838</v>
      </c>
      <c r="V956" s="14">
        <f ca="1">TODAY()-Inventory_Table[[#This Row],[Last_Order_Date]]</f>
        <v>469</v>
      </c>
    </row>
    <row r="957" spans="1:22" x14ac:dyDescent="0.35">
      <c r="A957" t="s">
        <v>640</v>
      </c>
      <c r="B957" t="s">
        <v>163</v>
      </c>
      <c r="C957" t="s">
        <v>3690</v>
      </c>
      <c r="D957" t="s">
        <v>3691</v>
      </c>
      <c r="E957" t="s">
        <v>68</v>
      </c>
      <c r="F957" t="s">
        <v>3692</v>
      </c>
      <c r="G957" t="s">
        <v>3693</v>
      </c>
      <c r="H957" s="1">
        <v>46280</v>
      </c>
      <c r="I957" s="6">
        <v>45558</v>
      </c>
      <c r="J957" s="6">
        <v>46400</v>
      </c>
      <c r="K957">
        <v>46</v>
      </c>
      <c r="L957">
        <v>27</v>
      </c>
      <c r="M957">
        <v>76</v>
      </c>
      <c r="N957" s="8">
        <v>5</v>
      </c>
      <c r="O957">
        <v>64</v>
      </c>
      <c r="P957">
        <v>96</v>
      </c>
      <c r="Q957" s="3">
        <v>-0.11</v>
      </c>
      <c r="R957">
        <f>Inventory_Table[[#This Row],[Stock_Quantity]]*Inventory_Table[[#This Row],[Unit_Price]]</f>
        <v>230</v>
      </c>
      <c r="S957">
        <f>Inventory_Table[[#This Row],[Sales_Volume]]*Inventory_Table[[#This Row],[Unit_Price]]</f>
        <v>320</v>
      </c>
      <c r="T957" t="str">
        <f>IF(Inventory_Table[[#This Row],[Stock_Quantity]]&lt;=Inventory_Table[[#This Row],[Reorder_Level]],"REORDER","OK")</f>
        <v>OK</v>
      </c>
      <c r="U957" t="s">
        <v>3836</v>
      </c>
      <c r="V957" s="14">
        <f ca="1">TODAY()-Inventory_Table[[#This Row],[Last_Order_Date]]</f>
        <v>618</v>
      </c>
    </row>
    <row r="958" spans="1:22" x14ac:dyDescent="0.35">
      <c r="A958" t="s">
        <v>1440</v>
      </c>
      <c r="B958" t="s">
        <v>18</v>
      </c>
      <c r="C958" t="s">
        <v>1187</v>
      </c>
      <c r="D958" t="s">
        <v>3694</v>
      </c>
      <c r="E958" t="s">
        <v>21</v>
      </c>
      <c r="F958" t="s">
        <v>3695</v>
      </c>
      <c r="G958" t="s">
        <v>3696</v>
      </c>
      <c r="H958" s="1">
        <v>46280</v>
      </c>
      <c r="I958" s="6">
        <v>45589</v>
      </c>
      <c r="J958" s="6">
        <v>46383</v>
      </c>
      <c r="K958">
        <v>71</v>
      </c>
      <c r="L958">
        <v>4</v>
      </c>
      <c r="M958">
        <v>37</v>
      </c>
      <c r="N958" s="8">
        <v>3</v>
      </c>
      <c r="O958">
        <v>81</v>
      </c>
      <c r="P958">
        <v>25</v>
      </c>
      <c r="Q958" s="3">
        <v>-0.5</v>
      </c>
      <c r="R958">
        <f>Inventory_Table[[#This Row],[Stock_Quantity]]*Inventory_Table[[#This Row],[Unit_Price]]</f>
        <v>213</v>
      </c>
      <c r="S958">
        <f>Inventory_Table[[#This Row],[Sales_Volume]]*Inventory_Table[[#This Row],[Unit_Price]]</f>
        <v>243</v>
      </c>
      <c r="T958" t="str">
        <f>IF(Inventory_Table[[#This Row],[Stock_Quantity]]&lt;=Inventory_Table[[#This Row],[Reorder_Level]],"REORDER","OK")</f>
        <v>OK</v>
      </c>
      <c r="U958" t="s">
        <v>3836</v>
      </c>
      <c r="V958" s="14">
        <f ca="1">TODAY()-Inventory_Table[[#This Row],[Last_Order_Date]]</f>
        <v>587</v>
      </c>
    </row>
    <row r="959" spans="1:22" x14ac:dyDescent="0.35">
      <c r="A959" t="s">
        <v>154</v>
      </c>
      <c r="B959" t="s">
        <v>65</v>
      </c>
      <c r="C959" t="s">
        <v>735</v>
      </c>
      <c r="D959" t="s">
        <v>3697</v>
      </c>
      <c r="E959" t="s">
        <v>30</v>
      </c>
      <c r="F959" t="s">
        <v>3698</v>
      </c>
      <c r="G959" t="s">
        <v>3699</v>
      </c>
      <c r="H959" s="1">
        <v>46280</v>
      </c>
      <c r="I959" s="6">
        <v>45402</v>
      </c>
      <c r="J959" s="6">
        <v>46179</v>
      </c>
      <c r="K959">
        <v>41</v>
      </c>
      <c r="L959">
        <v>76</v>
      </c>
      <c r="M959">
        <v>47</v>
      </c>
      <c r="N959" s="8">
        <v>2.65</v>
      </c>
      <c r="O959">
        <v>50</v>
      </c>
      <c r="P959">
        <v>50</v>
      </c>
      <c r="Q959" s="3">
        <v>0.69</v>
      </c>
      <c r="R959">
        <f>Inventory_Table[[#This Row],[Stock_Quantity]]*Inventory_Table[[#This Row],[Unit_Price]]</f>
        <v>108.64999999999999</v>
      </c>
      <c r="S959">
        <f>Inventory_Table[[#This Row],[Sales_Volume]]*Inventory_Table[[#This Row],[Unit_Price]]</f>
        <v>132.5</v>
      </c>
      <c r="T959" t="str">
        <f>IF(Inventory_Table[[#This Row],[Stock_Quantity]]&lt;=Inventory_Table[[#This Row],[Reorder_Level]],"REORDER","OK")</f>
        <v>REORDER</v>
      </c>
      <c r="U959" t="s">
        <v>3837</v>
      </c>
      <c r="V959" s="14">
        <f ca="1">TODAY()-Inventory_Table[[#This Row],[Last_Order_Date]]</f>
        <v>774</v>
      </c>
    </row>
    <row r="960" spans="1:22" x14ac:dyDescent="0.35">
      <c r="A960" t="s">
        <v>283</v>
      </c>
      <c r="B960" t="s">
        <v>163</v>
      </c>
      <c r="C960" t="s">
        <v>3438</v>
      </c>
      <c r="D960" t="s">
        <v>3701</v>
      </c>
      <c r="E960" t="s">
        <v>68</v>
      </c>
      <c r="F960" t="s">
        <v>3702</v>
      </c>
      <c r="G960" t="s">
        <v>3703</v>
      </c>
      <c r="H960" s="1">
        <v>46280</v>
      </c>
      <c r="I960" s="6">
        <v>45678</v>
      </c>
      <c r="J960" s="6">
        <v>46317</v>
      </c>
      <c r="K960">
        <v>59</v>
      </c>
      <c r="L960">
        <v>31</v>
      </c>
      <c r="M960">
        <v>3</v>
      </c>
      <c r="N960" s="8">
        <v>10</v>
      </c>
      <c r="O960">
        <v>48</v>
      </c>
      <c r="P960">
        <v>51</v>
      </c>
      <c r="Q960" s="3">
        <v>0</v>
      </c>
      <c r="R960">
        <f>Inventory_Table[[#This Row],[Stock_Quantity]]*Inventory_Table[[#This Row],[Unit_Price]]</f>
        <v>590</v>
      </c>
      <c r="S960">
        <f>Inventory_Table[[#This Row],[Sales_Volume]]*Inventory_Table[[#This Row],[Unit_Price]]</f>
        <v>480</v>
      </c>
      <c r="T960" t="str">
        <f>IF(Inventory_Table[[#This Row],[Stock_Quantity]]&lt;=Inventory_Table[[#This Row],[Reorder_Level]],"REORDER","OK")</f>
        <v>OK</v>
      </c>
      <c r="U960" t="s">
        <v>3836</v>
      </c>
      <c r="V960" s="14">
        <f ca="1">TODAY()-Inventory_Table[[#This Row],[Last_Order_Date]]</f>
        <v>498</v>
      </c>
    </row>
    <row r="961" spans="1:22" x14ac:dyDescent="0.35">
      <c r="A961" t="s">
        <v>1196</v>
      </c>
      <c r="B961" t="s">
        <v>75</v>
      </c>
      <c r="C961" t="s">
        <v>3704</v>
      </c>
      <c r="D961" t="s">
        <v>3705</v>
      </c>
      <c r="E961" t="s">
        <v>68</v>
      </c>
      <c r="F961" t="s">
        <v>3706</v>
      </c>
      <c r="G961" t="s">
        <v>3707</v>
      </c>
      <c r="H961" s="1">
        <v>46280</v>
      </c>
      <c r="I961" s="6">
        <v>45451</v>
      </c>
      <c r="J961" s="6">
        <v>46355</v>
      </c>
      <c r="K961">
        <v>73</v>
      </c>
      <c r="L961">
        <v>12</v>
      </c>
      <c r="M961">
        <v>28</v>
      </c>
      <c r="N961" s="8">
        <v>15</v>
      </c>
      <c r="O961">
        <v>89</v>
      </c>
      <c r="P961">
        <v>92</v>
      </c>
      <c r="Q961" s="3">
        <v>-0.06</v>
      </c>
      <c r="R961">
        <f>Inventory_Table[[#This Row],[Stock_Quantity]]*Inventory_Table[[#This Row],[Unit_Price]]</f>
        <v>1095</v>
      </c>
      <c r="S961">
        <f>Inventory_Table[[#This Row],[Sales_Volume]]*Inventory_Table[[#This Row],[Unit_Price]]</f>
        <v>1335</v>
      </c>
      <c r="T961" t="str">
        <f>IF(Inventory_Table[[#This Row],[Stock_Quantity]]&lt;=Inventory_Table[[#This Row],[Reorder_Level]],"REORDER","OK")</f>
        <v>OK</v>
      </c>
      <c r="U961" t="s">
        <v>3836</v>
      </c>
      <c r="V961" s="14">
        <f ca="1">TODAY()-Inventory_Table[[#This Row],[Last_Order_Date]]</f>
        <v>725</v>
      </c>
    </row>
    <row r="962" spans="1:22" x14ac:dyDescent="0.35">
      <c r="A962" t="s">
        <v>1196</v>
      </c>
      <c r="B962" t="s">
        <v>75</v>
      </c>
      <c r="C962" t="s">
        <v>1870</v>
      </c>
      <c r="D962" t="s">
        <v>3708</v>
      </c>
      <c r="E962" t="s">
        <v>68</v>
      </c>
      <c r="F962" t="s">
        <v>3709</v>
      </c>
      <c r="G962" t="s">
        <v>3710</v>
      </c>
      <c r="H962" s="1">
        <v>46281</v>
      </c>
      <c r="I962" s="6">
        <v>45347</v>
      </c>
      <c r="J962" s="6">
        <v>46248</v>
      </c>
      <c r="K962">
        <v>49</v>
      </c>
      <c r="L962">
        <v>48</v>
      </c>
      <c r="M962">
        <v>62</v>
      </c>
      <c r="N962" s="8">
        <v>15</v>
      </c>
      <c r="O962">
        <v>96</v>
      </c>
      <c r="P962">
        <v>37</v>
      </c>
      <c r="Q962" s="3">
        <v>-0.03</v>
      </c>
      <c r="R962">
        <f>Inventory_Table[[#This Row],[Stock_Quantity]]*Inventory_Table[[#This Row],[Unit_Price]]</f>
        <v>735</v>
      </c>
      <c r="S962">
        <f>Inventory_Table[[#This Row],[Sales_Volume]]*Inventory_Table[[#This Row],[Unit_Price]]</f>
        <v>1440</v>
      </c>
      <c r="T962" t="str">
        <f>IF(Inventory_Table[[#This Row],[Stock_Quantity]]&lt;=Inventory_Table[[#This Row],[Reorder_Level]],"REORDER","OK")</f>
        <v>OK</v>
      </c>
      <c r="U962" t="s">
        <v>3836</v>
      </c>
      <c r="V962" s="14">
        <f ca="1">TODAY()-Inventory_Table[[#This Row],[Last_Order_Date]]</f>
        <v>829</v>
      </c>
    </row>
    <row r="963" spans="1:22" x14ac:dyDescent="0.35">
      <c r="A963" t="s">
        <v>450</v>
      </c>
      <c r="B963" t="s">
        <v>18</v>
      </c>
      <c r="C963" t="s">
        <v>2960</v>
      </c>
      <c r="D963" t="s">
        <v>3711</v>
      </c>
      <c r="E963" t="s">
        <v>30</v>
      </c>
      <c r="F963" t="s">
        <v>3712</v>
      </c>
      <c r="G963" t="s">
        <v>3713</v>
      </c>
      <c r="H963" s="1">
        <v>46281</v>
      </c>
      <c r="I963" s="6">
        <v>45601</v>
      </c>
      <c r="J963" s="6">
        <v>46319</v>
      </c>
      <c r="K963">
        <v>83</v>
      </c>
      <c r="L963">
        <v>61</v>
      </c>
      <c r="M963">
        <v>4</v>
      </c>
      <c r="N963" s="8">
        <v>1</v>
      </c>
      <c r="O963">
        <v>35</v>
      </c>
      <c r="P963">
        <v>7</v>
      </c>
      <c r="Q963" s="3">
        <v>0.61</v>
      </c>
      <c r="R963">
        <f>Inventory_Table[[#This Row],[Stock_Quantity]]*Inventory_Table[[#This Row],[Unit_Price]]</f>
        <v>83</v>
      </c>
      <c r="S963">
        <f>Inventory_Table[[#This Row],[Sales_Volume]]*Inventory_Table[[#This Row],[Unit_Price]]</f>
        <v>35</v>
      </c>
      <c r="T963" t="str">
        <f>IF(Inventory_Table[[#This Row],[Stock_Quantity]]&lt;=Inventory_Table[[#This Row],[Reorder_Level]],"REORDER","OK")</f>
        <v>OK</v>
      </c>
      <c r="U963" t="s">
        <v>3836</v>
      </c>
      <c r="V963" s="14">
        <f ca="1">TODAY()-Inventory_Table[[#This Row],[Last_Order_Date]]</f>
        <v>575</v>
      </c>
    </row>
    <row r="964" spans="1:22" x14ac:dyDescent="0.35">
      <c r="A964" t="s">
        <v>549</v>
      </c>
      <c r="B964" t="s">
        <v>18</v>
      </c>
      <c r="C964" t="s">
        <v>213</v>
      </c>
      <c r="D964" t="s">
        <v>3714</v>
      </c>
      <c r="E964" t="s">
        <v>68</v>
      </c>
      <c r="F964" t="s">
        <v>3715</v>
      </c>
      <c r="G964" t="s">
        <v>3716</v>
      </c>
      <c r="H964" s="1">
        <v>46282</v>
      </c>
      <c r="I964" s="6">
        <v>45531</v>
      </c>
      <c r="J964" s="6">
        <v>46420</v>
      </c>
      <c r="K964">
        <v>56</v>
      </c>
      <c r="L964">
        <v>12</v>
      </c>
      <c r="M964">
        <v>59</v>
      </c>
      <c r="N964" s="8">
        <v>98.43</v>
      </c>
      <c r="O964">
        <v>35</v>
      </c>
      <c r="P964">
        <v>16</v>
      </c>
      <c r="Q964" s="3">
        <v>0.8</v>
      </c>
      <c r="R964">
        <f>Inventory_Table[[#This Row],[Stock_Quantity]]*Inventory_Table[[#This Row],[Unit_Price]]</f>
        <v>5512.08</v>
      </c>
      <c r="S964">
        <f>Inventory_Table[[#This Row],[Sales_Volume]]*Inventory_Table[[#This Row],[Unit_Price]]</f>
        <v>3445.05</v>
      </c>
      <c r="T964" t="str">
        <f>IF(Inventory_Table[[#This Row],[Stock_Quantity]]&lt;=Inventory_Table[[#This Row],[Reorder_Level]],"REORDER","OK")</f>
        <v>OK</v>
      </c>
      <c r="U964" t="s">
        <v>3836</v>
      </c>
      <c r="V964" s="14">
        <f ca="1">TODAY()-Inventory_Table[[#This Row],[Last_Order_Date]]</f>
        <v>645</v>
      </c>
    </row>
    <row r="965" spans="1:22" x14ac:dyDescent="0.35">
      <c r="A965" t="s">
        <v>1008</v>
      </c>
      <c r="B965" t="s">
        <v>18</v>
      </c>
      <c r="C965" t="s">
        <v>3718</v>
      </c>
      <c r="D965" t="s">
        <v>3719</v>
      </c>
      <c r="E965" t="s">
        <v>68</v>
      </c>
      <c r="F965" t="s">
        <v>3720</v>
      </c>
      <c r="G965" t="s">
        <v>3721</v>
      </c>
      <c r="H965" s="1">
        <v>46283</v>
      </c>
      <c r="I965" s="6">
        <v>45424</v>
      </c>
      <c r="J965" s="6">
        <v>46203</v>
      </c>
      <c r="K965">
        <v>48</v>
      </c>
      <c r="L965">
        <v>72</v>
      </c>
      <c r="M965">
        <v>55</v>
      </c>
      <c r="N965" s="8">
        <v>3</v>
      </c>
      <c r="O965">
        <v>51</v>
      </c>
      <c r="P965">
        <v>41</v>
      </c>
      <c r="Q965" s="3">
        <v>0.54</v>
      </c>
      <c r="R965">
        <f>Inventory_Table[[#This Row],[Stock_Quantity]]*Inventory_Table[[#This Row],[Unit_Price]]</f>
        <v>144</v>
      </c>
      <c r="S965">
        <f>Inventory_Table[[#This Row],[Sales_Volume]]*Inventory_Table[[#This Row],[Unit_Price]]</f>
        <v>153</v>
      </c>
      <c r="T965" t="str">
        <f>IF(Inventory_Table[[#This Row],[Stock_Quantity]]&lt;=Inventory_Table[[#This Row],[Reorder_Level]],"REORDER","OK")</f>
        <v>REORDER</v>
      </c>
      <c r="U965" t="s">
        <v>3837</v>
      </c>
      <c r="V965" s="14">
        <f ca="1">TODAY()-Inventory_Table[[#This Row],[Last_Order_Date]]</f>
        <v>752</v>
      </c>
    </row>
    <row r="966" spans="1:22" x14ac:dyDescent="0.35">
      <c r="A966" t="s">
        <v>786</v>
      </c>
      <c r="B966" t="s">
        <v>65</v>
      </c>
      <c r="C966" t="s">
        <v>1771</v>
      </c>
      <c r="D966" t="s">
        <v>3722</v>
      </c>
      <c r="E966" t="s">
        <v>68</v>
      </c>
      <c r="F966" t="s">
        <v>3723</v>
      </c>
      <c r="G966" t="s">
        <v>3724</v>
      </c>
      <c r="H966" s="1">
        <v>46283</v>
      </c>
      <c r="I966" s="6">
        <v>45542</v>
      </c>
      <c r="J966" s="6">
        <v>46174</v>
      </c>
      <c r="K966">
        <v>66</v>
      </c>
      <c r="L966">
        <v>19</v>
      </c>
      <c r="M966">
        <v>20</v>
      </c>
      <c r="N966" s="8">
        <v>2.4</v>
      </c>
      <c r="O966">
        <v>30</v>
      </c>
      <c r="P966">
        <v>49</v>
      </c>
      <c r="Q966" s="3">
        <v>0.2</v>
      </c>
      <c r="R966">
        <f>Inventory_Table[[#This Row],[Stock_Quantity]]*Inventory_Table[[#This Row],[Unit_Price]]</f>
        <v>158.4</v>
      </c>
      <c r="S966">
        <f>Inventory_Table[[#This Row],[Sales_Volume]]*Inventory_Table[[#This Row],[Unit_Price]]</f>
        <v>72</v>
      </c>
      <c r="T966" t="str">
        <f>IF(Inventory_Table[[#This Row],[Stock_Quantity]]&lt;=Inventory_Table[[#This Row],[Reorder_Level]],"REORDER","OK")</f>
        <v>OK</v>
      </c>
      <c r="U966" t="s">
        <v>3837</v>
      </c>
      <c r="V966" s="14">
        <f ca="1">TODAY()-Inventory_Table[[#This Row],[Last_Order_Date]]</f>
        <v>634</v>
      </c>
    </row>
    <row r="967" spans="1:22" x14ac:dyDescent="0.35">
      <c r="A967" t="s">
        <v>253</v>
      </c>
      <c r="B967" t="s">
        <v>65</v>
      </c>
      <c r="C967" t="s">
        <v>1884</v>
      </c>
      <c r="D967" t="s">
        <v>3725</v>
      </c>
      <c r="E967" t="s">
        <v>68</v>
      </c>
      <c r="F967" t="s">
        <v>3726</v>
      </c>
      <c r="G967" t="s">
        <v>3727</v>
      </c>
      <c r="H967" s="1">
        <v>46284</v>
      </c>
      <c r="I967" s="6">
        <v>45684</v>
      </c>
      <c r="J967" s="6">
        <v>46290</v>
      </c>
      <c r="K967">
        <v>42</v>
      </c>
      <c r="L967">
        <v>3</v>
      </c>
      <c r="M967">
        <v>21</v>
      </c>
      <c r="N967" s="8">
        <v>2</v>
      </c>
      <c r="O967">
        <v>35</v>
      </c>
      <c r="P967">
        <v>22</v>
      </c>
      <c r="Q967" s="3">
        <v>-0.63</v>
      </c>
      <c r="R967">
        <f>Inventory_Table[[#This Row],[Stock_Quantity]]*Inventory_Table[[#This Row],[Unit_Price]]</f>
        <v>84</v>
      </c>
      <c r="S967">
        <f>Inventory_Table[[#This Row],[Sales_Volume]]*Inventory_Table[[#This Row],[Unit_Price]]</f>
        <v>70</v>
      </c>
      <c r="T967" t="str">
        <f>IF(Inventory_Table[[#This Row],[Stock_Quantity]]&lt;=Inventory_Table[[#This Row],[Reorder_Level]],"REORDER","OK")</f>
        <v>OK</v>
      </c>
      <c r="U967" t="s">
        <v>3836</v>
      </c>
      <c r="V967" s="14">
        <f ca="1">TODAY()-Inventory_Table[[#This Row],[Last_Order_Date]]</f>
        <v>492</v>
      </c>
    </row>
    <row r="968" spans="1:22" x14ac:dyDescent="0.35">
      <c r="A968" t="s">
        <v>418</v>
      </c>
      <c r="B968" t="s">
        <v>65</v>
      </c>
      <c r="C968" t="s">
        <v>2862</v>
      </c>
      <c r="D968" t="s">
        <v>3728</v>
      </c>
      <c r="E968" t="s">
        <v>30</v>
      </c>
      <c r="F968" t="s">
        <v>3729</v>
      </c>
      <c r="G968" t="s">
        <v>3730</v>
      </c>
      <c r="H968" s="1">
        <v>46284</v>
      </c>
      <c r="I968" s="6">
        <v>45596</v>
      </c>
      <c r="J968" s="6">
        <v>46094</v>
      </c>
      <c r="K968">
        <v>49</v>
      </c>
      <c r="L968">
        <v>3</v>
      </c>
      <c r="M968">
        <v>7</v>
      </c>
      <c r="N968" s="8">
        <v>6.25</v>
      </c>
      <c r="O968">
        <v>75</v>
      </c>
      <c r="P968">
        <v>46</v>
      </c>
      <c r="Q968" s="3">
        <v>0.37</v>
      </c>
      <c r="R968">
        <f>Inventory_Table[[#This Row],[Stock_Quantity]]*Inventory_Table[[#This Row],[Unit_Price]]</f>
        <v>306.25</v>
      </c>
      <c r="S968">
        <f>Inventory_Table[[#This Row],[Sales_Volume]]*Inventory_Table[[#This Row],[Unit_Price]]</f>
        <v>468.75</v>
      </c>
      <c r="T968" t="str">
        <f>IF(Inventory_Table[[#This Row],[Stock_Quantity]]&lt;=Inventory_Table[[#This Row],[Reorder_Level]],"REORDER","OK")</f>
        <v>OK</v>
      </c>
      <c r="U968" t="s">
        <v>3838</v>
      </c>
      <c r="V968" s="14">
        <f ca="1">TODAY()-Inventory_Table[[#This Row],[Last_Order_Date]]</f>
        <v>580</v>
      </c>
    </row>
    <row r="969" spans="1:22" x14ac:dyDescent="0.35">
      <c r="A969" t="s">
        <v>212</v>
      </c>
      <c r="B969" t="s">
        <v>75</v>
      </c>
      <c r="C969" t="s">
        <v>195</v>
      </c>
      <c r="D969" t="s">
        <v>3731</v>
      </c>
      <c r="E969" t="s">
        <v>21</v>
      </c>
      <c r="F969" t="s">
        <v>3732</v>
      </c>
      <c r="G969" t="s">
        <v>3733</v>
      </c>
      <c r="H969" s="1">
        <v>46284</v>
      </c>
      <c r="I969" s="6">
        <v>45450</v>
      </c>
      <c r="J969" s="6">
        <v>46190</v>
      </c>
      <c r="K969">
        <v>46</v>
      </c>
      <c r="L969">
        <v>80</v>
      </c>
      <c r="M969">
        <v>88</v>
      </c>
      <c r="N969" s="8">
        <v>7</v>
      </c>
      <c r="O969">
        <v>62</v>
      </c>
      <c r="P969">
        <v>22</v>
      </c>
      <c r="Q969" s="3">
        <v>0.39</v>
      </c>
      <c r="R969">
        <f>Inventory_Table[[#This Row],[Stock_Quantity]]*Inventory_Table[[#This Row],[Unit_Price]]</f>
        <v>322</v>
      </c>
      <c r="S969">
        <f>Inventory_Table[[#This Row],[Sales_Volume]]*Inventory_Table[[#This Row],[Unit_Price]]</f>
        <v>434</v>
      </c>
      <c r="T969" t="str">
        <f>IF(Inventory_Table[[#This Row],[Stock_Quantity]]&lt;=Inventory_Table[[#This Row],[Reorder_Level]],"REORDER","OK")</f>
        <v>REORDER</v>
      </c>
      <c r="U969" t="s">
        <v>3837</v>
      </c>
      <c r="V969" s="14">
        <f ca="1">TODAY()-Inventory_Table[[#This Row],[Last_Order_Date]]</f>
        <v>726</v>
      </c>
    </row>
    <row r="970" spans="1:22" x14ac:dyDescent="0.35">
      <c r="A970" t="s">
        <v>217</v>
      </c>
      <c r="B970" t="s">
        <v>65</v>
      </c>
      <c r="C970" t="s">
        <v>164</v>
      </c>
      <c r="D970" t="s">
        <v>3734</v>
      </c>
      <c r="E970" t="s">
        <v>21</v>
      </c>
      <c r="F970" t="s">
        <v>3735</v>
      </c>
      <c r="G970" t="s">
        <v>3736</v>
      </c>
      <c r="H970" s="1">
        <v>46286</v>
      </c>
      <c r="I970" s="6">
        <v>45589</v>
      </c>
      <c r="J970" s="6">
        <v>46433</v>
      </c>
      <c r="K970">
        <v>20</v>
      </c>
      <c r="L970">
        <v>34</v>
      </c>
      <c r="M970">
        <v>74</v>
      </c>
      <c r="N970" s="8">
        <v>4.5</v>
      </c>
      <c r="O970">
        <v>50</v>
      </c>
      <c r="P970">
        <v>83</v>
      </c>
      <c r="Q970" s="3">
        <v>0.65</v>
      </c>
      <c r="R970">
        <f>Inventory_Table[[#This Row],[Stock_Quantity]]*Inventory_Table[[#This Row],[Unit_Price]]</f>
        <v>90</v>
      </c>
      <c r="S970">
        <f>Inventory_Table[[#This Row],[Sales_Volume]]*Inventory_Table[[#This Row],[Unit_Price]]</f>
        <v>225</v>
      </c>
      <c r="T970" t="str">
        <f>IF(Inventory_Table[[#This Row],[Stock_Quantity]]&lt;=Inventory_Table[[#This Row],[Reorder_Level]],"REORDER","OK")</f>
        <v>REORDER</v>
      </c>
      <c r="U970" t="s">
        <v>3836</v>
      </c>
      <c r="V970" s="14">
        <f ca="1">TODAY()-Inventory_Table[[#This Row],[Last_Order_Date]]</f>
        <v>587</v>
      </c>
    </row>
    <row r="971" spans="1:22" x14ac:dyDescent="0.35">
      <c r="A971" t="s">
        <v>382</v>
      </c>
      <c r="B971" t="s">
        <v>36</v>
      </c>
      <c r="C971" t="s">
        <v>178</v>
      </c>
      <c r="D971" t="s">
        <v>3737</v>
      </c>
      <c r="E971" t="s">
        <v>21</v>
      </c>
      <c r="F971" t="s">
        <v>3738</v>
      </c>
      <c r="G971" t="s">
        <v>3739</v>
      </c>
      <c r="H971" s="1">
        <v>46286</v>
      </c>
      <c r="I971" s="6">
        <v>45458</v>
      </c>
      <c r="J971" s="6">
        <v>46280</v>
      </c>
      <c r="K971">
        <v>29</v>
      </c>
      <c r="L971">
        <v>32</v>
      </c>
      <c r="M971">
        <v>26</v>
      </c>
      <c r="N971" s="8">
        <v>2.5</v>
      </c>
      <c r="O971">
        <v>64</v>
      </c>
      <c r="P971">
        <v>85</v>
      </c>
      <c r="Q971" s="3">
        <v>-0.66</v>
      </c>
      <c r="R971">
        <f>Inventory_Table[[#This Row],[Stock_Quantity]]*Inventory_Table[[#This Row],[Unit_Price]]</f>
        <v>72.5</v>
      </c>
      <c r="S971">
        <f>Inventory_Table[[#This Row],[Sales_Volume]]*Inventory_Table[[#This Row],[Unit_Price]]</f>
        <v>160</v>
      </c>
      <c r="T971" t="str">
        <f>IF(Inventory_Table[[#This Row],[Stock_Quantity]]&lt;=Inventory_Table[[#This Row],[Reorder_Level]],"REORDER","OK")</f>
        <v>REORDER</v>
      </c>
      <c r="U971" t="s">
        <v>3836</v>
      </c>
      <c r="V971" s="14">
        <f ca="1">TODAY()-Inventory_Table[[#This Row],[Last_Order_Date]]</f>
        <v>718</v>
      </c>
    </row>
    <row r="972" spans="1:22" x14ac:dyDescent="0.35">
      <c r="A972" t="s">
        <v>382</v>
      </c>
      <c r="B972" t="s">
        <v>36</v>
      </c>
      <c r="C972" t="s">
        <v>3740</v>
      </c>
      <c r="D972" t="s">
        <v>3741</v>
      </c>
      <c r="E972" t="s">
        <v>21</v>
      </c>
      <c r="F972" t="s">
        <v>3742</v>
      </c>
      <c r="G972" t="s">
        <v>3743</v>
      </c>
      <c r="H972" s="1">
        <v>46286</v>
      </c>
      <c r="I972" s="6">
        <v>45443</v>
      </c>
      <c r="J972" s="6">
        <v>46364</v>
      </c>
      <c r="K972">
        <v>62</v>
      </c>
      <c r="L972">
        <v>91</v>
      </c>
      <c r="M972">
        <v>14</v>
      </c>
      <c r="N972" s="8">
        <v>2.5</v>
      </c>
      <c r="O972">
        <v>41</v>
      </c>
      <c r="P972">
        <v>77</v>
      </c>
      <c r="Q972" s="3">
        <v>-0.33</v>
      </c>
      <c r="R972">
        <f>Inventory_Table[[#This Row],[Stock_Quantity]]*Inventory_Table[[#This Row],[Unit_Price]]</f>
        <v>155</v>
      </c>
      <c r="S972">
        <f>Inventory_Table[[#This Row],[Sales_Volume]]*Inventory_Table[[#This Row],[Unit_Price]]</f>
        <v>102.5</v>
      </c>
      <c r="T972" t="str">
        <f>IF(Inventory_Table[[#This Row],[Stock_Quantity]]&lt;=Inventory_Table[[#This Row],[Reorder_Level]],"REORDER","OK")</f>
        <v>REORDER</v>
      </c>
      <c r="U972" t="s">
        <v>3836</v>
      </c>
      <c r="V972" s="14">
        <f ca="1">TODAY()-Inventory_Table[[#This Row],[Last_Order_Date]]</f>
        <v>733</v>
      </c>
    </row>
    <row r="973" spans="1:22" x14ac:dyDescent="0.35">
      <c r="A973" t="s">
        <v>212</v>
      </c>
      <c r="B973" t="s">
        <v>75</v>
      </c>
      <c r="C973" t="s">
        <v>3582</v>
      </c>
      <c r="D973" t="s">
        <v>3744</v>
      </c>
      <c r="E973" t="s">
        <v>30</v>
      </c>
      <c r="F973" t="s">
        <v>3745</v>
      </c>
      <c r="G973" t="s">
        <v>3746</v>
      </c>
      <c r="H973" s="1">
        <v>46286</v>
      </c>
      <c r="I973" s="6">
        <v>45651</v>
      </c>
      <c r="J973" s="6">
        <v>46160</v>
      </c>
      <c r="K973">
        <v>100</v>
      </c>
      <c r="L973">
        <v>61</v>
      </c>
      <c r="M973">
        <v>21</v>
      </c>
      <c r="N973" s="8">
        <v>7</v>
      </c>
      <c r="O973">
        <v>85</v>
      </c>
      <c r="P973">
        <v>79</v>
      </c>
      <c r="Q973" s="3">
        <v>-0.88</v>
      </c>
      <c r="R973">
        <f>Inventory_Table[[#This Row],[Stock_Quantity]]*Inventory_Table[[#This Row],[Unit_Price]]</f>
        <v>700</v>
      </c>
      <c r="S973">
        <f>Inventory_Table[[#This Row],[Sales_Volume]]*Inventory_Table[[#This Row],[Unit_Price]]</f>
        <v>595</v>
      </c>
      <c r="T973" t="str">
        <f>IF(Inventory_Table[[#This Row],[Stock_Quantity]]&lt;=Inventory_Table[[#This Row],[Reorder_Level]],"REORDER","OK")</f>
        <v>OK</v>
      </c>
      <c r="U973" t="s">
        <v>3838</v>
      </c>
      <c r="V973" s="14">
        <f ca="1">TODAY()-Inventory_Table[[#This Row],[Last_Order_Date]]</f>
        <v>525</v>
      </c>
    </row>
    <row r="974" spans="1:22" x14ac:dyDescent="0.35">
      <c r="A974" t="s">
        <v>786</v>
      </c>
      <c r="B974" t="s">
        <v>65</v>
      </c>
      <c r="C974" t="s">
        <v>1226</v>
      </c>
      <c r="D974" t="s">
        <v>3747</v>
      </c>
      <c r="E974" t="s">
        <v>21</v>
      </c>
      <c r="F974" t="s">
        <v>3748</v>
      </c>
      <c r="G974" t="s">
        <v>3749</v>
      </c>
      <c r="H974" s="1">
        <v>46287</v>
      </c>
      <c r="I974" s="6">
        <v>45424</v>
      </c>
      <c r="J974" s="6">
        <v>46212</v>
      </c>
      <c r="K974">
        <v>28</v>
      </c>
      <c r="L974">
        <v>24</v>
      </c>
      <c r="M974">
        <v>97</v>
      </c>
      <c r="N974" s="8">
        <v>2.5</v>
      </c>
      <c r="O974">
        <v>82</v>
      </c>
      <c r="P974">
        <v>5</v>
      </c>
      <c r="Q974" s="3">
        <v>7.0000000000000007E-2</v>
      </c>
      <c r="R974">
        <f>Inventory_Table[[#This Row],[Stock_Quantity]]*Inventory_Table[[#This Row],[Unit_Price]]</f>
        <v>70</v>
      </c>
      <c r="S974">
        <f>Inventory_Table[[#This Row],[Sales_Volume]]*Inventory_Table[[#This Row],[Unit_Price]]</f>
        <v>205</v>
      </c>
      <c r="T974" t="str">
        <f>IF(Inventory_Table[[#This Row],[Stock_Quantity]]&lt;=Inventory_Table[[#This Row],[Reorder_Level]],"REORDER","OK")</f>
        <v>OK</v>
      </c>
      <c r="U974" t="s">
        <v>3836</v>
      </c>
      <c r="V974" s="14">
        <f ca="1">TODAY()-Inventory_Table[[#This Row],[Last_Order_Date]]</f>
        <v>752</v>
      </c>
    </row>
    <row r="975" spans="1:22" x14ac:dyDescent="0.35">
      <c r="A975" t="s">
        <v>671</v>
      </c>
      <c r="B975" t="s">
        <v>65</v>
      </c>
      <c r="C975" t="s">
        <v>218</v>
      </c>
      <c r="D975" t="s">
        <v>3750</v>
      </c>
      <c r="E975" t="s">
        <v>68</v>
      </c>
      <c r="F975" t="s">
        <v>3751</v>
      </c>
      <c r="G975" t="s">
        <v>3752</v>
      </c>
      <c r="H975" s="1">
        <v>46288</v>
      </c>
      <c r="I975" s="6">
        <v>45483</v>
      </c>
      <c r="J975" s="6">
        <v>46111</v>
      </c>
      <c r="K975">
        <v>26</v>
      </c>
      <c r="L975">
        <v>82</v>
      </c>
      <c r="M975">
        <v>19</v>
      </c>
      <c r="N975" s="8">
        <v>1.5</v>
      </c>
      <c r="O975">
        <v>76</v>
      </c>
      <c r="P975">
        <v>88</v>
      </c>
      <c r="Q975" s="3">
        <v>0.94</v>
      </c>
      <c r="R975">
        <f>Inventory_Table[[#This Row],[Stock_Quantity]]*Inventory_Table[[#This Row],[Unit_Price]]</f>
        <v>39</v>
      </c>
      <c r="S975">
        <f>Inventory_Table[[#This Row],[Sales_Volume]]*Inventory_Table[[#This Row],[Unit_Price]]</f>
        <v>114</v>
      </c>
      <c r="T975" t="str">
        <f>IF(Inventory_Table[[#This Row],[Stock_Quantity]]&lt;=Inventory_Table[[#This Row],[Reorder_Level]],"REORDER","OK")</f>
        <v>REORDER</v>
      </c>
      <c r="U975" t="s">
        <v>3838</v>
      </c>
      <c r="V975" s="14">
        <f ca="1">TODAY()-Inventory_Table[[#This Row],[Last_Order_Date]]</f>
        <v>693</v>
      </c>
    </row>
    <row r="976" spans="1:22" x14ac:dyDescent="0.35">
      <c r="A976" t="s">
        <v>43</v>
      </c>
      <c r="B976" t="s">
        <v>18</v>
      </c>
      <c r="C976" t="s">
        <v>490</v>
      </c>
      <c r="D976" t="s">
        <v>3753</v>
      </c>
      <c r="E976" t="s">
        <v>21</v>
      </c>
      <c r="F976" t="s">
        <v>3754</v>
      </c>
      <c r="G976" t="s">
        <v>3755</v>
      </c>
      <c r="H976" s="1">
        <v>46288</v>
      </c>
      <c r="I976" s="6">
        <v>45617</v>
      </c>
      <c r="J976" s="6">
        <v>46121</v>
      </c>
      <c r="K976">
        <v>67</v>
      </c>
      <c r="L976">
        <v>68</v>
      </c>
      <c r="M976">
        <v>50</v>
      </c>
      <c r="N976" s="8">
        <v>1.5</v>
      </c>
      <c r="O976">
        <v>67</v>
      </c>
      <c r="P976">
        <v>82</v>
      </c>
      <c r="Q976" s="3">
        <v>-0.16</v>
      </c>
      <c r="R976">
        <f>Inventory_Table[[#This Row],[Stock_Quantity]]*Inventory_Table[[#This Row],[Unit_Price]]</f>
        <v>100.5</v>
      </c>
      <c r="S976">
        <f>Inventory_Table[[#This Row],[Sales_Volume]]*Inventory_Table[[#This Row],[Unit_Price]]</f>
        <v>100.5</v>
      </c>
      <c r="T976" t="str">
        <f>IF(Inventory_Table[[#This Row],[Stock_Quantity]]&lt;=Inventory_Table[[#This Row],[Reorder_Level]],"REORDER","OK")</f>
        <v>REORDER</v>
      </c>
      <c r="U976" t="s">
        <v>3838</v>
      </c>
      <c r="V976" s="14">
        <f ca="1">TODAY()-Inventory_Table[[#This Row],[Last_Order_Date]]</f>
        <v>559</v>
      </c>
    </row>
    <row r="977" spans="1:22" x14ac:dyDescent="0.35">
      <c r="A977" t="s">
        <v>1704</v>
      </c>
      <c r="B977" t="s">
        <v>18</v>
      </c>
      <c r="C977" t="s">
        <v>862</v>
      </c>
      <c r="D977" t="s">
        <v>3756</v>
      </c>
      <c r="E977" t="s">
        <v>68</v>
      </c>
      <c r="F977" t="s">
        <v>3757</v>
      </c>
      <c r="G977" t="s">
        <v>3758</v>
      </c>
      <c r="H977" s="1">
        <v>46288</v>
      </c>
      <c r="I977" s="6">
        <v>45539</v>
      </c>
      <c r="J977" s="6">
        <v>46376</v>
      </c>
      <c r="K977">
        <v>53</v>
      </c>
      <c r="L977">
        <v>98</v>
      </c>
      <c r="M977">
        <v>25</v>
      </c>
      <c r="N977" s="8">
        <v>10</v>
      </c>
      <c r="O977">
        <v>55</v>
      </c>
      <c r="P977">
        <v>51</v>
      </c>
      <c r="Q977" s="3">
        <v>-0.22</v>
      </c>
      <c r="R977">
        <f>Inventory_Table[[#This Row],[Stock_Quantity]]*Inventory_Table[[#This Row],[Unit_Price]]</f>
        <v>530</v>
      </c>
      <c r="S977">
        <f>Inventory_Table[[#This Row],[Sales_Volume]]*Inventory_Table[[#This Row],[Unit_Price]]</f>
        <v>550</v>
      </c>
      <c r="T977" t="str">
        <f>IF(Inventory_Table[[#This Row],[Stock_Quantity]]&lt;=Inventory_Table[[#This Row],[Reorder_Level]],"REORDER","OK")</f>
        <v>REORDER</v>
      </c>
      <c r="U977" t="s">
        <v>3836</v>
      </c>
      <c r="V977" s="14">
        <f ca="1">TODAY()-Inventory_Table[[#This Row],[Last_Order_Date]]</f>
        <v>637</v>
      </c>
    </row>
    <row r="978" spans="1:22" x14ac:dyDescent="0.35">
      <c r="A978" t="s">
        <v>331</v>
      </c>
      <c r="B978" t="s">
        <v>27</v>
      </c>
      <c r="C978" t="s">
        <v>1360</v>
      </c>
      <c r="D978" t="s">
        <v>3759</v>
      </c>
      <c r="E978" t="s">
        <v>21</v>
      </c>
      <c r="F978" t="s">
        <v>3760</v>
      </c>
      <c r="G978" t="s">
        <v>3761</v>
      </c>
      <c r="H978" s="1">
        <v>46288</v>
      </c>
      <c r="I978" s="6">
        <v>45626</v>
      </c>
      <c r="J978" s="6">
        <v>46353</v>
      </c>
      <c r="K978">
        <v>49</v>
      </c>
      <c r="L978">
        <v>17</v>
      </c>
      <c r="M978">
        <v>54</v>
      </c>
      <c r="N978" s="8">
        <v>4</v>
      </c>
      <c r="O978">
        <v>45</v>
      </c>
      <c r="P978">
        <v>96</v>
      </c>
      <c r="Q978" s="3">
        <v>7.0000000000000007E-2</v>
      </c>
      <c r="R978">
        <f>Inventory_Table[[#This Row],[Stock_Quantity]]*Inventory_Table[[#This Row],[Unit_Price]]</f>
        <v>196</v>
      </c>
      <c r="S978">
        <f>Inventory_Table[[#This Row],[Sales_Volume]]*Inventory_Table[[#This Row],[Unit_Price]]</f>
        <v>180</v>
      </c>
      <c r="T978" t="str">
        <f>IF(Inventory_Table[[#This Row],[Stock_Quantity]]&lt;=Inventory_Table[[#This Row],[Reorder_Level]],"REORDER","OK")</f>
        <v>OK</v>
      </c>
      <c r="U978" t="s">
        <v>3836</v>
      </c>
      <c r="V978" s="14">
        <f ca="1">TODAY()-Inventory_Table[[#This Row],[Last_Order_Date]]</f>
        <v>550</v>
      </c>
    </row>
    <row r="979" spans="1:22" x14ac:dyDescent="0.35">
      <c r="A979" t="s">
        <v>89</v>
      </c>
      <c r="B979" t="s">
        <v>36</v>
      </c>
      <c r="C979" t="s">
        <v>284</v>
      </c>
      <c r="D979" t="s">
        <v>3762</v>
      </c>
      <c r="E979" t="s">
        <v>30</v>
      </c>
      <c r="F979" t="s">
        <v>3763</v>
      </c>
      <c r="G979" t="s">
        <v>3764</v>
      </c>
      <c r="H979" s="1">
        <v>46288</v>
      </c>
      <c r="I979" s="6">
        <v>45474</v>
      </c>
      <c r="J979" s="6">
        <v>46165</v>
      </c>
      <c r="K979">
        <v>63</v>
      </c>
      <c r="L979">
        <v>12</v>
      </c>
      <c r="M979">
        <v>82</v>
      </c>
      <c r="N979" s="8">
        <v>1.7</v>
      </c>
      <c r="O979">
        <v>56</v>
      </c>
      <c r="P979">
        <v>31</v>
      </c>
      <c r="Q979" s="3">
        <v>-1.1299999999999999</v>
      </c>
      <c r="R979">
        <f>Inventory_Table[[#This Row],[Stock_Quantity]]*Inventory_Table[[#This Row],[Unit_Price]]</f>
        <v>107.1</v>
      </c>
      <c r="S979">
        <f>Inventory_Table[[#This Row],[Sales_Volume]]*Inventory_Table[[#This Row],[Unit_Price]]</f>
        <v>95.2</v>
      </c>
      <c r="T979" t="str">
        <f>IF(Inventory_Table[[#This Row],[Stock_Quantity]]&lt;=Inventory_Table[[#This Row],[Reorder_Level]],"REORDER","OK")</f>
        <v>OK</v>
      </c>
      <c r="U979" t="s">
        <v>3838</v>
      </c>
      <c r="V979" s="14">
        <f ca="1">TODAY()-Inventory_Table[[#This Row],[Last_Order_Date]]</f>
        <v>702</v>
      </c>
    </row>
    <row r="980" spans="1:22" x14ac:dyDescent="0.35">
      <c r="A980" t="s">
        <v>1201</v>
      </c>
      <c r="B980" t="s">
        <v>18</v>
      </c>
      <c r="C980" t="s">
        <v>1728</v>
      </c>
      <c r="D980" t="s">
        <v>3765</v>
      </c>
      <c r="E980" t="s">
        <v>21</v>
      </c>
      <c r="F980" t="s">
        <v>3766</v>
      </c>
      <c r="G980" t="s">
        <v>3767</v>
      </c>
      <c r="H980" s="1">
        <v>46289</v>
      </c>
      <c r="I980" s="6">
        <v>45672</v>
      </c>
      <c r="J980" s="6">
        <v>46153</v>
      </c>
      <c r="K980">
        <v>73</v>
      </c>
      <c r="L980">
        <v>87</v>
      </c>
      <c r="M980">
        <v>46</v>
      </c>
      <c r="N980" s="8">
        <v>4</v>
      </c>
      <c r="O980">
        <v>47</v>
      </c>
      <c r="P980">
        <v>67</v>
      </c>
      <c r="Q980" s="3">
        <v>0.45</v>
      </c>
      <c r="R980">
        <f>Inventory_Table[[#This Row],[Stock_Quantity]]*Inventory_Table[[#This Row],[Unit_Price]]</f>
        <v>292</v>
      </c>
      <c r="S980">
        <f>Inventory_Table[[#This Row],[Sales_Volume]]*Inventory_Table[[#This Row],[Unit_Price]]</f>
        <v>188</v>
      </c>
      <c r="T980" t="str">
        <f>IF(Inventory_Table[[#This Row],[Stock_Quantity]]&lt;=Inventory_Table[[#This Row],[Reorder_Level]],"REORDER","OK")</f>
        <v>REORDER</v>
      </c>
      <c r="U980" t="s">
        <v>3838</v>
      </c>
      <c r="V980" s="14">
        <f ca="1">TODAY()-Inventory_Table[[#This Row],[Last_Order_Date]]</f>
        <v>504</v>
      </c>
    </row>
    <row r="981" spans="1:22" x14ac:dyDescent="0.35">
      <c r="A981" t="s">
        <v>532</v>
      </c>
      <c r="B981" t="s">
        <v>75</v>
      </c>
      <c r="C981" t="s">
        <v>696</v>
      </c>
      <c r="D981" t="s">
        <v>3768</v>
      </c>
      <c r="E981" t="s">
        <v>21</v>
      </c>
      <c r="F981" t="s">
        <v>3769</v>
      </c>
      <c r="G981" t="s">
        <v>3770</v>
      </c>
      <c r="H981" s="1">
        <v>46289</v>
      </c>
      <c r="I981" s="6">
        <v>45479</v>
      </c>
      <c r="J981" s="6">
        <v>46310</v>
      </c>
      <c r="K981">
        <v>89</v>
      </c>
      <c r="L981">
        <v>95</v>
      </c>
      <c r="M981">
        <v>41</v>
      </c>
      <c r="N981" s="8">
        <v>18</v>
      </c>
      <c r="O981">
        <v>76</v>
      </c>
      <c r="P981">
        <v>96</v>
      </c>
      <c r="Q981" s="3">
        <v>-0.43</v>
      </c>
      <c r="R981">
        <f>Inventory_Table[[#This Row],[Stock_Quantity]]*Inventory_Table[[#This Row],[Unit_Price]]</f>
        <v>1602</v>
      </c>
      <c r="S981">
        <f>Inventory_Table[[#This Row],[Sales_Volume]]*Inventory_Table[[#This Row],[Unit_Price]]</f>
        <v>1368</v>
      </c>
      <c r="T981" t="str">
        <f>IF(Inventory_Table[[#This Row],[Stock_Quantity]]&lt;=Inventory_Table[[#This Row],[Reorder_Level]],"REORDER","OK")</f>
        <v>REORDER</v>
      </c>
      <c r="U981" t="s">
        <v>3836</v>
      </c>
      <c r="V981" s="14">
        <f ca="1">TODAY()-Inventory_Table[[#This Row],[Last_Order_Date]]</f>
        <v>697</v>
      </c>
    </row>
    <row r="982" spans="1:22" x14ac:dyDescent="0.35">
      <c r="A982" t="s">
        <v>1292</v>
      </c>
      <c r="B982" t="s">
        <v>18</v>
      </c>
      <c r="C982" t="s">
        <v>143</v>
      </c>
      <c r="D982" t="s">
        <v>3771</v>
      </c>
      <c r="E982" t="s">
        <v>21</v>
      </c>
      <c r="F982" t="s">
        <v>3772</v>
      </c>
      <c r="G982" t="s">
        <v>3773</v>
      </c>
      <c r="H982" s="1">
        <v>46290</v>
      </c>
      <c r="I982" s="6">
        <v>45624</v>
      </c>
      <c r="J982" s="6">
        <v>46185</v>
      </c>
      <c r="K982">
        <v>26</v>
      </c>
      <c r="L982">
        <v>97</v>
      </c>
      <c r="M982">
        <v>12</v>
      </c>
      <c r="N982" s="8">
        <v>6</v>
      </c>
      <c r="O982">
        <v>94</v>
      </c>
      <c r="P982">
        <v>58</v>
      </c>
      <c r="Q982" s="3">
        <v>-0.26</v>
      </c>
      <c r="R982">
        <f>Inventory_Table[[#This Row],[Stock_Quantity]]*Inventory_Table[[#This Row],[Unit_Price]]</f>
        <v>156</v>
      </c>
      <c r="S982">
        <f>Inventory_Table[[#This Row],[Sales_Volume]]*Inventory_Table[[#This Row],[Unit_Price]]</f>
        <v>564</v>
      </c>
      <c r="T982" t="str">
        <f>IF(Inventory_Table[[#This Row],[Stock_Quantity]]&lt;=Inventory_Table[[#This Row],[Reorder_Level]],"REORDER","OK")</f>
        <v>REORDER</v>
      </c>
      <c r="U982" t="s">
        <v>3837</v>
      </c>
      <c r="V982" s="14">
        <f ca="1">TODAY()-Inventory_Table[[#This Row],[Last_Order_Date]]</f>
        <v>552</v>
      </c>
    </row>
    <row r="983" spans="1:22" x14ac:dyDescent="0.35">
      <c r="A983" t="s">
        <v>101</v>
      </c>
      <c r="B983" t="s">
        <v>27</v>
      </c>
      <c r="C983" t="s">
        <v>404</v>
      </c>
      <c r="D983" t="s">
        <v>3774</v>
      </c>
      <c r="E983" t="s">
        <v>21</v>
      </c>
      <c r="F983" t="s">
        <v>3775</v>
      </c>
      <c r="G983" t="s">
        <v>3776</v>
      </c>
      <c r="H983" s="1">
        <v>46291</v>
      </c>
      <c r="I983" s="6">
        <v>45424</v>
      </c>
      <c r="J983" s="6">
        <v>46177</v>
      </c>
      <c r="K983">
        <v>50</v>
      </c>
      <c r="L983">
        <v>36</v>
      </c>
      <c r="M983">
        <v>81</v>
      </c>
      <c r="N983" s="8">
        <v>10</v>
      </c>
      <c r="O983">
        <v>27</v>
      </c>
      <c r="P983">
        <v>6</v>
      </c>
      <c r="Q983" s="3">
        <v>0.38</v>
      </c>
      <c r="R983">
        <f>Inventory_Table[[#This Row],[Stock_Quantity]]*Inventory_Table[[#This Row],[Unit_Price]]</f>
        <v>500</v>
      </c>
      <c r="S983">
        <f>Inventory_Table[[#This Row],[Sales_Volume]]*Inventory_Table[[#This Row],[Unit_Price]]</f>
        <v>270</v>
      </c>
      <c r="T983" t="str">
        <f>IF(Inventory_Table[[#This Row],[Stock_Quantity]]&lt;=Inventory_Table[[#This Row],[Reorder_Level]],"REORDER","OK")</f>
        <v>OK</v>
      </c>
      <c r="U983" t="s">
        <v>3837</v>
      </c>
      <c r="V983" s="14">
        <f ca="1">TODAY()-Inventory_Table[[#This Row],[Last_Order_Date]]</f>
        <v>752</v>
      </c>
    </row>
    <row r="984" spans="1:22" x14ac:dyDescent="0.35">
      <c r="A984" t="s">
        <v>842</v>
      </c>
      <c r="B984" t="s">
        <v>75</v>
      </c>
      <c r="C984" t="s">
        <v>2304</v>
      </c>
      <c r="D984" t="s">
        <v>3777</v>
      </c>
      <c r="E984" t="s">
        <v>68</v>
      </c>
      <c r="F984" t="s">
        <v>3778</v>
      </c>
      <c r="G984" t="s">
        <v>3779</v>
      </c>
      <c r="H984" s="1">
        <v>46291</v>
      </c>
      <c r="I984" s="6">
        <v>45497</v>
      </c>
      <c r="J984" s="6">
        <v>46089</v>
      </c>
      <c r="K984">
        <v>43</v>
      </c>
      <c r="L984">
        <v>7</v>
      </c>
      <c r="M984">
        <v>63</v>
      </c>
      <c r="N984" s="8">
        <v>9</v>
      </c>
      <c r="O984">
        <v>66</v>
      </c>
      <c r="P984">
        <v>71</v>
      </c>
      <c r="Q984" s="3">
        <v>0.78</v>
      </c>
      <c r="R984">
        <f>Inventory_Table[[#This Row],[Stock_Quantity]]*Inventory_Table[[#This Row],[Unit_Price]]</f>
        <v>387</v>
      </c>
      <c r="S984">
        <f>Inventory_Table[[#This Row],[Sales_Volume]]*Inventory_Table[[#This Row],[Unit_Price]]</f>
        <v>594</v>
      </c>
      <c r="T984" t="str">
        <f>IF(Inventory_Table[[#This Row],[Stock_Quantity]]&lt;=Inventory_Table[[#This Row],[Reorder_Level]],"REORDER","OK")</f>
        <v>OK</v>
      </c>
      <c r="U984" t="s">
        <v>3838</v>
      </c>
      <c r="V984" s="14">
        <f ca="1">TODAY()-Inventory_Table[[#This Row],[Last_Order_Date]]</f>
        <v>679</v>
      </c>
    </row>
    <row r="985" spans="1:22" x14ac:dyDescent="0.35">
      <c r="A985" t="s">
        <v>320</v>
      </c>
      <c r="B985" t="s">
        <v>36</v>
      </c>
      <c r="C985" t="s">
        <v>44</v>
      </c>
      <c r="D985" t="s">
        <v>3780</v>
      </c>
      <c r="E985" t="s">
        <v>68</v>
      </c>
      <c r="F985" t="s">
        <v>3781</v>
      </c>
      <c r="G985" t="s">
        <v>3782</v>
      </c>
      <c r="H985" s="1">
        <v>46292</v>
      </c>
      <c r="I985" s="6">
        <v>45533</v>
      </c>
      <c r="J985" s="6">
        <v>46424</v>
      </c>
      <c r="K985">
        <v>97</v>
      </c>
      <c r="L985">
        <v>57</v>
      </c>
      <c r="M985">
        <v>84</v>
      </c>
      <c r="N985" s="8">
        <v>7</v>
      </c>
      <c r="O985">
        <v>95</v>
      </c>
      <c r="P985">
        <v>28</v>
      </c>
      <c r="Q985" s="3">
        <v>-0.08</v>
      </c>
      <c r="R985">
        <f>Inventory_Table[[#This Row],[Stock_Quantity]]*Inventory_Table[[#This Row],[Unit_Price]]</f>
        <v>679</v>
      </c>
      <c r="S985">
        <f>Inventory_Table[[#This Row],[Sales_Volume]]*Inventory_Table[[#This Row],[Unit_Price]]</f>
        <v>665</v>
      </c>
      <c r="T985" t="str">
        <f>IF(Inventory_Table[[#This Row],[Stock_Quantity]]&lt;=Inventory_Table[[#This Row],[Reorder_Level]],"REORDER","OK")</f>
        <v>OK</v>
      </c>
      <c r="U985" t="s">
        <v>3836</v>
      </c>
      <c r="V985" s="14">
        <f ca="1">TODAY()-Inventory_Table[[#This Row],[Last_Order_Date]]</f>
        <v>643</v>
      </c>
    </row>
    <row r="986" spans="1:22" x14ac:dyDescent="0.35">
      <c r="A986" t="s">
        <v>371</v>
      </c>
      <c r="B986" t="s">
        <v>75</v>
      </c>
      <c r="C986" t="s">
        <v>1507</v>
      </c>
      <c r="D986" t="s">
        <v>3783</v>
      </c>
      <c r="E986" t="s">
        <v>68</v>
      </c>
      <c r="F986" t="s">
        <v>3784</v>
      </c>
      <c r="G986" t="s">
        <v>3785</v>
      </c>
      <c r="H986" s="1">
        <v>46292</v>
      </c>
      <c r="I986" s="6">
        <v>45492</v>
      </c>
      <c r="J986" s="6">
        <v>46200</v>
      </c>
      <c r="K986">
        <v>98</v>
      </c>
      <c r="L986">
        <v>65</v>
      </c>
      <c r="M986">
        <v>76</v>
      </c>
      <c r="N986" s="8">
        <v>12</v>
      </c>
      <c r="O986">
        <v>62</v>
      </c>
      <c r="P986">
        <v>47</v>
      </c>
      <c r="Q986" s="3">
        <v>0.71</v>
      </c>
      <c r="R986">
        <f>Inventory_Table[[#This Row],[Stock_Quantity]]*Inventory_Table[[#This Row],[Unit_Price]]</f>
        <v>1176</v>
      </c>
      <c r="S986">
        <f>Inventory_Table[[#This Row],[Sales_Volume]]*Inventory_Table[[#This Row],[Unit_Price]]</f>
        <v>744</v>
      </c>
      <c r="T986" t="str">
        <f>IF(Inventory_Table[[#This Row],[Stock_Quantity]]&lt;=Inventory_Table[[#This Row],[Reorder_Level]],"REORDER","OK")</f>
        <v>OK</v>
      </c>
      <c r="U986" t="s">
        <v>3837</v>
      </c>
      <c r="V986" s="14">
        <f ca="1">TODAY()-Inventory_Table[[#This Row],[Last_Order_Date]]</f>
        <v>684</v>
      </c>
    </row>
    <row r="987" spans="1:22" x14ac:dyDescent="0.35">
      <c r="A987" t="s">
        <v>35</v>
      </c>
      <c r="B987" t="s">
        <v>36</v>
      </c>
      <c r="C987" t="s">
        <v>3786</v>
      </c>
      <c r="D987" t="s">
        <v>3787</v>
      </c>
      <c r="E987" t="s">
        <v>30</v>
      </c>
      <c r="F987" t="s">
        <v>3788</v>
      </c>
      <c r="G987" t="s">
        <v>3789</v>
      </c>
      <c r="H987" s="1">
        <v>46292</v>
      </c>
      <c r="I987" s="6">
        <v>45569</v>
      </c>
      <c r="J987" s="6">
        <v>46231</v>
      </c>
      <c r="K987">
        <v>52</v>
      </c>
      <c r="L987">
        <v>56</v>
      </c>
      <c r="M987">
        <v>34</v>
      </c>
      <c r="N987" s="8">
        <v>12</v>
      </c>
      <c r="O987">
        <v>31</v>
      </c>
      <c r="P987">
        <v>69</v>
      </c>
      <c r="Q987" s="3">
        <v>0.24</v>
      </c>
      <c r="R987">
        <f>Inventory_Table[[#This Row],[Stock_Quantity]]*Inventory_Table[[#This Row],[Unit_Price]]</f>
        <v>624</v>
      </c>
      <c r="S987">
        <f>Inventory_Table[[#This Row],[Sales_Volume]]*Inventory_Table[[#This Row],[Unit_Price]]</f>
        <v>372</v>
      </c>
      <c r="T987" t="str">
        <f>IF(Inventory_Table[[#This Row],[Stock_Quantity]]&lt;=Inventory_Table[[#This Row],[Reorder_Level]],"REORDER","OK")</f>
        <v>REORDER</v>
      </c>
      <c r="U987" t="s">
        <v>3836</v>
      </c>
      <c r="V987" s="14">
        <f ca="1">TODAY()-Inventory_Table[[#This Row],[Last_Order_Date]]</f>
        <v>607</v>
      </c>
    </row>
    <row r="988" spans="1:22" x14ac:dyDescent="0.35">
      <c r="A988" t="s">
        <v>2946</v>
      </c>
      <c r="B988" t="s">
        <v>65</v>
      </c>
      <c r="C988" t="s">
        <v>1129</v>
      </c>
      <c r="D988" t="s">
        <v>3790</v>
      </c>
      <c r="E988" t="s">
        <v>68</v>
      </c>
      <c r="F988" t="s">
        <v>3791</v>
      </c>
      <c r="G988" t="s">
        <v>3792</v>
      </c>
      <c r="H988" s="1">
        <v>46294</v>
      </c>
      <c r="I988" s="6">
        <v>45469</v>
      </c>
      <c r="J988" s="6">
        <v>46343</v>
      </c>
      <c r="K988">
        <v>72</v>
      </c>
      <c r="L988">
        <v>72</v>
      </c>
      <c r="M988">
        <v>68</v>
      </c>
      <c r="N988" s="8">
        <v>1.5</v>
      </c>
      <c r="O988">
        <v>39</v>
      </c>
      <c r="P988">
        <v>78</v>
      </c>
      <c r="Q988" s="3">
        <v>-1.23</v>
      </c>
      <c r="R988">
        <f>Inventory_Table[[#This Row],[Stock_Quantity]]*Inventory_Table[[#This Row],[Unit_Price]]</f>
        <v>108</v>
      </c>
      <c r="S988">
        <f>Inventory_Table[[#This Row],[Sales_Volume]]*Inventory_Table[[#This Row],[Unit_Price]]</f>
        <v>58.5</v>
      </c>
      <c r="T988" t="str">
        <f>IF(Inventory_Table[[#This Row],[Stock_Quantity]]&lt;=Inventory_Table[[#This Row],[Reorder_Level]],"REORDER","OK")</f>
        <v>REORDER</v>
      </c>
      <c r="U988" t="s">
        <v>3836</v>
      </c>
      <c r="V988" s="14">
        <f ca="1">TODAY()-Inventory_Table[[#This Row],[Last_Order_Date]]</f>
        <v>707</v>
      </c>
    </row>
    <row r="989" spans="1:22" x14ac:dyDescent="0.35">
      <c r="A989" t="s">
        <v>450</v>
      </c>
      <c r="B989" t="s">
        <v>18</v>
      </c>
      <c r="C989" t="s">
        <v>573</v>
      </c>
      <c r="D989" t="s">
        <v>3793</v>
      </c>
      <c r="E989" t="s">
        <v>21</v>
      </c>
      <c r="F989" t="s">
        <v>3794</v>
      </c>
      <c r="G989" t="s">
        <v>3795</v>
      </c>
      <c r="H989" s="1">
        <v>46294</v>
      </c>
      <c r="I989" s="6">
        <v>45460</v>
      </c>
      <c r="J989" s="6">
        <v>46205</v>
      </c>
      <c r="K989">
        <v>24</v>
      </c>
      <c r="L989">
        <v>32</v>
      </c>
      <c r="M989">
        <v>17</v>
      </c>
      <c r="N989" s="8">
        <v>1</v>
      </c>
      <c r="O989">
        <v>55</v>
      </c>
      <c r="P989">
        <v>72</v>
      </c>
      <c r="Q989" s="3">
        <v>-1</v>
      </c>
      <c r="R989">
        <f>Inventory_Table[[#This Row],[Stock_Quantity]]*Inventory_Table[[#This Row],[Unit_Price]]</f>
        <v>24</v>
      </c>
      <c r="S989">
        <f>Inventory_Table[[#This Row],[Sales_Volume]]*Inventory_Table[[#This Row],[Unit_Price]]</f>
        <v>55</v>
      </c>
      <c r="T989" t="str">
        <f>IF(Inventory_Table[[#This Row],[Stock_Quantity]]&lt;=Inventory_Table[[#This Row],[Reorder_Level]],"REORDER","OK")</f>
        <v>REORDER</v>
      </c>
      <c r="U989" t="s">
        <v>3836</v>
      </c>
      <c r="V989" s="14">
        <f ca="1">TODAY()-Inventory_Table[[#This Row],[Last_Order_Date]]</f>
        <v>716</v>
      </c>
    </row>
    <row r="990" spans="1:22" x14ac:dyDescent="0.35">
      <c r="A990" t="s">
        <v>975</v>
      </c>
      <c r="B990" t="s">
        <v>18</v>
      </c>
      <c r="C990" t="s">
        <v>3181</v>
      </c>
      <c r="D990" t="s">
        <v>3796</v>
      </c>
      <c r="E990" t="s">
        <v>21</v>
      </c>
      <c r="F990" t="s">
        <v>3797</v>
      </c>
      <c r="G990" t="s">
        <v>3798</v>
      </c>
      <c r="H990" s="1">
        <v>46295</v>
      </c>
      <c r="I990" s="6">
        <v>45702</v>
      </c>
      <c r="J990" s="6">
        <v>46137</v>
      </c>
      <c r="K990">
        <v>81</v>
      </c>
      <c r="L990">
        <v>99</v>
      </c>
      <c r="M990">
        <v>28</v>
      </c>
      <c r="N990" s="8">
        <v>2</v>
      </c>
      <c r="O990">
        <v>20</v>
      </c>
      <c r="P990">
        <v>85</v>
      </c>
      <c r="Q990" s="3">
        <v>-0.31</v>
      </c>
      <c r="R990">
        <f>Inventory_Table[[#This Row],[Stock_Quantity]]*Inventory_Table[[#This Row],[Unit_Price]]</f>
        <v>162</v>
      </c>
      <c r="S990">
        <f>Inventory_Table[[#This Row],[Sales_Volume]]*Inventory_Table[[#This Row],[Unit_Price]]</f>
        <v>40</v>
      </c>
      <c r="T990" t="str">
        <f>IF(Inventory_Table[[#This Row],[Stock_Quantity]]&lt;=Inventory_Table[[#This Row],[Reorder_Level]],"REORDER","OK")</f>
        <v>REORDER</v>
      </c>
      <c r="U990" t="s">
        <v>3838</v>
      </c>
      <c r="V990" s="14">
        <f ca="1">TODAY()-Inventory_Table[[#This Row],[Last_Order_Date]]</f>
        <v>474</v>
      </c>
    </row>
    <row r="991" spans="1:22" x14ac:dyDescent="0.35">
      <c r="A991" t="s">
        <v>1292</v>
      </c>
      <c r="B991" t="s">
        <v>18</v>
      </c>
      <c r="C991" t="s">
        <v>66</v>
      </c>
      <c r="D991" t="s">
        <v>3799</v>
      </c>
      <c r="E991" t="s">
        <v>21</v>
      </c>
      <c r="F991" t="s">
        <v>3800</v>
      </c>
      <c r="G991" t="s">
        <v>3801</v>
      </c>
      <c r="H991" s="1">
        <v>46295</v>
      </c>
      <c r="I991" s="6">
        <v>45463</v>
      </c>
      <c r="J991" s="6">
        <v>46194</v>
      </c>
      <c r="K991">
        <v>94</v>
      </c>
      <c r="L991">
        <v>77</v>
      </c>
      <c r="M991">
        <v>89</v>
      </c>
      <c r="N991" s="8">
        <v>6</v>
      </c>
      <c r="O991">
        <v>40</v>
      </c>
      <c r="P991">
        <v>84</v>
      </c>
      <c r="Q991" s="3">
        <v>-3.25</v>
      </c>
      <c r="R991">
        <f>Inventory_Table[[#This Row],[Stock_Quantity]]*Inventory_Table[[#This Row],[Unit_Price]]</f>
        <v>564</v>
      </c>
      <c r="S991">
        <f>Inventory_Table[[#This Row],[Sales_Volume]]*Inventory_Table[[#This Row],[Unit_Price]]</f>
        <v>240</v>
      </c>
      <c r="T991" t="str">
        <f>IF(Inventory_Table[[#This Row],[Stock_Quantity]]&lt;=Inventory_Table[[#This Row],[Reorder_Level]],"REORDER","OK")</f>
        <v>OK</v>
      </c>
      <c r="U991" t="s">
        <v>3837</v>
      </c>
      <c r="V991" s="14">
        <f ca="1">TODAY()-Inventory_Table[[#This Row],[Last_Order_Date]]</f>
        <v>713</v>
      </c>
    </row>
  </sheetData>
  <phoneticPr fontId="19" type="noConversion"/>
  <conditionalFormatting sqref="T2:T991">
    <cfRule type="containsText" dxfId="1" priority="2" operator="containsText" text="REORDER">
      <formula>NOT(ISERROR(SEARCH("REORDER",T2)))</formula>
    </cfRule>
  </conditionalFormatting>
  <conditionalFormatting sqref="U2:U991">
    <cfRule type="containsText" dxfId="0" priority="1" operator="containsText" text="Expiring Soon">
      <formula>NOT(ISERROR(SEARCH("Expiring Soon",U2)))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61A4-DF04-4954-9BAC-D79880673EF0}">
  <dimension ref="B2:D12"/>
  <sheetViews>
    <sheetView workbookViewId="0">
      <selection activeCell="F14" sqref="F14"/>
    </sheetView>
  </sheetViews>
  <sheetFormatPr defaultRowHeight="14.5" x14ac:dyDescent="0.35"/>
  <cols>
    <col min="2" max="2" width="24.36328125" bestFit="1" customWidth="1"/>
    <col min="3" max="3" width="12.6328125" bestFit="1" customWidth="1"/>
    <col min="4" max="4" width="10.08984375" bestFit="1" customWidth="1"/>
  </cols>
  <sheetData>
    <row r="2" spans="2:4" x14ac:dyDescent="0.35">
      <c r="B2" t="s">
        <v>3856</v>
      </c>
      <c r="C2" s="1">
        <f ca="1">TODAY()</f>
        <v>46176</v>
      </c>
      <c r="D2" s="1"/>
    </row>
    <row r="3" spans="2:4" x14ac:dyDescent="0.35">
      <c r="B3" t="s">
        <v>3857</v>
      </c>
      <c r="C3">
        <f>COUNTA(Inventory_Table[Product_Name])</f>
        <v>990</v>
      </c>
    </row>
    <row r="4" spans="2:4" x14ac:dyDescent="0.35">
      <c r="B4" t="s">
        <v>3858</v>
      </c>
      <c r="C4" s="16" cm="1">
        <f t="array" ref="C4">SUMPRODUCT(Inventory_Table[Stock_Quantity]*Inventory_Table[Unit_Price])</f>
        <v>332654.71000000002</v>
      </c>
    </row>
    <row r="5" spans="2:4" x14ac:dyDescent="0.35">
      <c r="B5" t="s">
        <v>3859</v>
      </c>
      <c r="C5" s="17" cm="1">
        <f t="array" ref="C5">SUMPRODUCT(Inventory_Table[Sales_Volume]*Inventory_Table[Unit_Price])</f>
        <v>344269.34000000014</v>
      </c>
    </row>
    <row r="6" spans="2:4" x14ac:dyDescent="0.35">
      <c r="B6" t="s">
        <v>3860</v>
      </c>
      <c r="C6">
        <f>COUNTIF(Inventory_Table[Status],"Active")</f>
        <v>332</v>
      </c>
    </row>
    <row r="7" spans="2:4" x14ac:dyDescent="0.35">
      <c r="B7" t="s">
        <v>3861</v>
      </c>
      <c r="C7">
        <f>COUNTIF(Inventory_Table[Status],"Discontinued")</f>
        <v>333</v>
      </c>
    </row>
    <row r="8" spans="2:4" x14ac:dyDescent="0.35">
      <c r="B8" t="s">
        <v>3862</v>
      </c>
      <c r="C8">
        <f>COUNTIF(Inventory_Table[Status],"Backordered")</f>
        <v>325</v>
      </c>
    </row>
    <row r="9" spans="2:4" x14ac:dyDescent="0.35">
      <c r="B9" t="s">
        <v>3863</v>
      </c>
      <c r="C9">
        <f>COUNTIF(Inventory_Table[Reorder_Flag],"REORDER")</f>
        <v>465</v>
      </c>
    </row>
    <row r="10" spans="2:4" x14ac:dyDescent="0.35">
      <c r="B10" t="s">
        <v>3864</v>
      </c>
      <c r="C10">
        <f>COUNTIF(Inventory_Table[1_Expiry_Status],"Expiring Soon")</f>
        <v>83</v>
      </c>
    </row>
    <row r="11" spans="2:4" x14ac:dyDescent="0.35">
      <c r="B11" t="s">
        <v>3865</v>
      </c>
      <c r="C11">
        <f>COUNTIF(Inventory_Table[1_Expiry_Status],"Expired")</f>
        <v>277</v>
      </c>
    </row>
    <row r="12" spans="2:4" x14ac:dyDescent="0.35">
      <c r="B12" t="s">
        <v>3866</v>
      </c>
      <c r="C12">
        <f>AVERAGE(Inventory_Table[Inventory_Turnover_Rate])</f>
        <v>50.150505050505053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DE73-132F-43FC-957C-228D389F1A10}">
  <dimension ref="A1:G9"/>
  <sheetViews>
    <sheetView workbookViewId="0">
      <selection activeCell="E14" sqref="E14"/>
    </sheetView>
  </sheetViews>
  <sheetFormatPr defaultRowHeight="14.5" x14ac:dyDescent="0.35"/>
  <cols>
    <col min="1" max="1" width="16.81640625" bestFit="1" customWidth="1"/>
    <col min="2" max="2" width="12.7265625" bestFit="1" customWidth="1"/>
    <col min="3" max="3" width="11.26953125" bestFit="1" customWidth="1"/>
    <col min="4" max="4" width="15" bestFit="1" customWidth="1"/>
    <col min="5" max="5" width="12.6328125" bestFit="1" customWidth="1"/>
    <col min="6" max="6" width="15.7265625" bestFit="1" customWidth="1"/>
    <col min="7" max="7" width="13.08984375" bestFit="1" customWidth="1"/>
  </cols>
  <sheetData>
    <row r="1" spans="1:7" x14ac:dyDescent="0.35">
      <c r="A1" s="4" t="s">
        <v>3809</v>
      </c>
      <c r="B1" s="4" t="s">
        <v>3857</v>
      </c>
      <c r="C1" s="4" t="s">
        <v>3867</v>
      </c>
      <c r="D1" s="4" t="s">
        <v>3858</v>
      </c>
      <c r="E1" s="4" t="s">
        <v>3868</v>
      </c>
      <c r="F1" s="4" t="s">
        <v>3869</v>
      </c>
      <c r="G1" s="4" t="s">
        <v>3870</v>
      </c>
    </row>
    <row r="2" spans="1:7" x14ac:dyDescent="0.35">
      <c r="A2" t="s">
        <v>18</v>
      </c>
      <c r="B2">
        <f>COUNTIF(Inventory_Table[Catagory],A2)</f>
        <v>332</v>
      </c>
      <c r="C2">
        <f>COUNTIFS(Inventory_Table[Catagory],A2,Inventory_Table[Status],"Active")</f>
        <v>108</v>
      </c>
      <c r="D2" s="17">
        <f>SUMIF(Inventory_Table[Catagory],A2,Inventory_Table[Stock_Value])</f>
        <v>90625.109999999971</v>
      </c>
      <c r="E2" s="17">
        <f>SUMIF(Inventory_Table[Catagory],A2,Inventory_Table[Revenue])</f>
        <v>91874.489999999976</v>
      </c>
      <c r="F2" s="8">
        <f>AVERAGEIF(Inventory_Table[Catagory],A2,Inventory_Table[Inventory_Turnover_Rate])</f>
        <v>49.373493975903614</v>
      </c>
      <c r="G2">
        <f>COUNTIFS(Inventory_Table[Catagory],A2,Inventory_Table[Reorder_Flag],"REORDER")</f>
        <v>150</v>
      </c>
    </row>
    <row r="3" spans="1:7" x14ac:dyDescent="0.35">
      <c r="A3" t="s">
        <v>27</v>
      </c>
      <c r="B3">
        <f>COUNTIF(Inventory_Table[Catagory],A3)</f>
        <v>77</v>
      </c>
      <c r="C3">
        <f>COUNTIFS(Inventory_Table[Catagory],A3,Inventory_Table[Status],"Active")</f>
        <v>23</v>
      </c>
      <c r="D3" s="17">
        <f>SUMIF(Inventory_Table[Catagory],A3,Inventory_Table[Stock_Value])</f>
        <v>17211.5</v>
      </c>
      <c r="E3" s="17">
        <f>SUMIF(Inventory_Table[Catagory],A3,Inventory_Table[Revenue])</f>
        <v>18841.899999999994</v>
      </c>
      <c r="F3" s="8">
        <f>AVERAGEIF(Inventory_Table[Catagory],A3,Inventory_Table[Inventory_Turnover_Rate])</f>
        <v>45.220779220779221</v>
      </c>
      <c r="G3">
        <f>COUNTIFS(Inventory_Table[Catagory],A3,Inventory_Table[Reorder_Flag],"REORDER")</f>
        <v>40</v>
      </c>
    </row>
    <row r="4" spans="1:7" x14ac:dyDescent="0.35">
      <c r="A4" t="s">
        <v>36</v>
      </c>
      <c r="B4">
        <f>COUNTIF(Inventory_Table[Catagory],A4)</f>
        <v>180</v>
      </c>
      <c r="C4">
        <f>COUNTIFS(Inventory_Table[Catagory],A4,Inventory_Table[Status],"Active")</f>
        <v>56</v>
      </c>
      <c r="D4" s="17">
        <f>SUMIF(Inventory_Table[Catagory],A4,Inventory_Table[Stock_Value])</f>
        <v>50601.95</v>
      </c>
      <c r="E4" s="17">
        <f>SUMIF(Inventory_Table[Catagory],A4,Inventory_Table[Revenue])</f>
        <v>48344.950000000004</v>
      </c>
      <c r="F4" s="8">
        <f>AVERAGEIF(Inventory_Table[Catagory],A4,Inventory_Table[Inventory_Turnover_Rate])</f>
        <v>53.427777777777777</v>
      </c>
      <c r="G4">
        <f>COUNTIFS(Inventory_Table[Catagory],A4,Inventory_Table[Reorder_Flag],"REORDER")</f>
        <v>81</v>
      </c>
    </row>
    <row r="5" spans="1:7" x14ac:dyDescent="0.35">
      <c r="A5" t="s">
        <v>65</v>
      </c>
      <c r="B5">
        <f>COUNTIF(Inventory_Table[Catagory],A5)</f>
        <v>162</v>
      </c>
      <c r="C5">
        <f>COUNTIFS(Inventory_Table[Catagory],A5,Inventory_Table[Status],"Active")</f>
        <v>56</v>
      </c>
      <c r="D5" s="17">
        <f>SUMIF(Inventory_Table[Catagory],A5,Inventory_Table[Stock_Value])</f>
        <v>31969.200000000004</v>
      </c>
      <c r="E5" s="17">
        <f>SUMIF(Inventory_Table[Catagory],A5,Inventory_Table[Revenue])</f>
        <v>33797.050000000003</v>
      </c>
      <c r="F5" s="8">
        <f>AVERAGEIF(Inventory_Table[Catagory],A5,Inventory_Table[Inventory_Turnover_Rate])</f>
        <v>47.746913580246911</v>
      </c>
      <c r="G5">
        <f>COUNTIFS(Inventory_Table[Catagory],A5,Inventory_Table[Reorder_Flag],"REORDER")</f>
        <v>85</v>
      </c>
    </row>
    <row r="6" spans="1:7" x14ac:dyDescent="0.35">
      <c r="A6" t="s">
        <v>75</v>
      </c>
      <c r="B6">
        <f>COUNTIF(Inventory_Table[Catagory],A6)</f>
        <v>90</v>
      </c>
      <c r="C6">
        <f>COUNTIFS(Inventory_Table[Catagory],A6,Inventory_Table[Status],"Active")</f>
        <v>36</v>
      </c>
      <c r="D6" s="17">
        <f>SUMIF(Inventory_Table[Catagory],A6,Inventory_Table[Stock_Value])</f>
        <v>62515.899999999994</v>
      </c>
      <c r="E6" s="17">
        <f>SUMIF(Inventory_Table[Catagory],A6,Inventory_Table[Revenue])</f>
        <v>61539.1</v>
      </c>
      <c r="F6" s="8">
        <f>AVERAGEIF(Inventory_Table[Catagory],A6,Inventory_Table[Inventory_Turnover_Rate])</f>
        <v>53.733333333333334</v>
      </c>
      <c r="G6">
        <f>COUNTIFS(Inventory_Table[Catagory],A6,Inventory_Table[Reorder_Flag],"REORDER")</f>
        <v>38</v>
      </c>
    </row>
    <row r="7" spans="1:7" x14ac:dyDescent="0.35">
      <c r="A7" t="s">
        <v>114</v>
      </c>
      <c r="B7">
        <f>COUNTIF(Inventory_Table[Catagory],A7)</f>
        <v>74</v>
      </c>
      <c r="C7">
        <f>COUNTIFS(Inventory_Table[Catagory],A7,Inventory_Table[Status],"Active")</f>
        <v>22</v>
      </c>
      <c r="D7" s="17">
        <f>SUMIF(Inventory_Table[Catagory],A7,Inventory_Table[Stock_Value])</f>
        <v>16788.8</v>
      </c>
      <c r="E7" s="17">
        <f>SUMIF(Inventory_Table[Catagory],A7,Inventory_Table[Revenue])</f>
        <v>18354.3</v>
      </c>
      <c r="F7" s="8">
        <f>AVERAGEIF(Inventory_Table[Catagory],A7,Inventory_Table[Inventory_Turnover_Rate])</f>
        <v>50.527027027027025</v>
      </c>
      <c r="G7">
        <f>COUNTIFS(Inventory_Table[Catagory],A7,Inventory_Table[Reorder_Flag],"REORDER")</f>
        <v>35</v>
      </c>
    </row>
    <row r="8" spans="1:7" x14ac:dyDescent="0.35">
      <c r="A8" t="s">
        <v>163</v>
      </c>
      <c r="B8">
        <f>COUNTIF(Inventory_Table[Catagory],A8)</f>
        <v>75</v>
      </c>
      <c r="C8">
        <f>COUNTIFS(Inventory_Table[Catagory],A8,Inventory_Table[Status],"Active")</f>
        <v>31</v>
      </c>
      <c r="D8" s="17">
        <f>SUMIF(Inventory_Table[Catagory],A8,Inventory_Table[Stock_Value])</f>
        <v>62942.250000000007</v>
      </c>
      <c r="E8" s="17">
        <f>SUMIF(Inventory_Table[Catagory],A8,Inventory_Table[Revenue])</f>
        <v>71517.55</v>
      </c>
      <c r="F8" s="8">
        <f>AVERAGEIF(Inventory_Table[Catagory],A8,Inventory_Table[Inventory_Turnover_Rate])</f>
        <v>51.306666666666665</v>
      </c>
      <c r="G8">
        <f>COUNTIFS(Inventory_Table[Catagory],A8,Inventory_Table[Reorder_Flag],"REORDER")</f>
        <v>36</v>
      </c>
    </row>
    <row r="9" spans="1:7" x14ac:dyDescent="0.35">
      <c r="A9" s="4" t="s">
        <v>3871</v>
      </c>
      <c r="B9" s="4">
        <f>SUM(B2:B8)</f>
        <v>990</v>
      </c>
      <c r="C9" s="4">
        <f t="shared" ref="C9:E9" si="0">SUM(C2:C8)</f>
        <v>332</v>
      </c>
      <c r="D9" s="19">
        <f t="shared" si="0"/>
        <v>332654.70999999996</v>
      </c>
      <c r="E9" s="19">
        <f t="shared" si="0"/>
        <v>344269.33999999997</v>
      </c>
      <c r="F9" s="18"/>
      <c r="G9" s="4">
        <f>SUM(G2:G8)</f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6C92-7A72-48B5-A819-2AB986315ECE}">
  <dimension ref="A1:G352"/>
  <sheetViews>
    <sheetView workbookViewId="0">
      <pane ySplit="1" topLeftCell="A340" activePane="bottomLeft" state="frozen"/>
      <selection pane="bottomLeft" activeCell="I7" sqref="I7"/>
    </sheetView>
  </sheetViews>
  <sheetFormatPr defaultRowHeight="14.5" x14ac:dyDescent="0.35"/>
  <cols>
    <col min="1" max="1" width="13.54296875" customWidth="1"/>
    <col min="2" max="2" width="15.81640625" bestFit="1" customWidth="1"/>
    <col min="3" max="3" width="13.6328125" bestFit="1" customWidth="1"/>
    <col min="4" max="4" width="17" bestFit="1" customWidth="1"/>
    <col min="5" max="5" width="17.36328125" bestFit="1" customWidth="1"/>
    <col min="6" max="6" width="15" bestFit="1" customWidth="1"/>
    <col min="7" max="7" width="14" style="21" bestFit="1" customWidth="1"/>
  </cols>
  <sheetData>
    <row r="1" spans="1:7" s="4" customFormat="1" x14ac:dyDescent="0.35">
      <c r="A1" s="4" t="s">
        <v>3872</v>
      </c>
      <c r="B1" s="4" t="s">
        <v>3873</v>
      </c>
      <c r="C1" s="4" t="s">
        <v>3860</v>
      </c>
      <c r="D1" s="4" t="s">
        <v>3874</v>
      </c>
      <c r="E1" s="4" t="s">
        <v>3875</v>
      </c>
      <c r="F1" s="4" t="s">
        <v>3858</v>
      </c>
      <c r="G1" s="20" t="s">
        <v>3876</v>
      </c>
    </row>
    <row r="2" spans="1:7" x14ac:dyDescent="0.35">
      <c r="A2" t="str" cm="1">
        <f t="array" ref="A2:A351">_xlfn._xlws.SORT(_xlfn.UNIQUE(Inventory_Table[Supplier_Name]))</f>
        <v>Abata</v>
      </c>
      <c r="B2">
        <f>COUNTIF(Inventory_Table[Supplier_Name],A2)</f>
        <v>3</v>
      </c>
      <c r="C2">
        <f>COUNTIFS(Inventory_Table[Supplier_Name],A2,Inventory_Table[Status],"Active")</f>
        <v>1</v>
      </c>
      <c r="D2">
        <f>COUNTIFS(Inventory_Table[Supplier_Name],A2,Inventory_Table[Status],"Backordered")</f>
        <v>1</v>
      </c>
      <c r="E2">
        <f>COUNTIFS(Inventory_Table[Supplier_Name],A2,Inventory_Table[Status],"Discontinued")</f>
        <v>1</v>
      </c>
      <c r="F2">
        <f>SUMIF(Inventory_Table[Supplier_Name],A2,Inventory_Table[Stock_Value])</f>
        <v>1600</v>
      </c>
      <c r="G2" s="21">
        <f>1-(D2+E2)/B2</f>
        <v>0.33333333333333337</v>
      </c>
    </row>
    <row r="3" spans="1:7" x14ac:dyDescent="0.35">
      <c r="A3" t="str">
        <v>Abatz</v>
      </c>
      <c r="B3">
        <f>COUNTIF(Inventory_Table[Supplier_Name],A3)</f>
        <v>3</v>
      </c>
      <c r="C3">
        <f>COUNTIFS(Inventory_Table[Supplier_Name],A3,Inventory_Table[Status],"Active")</f>
        <v>0</v>
      </c>
      <c r="D3">
        <f>COUNTIFS(Inventory_Table[Supplier_Name],A3,Inventory_Table[Status],"Backordered")</f>
        <v>0</v>
      </c>
      <c r="E3">
        <f>COUNTIFS(Inventory_Table[Supplier_Name],A3,Inventory_Table[Status],"Discontinued")</f>
        <v>3</v>
      </c>
      <c r="F3">
        <f>SUMIF(Inventory_Table[Supplier_Name],A3,Inventory_Table[Stock_Value])</f>
        <v>325.89999999999998</v>
      </c>
      <c r="G3" s="21">
        <f t="shared" ref="G3:G66" si="0">1-(D3+E3)/B3</f>
        <v>0</v>
      </c>
    </row>
    <row r="4" spans="1:7" x14ac:dyDescent="0.35">
      <c r="A4" t="str">
        <v>Agivu</v>
      </c>
      <c r="B4">
        <f>COUNTIF(Inventory_Table[Supplier_Name],A4)</f>
        <v>1</v>
      </c>
      <c r="C4">
        <f>COUNTIFS(Inventory_Table[Supplier_Name],A4,Inventory_Table[Status],"Active")</f>
        <v>0</v>
      </c>
      <c r="D4">
        <f>COUNTIFS(Inventory_Table[Supplier_Name],A4,Inventory_Table[Status],"Backordered")</f>
        <v>1</v>
      </c>
      <c r="E4">
        <f>COUNTIFS(Inventory_Table[Supplier_Name],A4,Inventory_Table[Status],"Discontinued")</f>
        <v>0</v>
      </c>
      <c r="F4">
        <f>SUMIF(Inventory_Table[Supplier_Name],A4,Inventory_Table[Stock_Value])</f>
        <v>2025</v>
      </c>
      <c r="G4" s="21">
        <f t="shared" si="0"/>
        <v>0</v>
      </c>
    </row>
    <row r="5" spans="1:7" x14ac:dyDescent="0.35">
      <c r="A5" t="str">
        <v>Aibox</v>
      </c>
      <c r="B5">
        <f>COUNTIF(Inventory_Table[Supplier_Name],A5)</f>
        <v>3</v>
      </c>
      <c r="C5">
        <f>COUNTIFS(Inventory_Table[Supplier_Name],A5,Inventory_Table[Status],"Active")</f>
        <v>1</v>
      </c>
      <c r="D5">
        <f>COUNTIFS(Inventory_Table[Supplier_Name],A5,Inventory_Table[Status],"Backordered")</f>
        <v>1</v>
      </c>
      <c r="E5">
        <f>COUNTIFS(Inventory_Table[Supplier_Name],A5,Inventory_Table[Status],"Discontinued")</f>
        <v>1</v>
      </c>
      <c r="F5">
        <f>SUMIF(Inventory_Table[Supplier_Name],A5,Inventory_Table[Stock_Value])</f>
        <v>900</v>
      </c>
      <c r="G5" s="21">
        <f t="shared" si="0"/>
        <v>0.33333333333333337</v>
      </c>
    </row>
    <row r="6" spans="1:7" x14ac:dyDescent="0.35">
      <c r="A6" t="str">
        <v>Aimbu</v>
      </c>
      <c r="B6">
        <f>COUNTIF(Inventory_Table[Supplier_Name],A6)</f>
        <v>1</v>
      </c>
      <c r="C6">
        <f>COUNTIFS(Inventory_Table[Supplier_Name],A6,Inventory_Table[Status],"Active")</f>
        <v>0</v>
      </c>
      <c r="D6">
        <f>COUNTIFS(Inventory_Table[Supplier_Name],A6,Inventory_Table[Status],"Backordered")</f>
        <v>0</v>
      </c>
      <c r="E6">
        <f>COUNTIFS(Inventory_Table[Supplier_Name],A6,Inventory_Table[Status],"Discontinued")</f>
        <v>1</v>
      </c>
      <c r="F6">
        <f>SUMIF(Inventory_Table[Supplier_Name],A6,Inventory_Table[Stock_Value])</f>
        <v>961</v>
      </c>
      <c r="G6" s="21">
        <f t="shared" si="0"/>
        <v>0</v>
      </c>
    </row>
    <row r="7" spans="1:7" x14ac:dyDescent="0.35">
      <c r="A7" t="str">
        <v>Ainyx</v>
      </c>
      <c r="B7">
        <f>COUNTIF(Inventory_Table[Supplier_Name],A7)</f>
        <v>3</v>
      </c>
      <c r="C7">
        <f>COUNTIFS(Inventory_Table[Supplier_Name],A7,Inventory_Table[Status],"Active")</f>
        <v>0</v>
      </c>
      <c r="D7">
        <f>COUNTIFS(Inventory_Table[Supplier_Name],A7,Inventory_Table[Status],"Backordered")</f>
        <v>3</v>
      </c>
      <c r="E7">
        <f>COUNTIFS(Inventory_Table[Supplier_Name],A7,Inventory_Table[Status],"Discontinued")</f>
        <v>0</v>
      </c>
      <c r="F7">
        <f>SUMIF(Inventory_Table[Supplier_Name],A7,Inventory_Table[Stock_Value])</f>
        <v>399.55</v>
      </c>
      <c r="G7" s="21">
        <f t="shared" si="0"/>
        <v>0</v>
      </c>
    </row>
    <row r="8" spans="1:7" x14ac:dyDescent="0.35">
      <c r="A8" t="str">
        <v>Aivee</v>
      </c>
      <c r="B8">
        <f>COUNTIF(Inventory_Table[Supplier_Name],A8)</f>
        <v>3</v>
      </c>
      <c r="C8">
        <f>COUNTIFS(Inventory_Table[Supplier_Name],A8,Inventory_Table[Status],"Active")</f>
        <v>1</v>
      </c>
      <c r="D8">
        <f>COUNTIFS(Inventory_Table[Supplier_Name],A8,Inventory_Table[Status],"Backordered")</f>
        <v>2</v>
      </c>
      <c r="E8">
        <f>COUNTIFS(Inventory_Table[Supplier_Name],A8,Inventory_Table[Status],"Discontinued")</f>
        <v>0</v>
      </c>
      <c r="F8">
        <f>SUMIF(Inventory_Table[Supplier_Name],A8,Inventory_Table[Stock_Value])</f>
        <v>1780</v>
      </c>
      <c r="G8" s="21">
        <f t="shared" si="0"/>
        <v>0.33333333333333337</v>
      </c>
    </row>
    <row r="9" spans="1:7" x14ac:dyDescent="0.35">
      <c r="A9" t="str">
        <v>Avamba</v>
      </c>
      <c r="B9">
        <f>COUNTIF(Inventory_Table[Supplier_Name],A9)</f>
        <v>2</v>
      </c>
      <c r="C9">
        <f>COUNTIFS(Inventory_Table[Supplier_Name],A9,Inventory_Table[Status],"Active")</f>
        <v>1</v>
      </c>
      <c r="D9">
        <f>COUNTIFS(Inventory_Table[Supplier_Name],A9,Inventory_Table[Status],"Backordered")</f>
        <v>1</v>
      </c>
      <c r="E9">
        <f>COUNTIFS(Inventory_Table[Supplier_Name],A9,Inventory_Table[Status],"Discontinued")</f>
        <v>0</v>
      </c>
      <c r="F9">
        <f>SUMIF(Inventory_Table[Supplier_Name],A9,Inventory_Table[Stock_Value])</f>
        <v>132</v>
      </c>
      <c r="G9" s="21">
        <f t="shared" si="0"/>
        <v>0.5</v>
      </c>
    </row>
    <row r="10" spans="1:7" x14ac:dyDescent="0.35">
      <c r="A10" t="str">
        <v>Avamm</v>
      </c>
      <c r="B10">
        <f>COUNTIF(Inventory_Table[Supplier_Name],A10)</f>
        <v>2</v>
      </c>
      <c r="C10">
        <f>COUNTIFS(Inventory_Table[Supplier_Name],A10,Inventory_Table[Status],"Active")</f>
        <v>2</v>
      </c>
      <c r="D10">
        <f>COUNTIFS(Inventory_Table[Supplier_Name],A10,Inventory_Table[Status],"Backordered")</f>
        <v>0</v>
      </c>
      <c r="E10">
        <f>COUNTIFS(Inventory_Table[Supplier_Name],A10,Inventory_Table[Status],"Discontinued")</f>
        <v>0</v>
      </c>
      <c r="F10">
        <f>SUMIF(Inventory_Table[Supplier_Name],A10,Inventory_Table[Stock_Value])</f>
        <v>290</v>
      </c>
      <c r="G10" s="21">
        <f t="shared" si="0"/>
        <v>1</v>
      </c>
    </row>
    <row r="11" spans="1:7" x14ac:dyDescent="0.35">
      <c r="A11" t="str">
        <v>Avavee</v>
      </c>
      <c r="B11">
        <f>COUNTIF(Inventory_Table[Supplier_Name],A11)</f>
        <v>2</v>
      </c>
      <c r="C11">
        <f>COUNTIFS(Inventory_Table[Supplier_Name],A11,Inventory_Table[Status],"Active")</f>
        <v>0</v>
      </c>
      <c r="D11">
        <f>COUNTIFS(Inventory_Table[Supplier_Name],A11,Inventory_Table[Status],"Backordered")</f>
        <v>1</v>
      </c>
      <c r="E11">
        <f>COUNTIFS(Inventory_Table[Supplier_Name],A11,Inventory_Table[Status],"Discontinued")</f>
        <v>1</v>
      </c>
      <c r="F11">
        <f>SUMIF(Inventory_Table[Supplier_Name],A11,Inventory_Table[Stock_Value])</f>
        <v>1327.5</v>
      </c>
      <c r="G11" s="21">
        <f t="shared" si="0"/>
        <v>0</v>
      </c>
    </row>
    <row r="12" spans="1:7" x14ac:dyDescent="0.35">
      <c r="A12" t="str">
        <v>Avaveo</v>
      </c>
      <c r="B12">
        <f>COUNTIF(Inventory_Table[Supplier_Name],A12)</f>
        <v>5</v>
      </c>
      <c r="C12">
        <f>COUNTIFS(Inventory_Table[Supplier_Name],A12,Inventory_Table[Status],"Active")</f>
        <v>2</v>
      </c>
      <c r="D12">
        <f>COUNTIFS(Inventory_Table[Supplier_Name],A12,Inventory_Table[Status],"Backordered")</f>
        <v>1</v>
      </c>
      <c r="E12">
        <f>COUNTIFS(Inventory_Table[Supplier_Name],A12,Inventory_Table[Status],"Discontinued")</f>
        <v>2</v>
      </c>
      <c r="F12">
        <f>SUMIF(Inventory_Table[Supplier_Name],A12,Inventory_Table[Stock_Value])</f>
        <v>1310.5</v>
      </c>
      <c r="G12" s="21">
        <f t="shared" si="0"/>
        <v>0.4</v>
      </c>
    </row>
    <row r="13" spans="1:7" x14ac:dyDescent="0.35">
      <c r="A13" t="str">
        <v>Babbleblab</v>
      </c>
      <c r="B13">
        <f>COUNTIF(Inventory_Table[Supplier_Name],A13)</f>
        <v>1</v>
      </c>
      <c r="C13">
        <f>COUNTIFS(Inventory_Table[Supplier_Name],A13,Inventory_Table[Status],"Active")</f>
        <v>0</v>
      </c>
      <c r="D13">
        <f>COUNTIFS(Inventory_Table[Supplier_Name],A13,Inventory_Table[Status],"Backordered")</f>
        <v>0</v>
      </c>
      <c r="E13">
        <f>COUNTIFS(Inventory_Table[Supplier_Name],A13,Inventory_Table[Status],"Discontinued")</f>
        <v>1</v>
      </c>
      <c r="F13">
        <f>SUMIF(Inventory_Table[Supplier_Name],A13,Inventory_Table[Stock_Value])</f>
        <v>265</v>
      </c>
      <c r="G13" s="21">
        <f t="shared" si="0"/>
        <v>0</v>
      </c>
    </row>
    <row r="14" spans="1:7" x14ac:dyDescent="0.35">
      <c r="A14" t="str">
        <v>Babbleopia</v>
      </c>
      <c r="B14">
        <f>COUNTIF(Inventory_Table[Supplier_Name],A14)</f>
        <v>2</v>
      </c>
      <c r="C14">
        <f>COUNTIFS(Inventory_Table[Supplier_Name],A14,Inventory_Table[Status],"Active")</f>
        <v>2</v>
      </c>
      <c r="D14">
        <f>COUNTIFS(Inventory_Table[Supplier_Name],A14,Inventory_Table[Status],"Backordered")</f>
        <v>0</v>
      </c>
      <c r="E14">
        <f>COUNTIFS(Inventory_Table[Supplier_Name],A14,Inventory_Table[Status],"Discontinued")</f>
        <v>0</v>
      </c>
      <c r="F14">
        <f>SUMIF(Inventory_Table[Supplier_Name],A14,Inventory_Table[Stock_Value])</f>
        <v>1417</v>
      </c>
      <c r="G14" s="21">
        <f t="shared" si="0"/>
        <v>1</v>
      </c>
    </row>
    <row r="15" spans="1:7" x14ac:dyDescent="0.35">
      <c r="A15" t="str">
        <v>Babbleset</v>
      </c>
      <c r="B15">
        <f>COUNTIF(Inventory_Table[Supplier_Name],A15)</f>
        <v>1</v>
      </c>
      <c r="C15">
        <f>COUNTIFS(Inventory_Table[Supplier_Name],A15,Inventory_Table[Status],"Active")</f>
        <v>1</v>
      </c>
      <c r="D15">
        <f>COUNTIFS(Inventory_Table[Supplier_Name],A15,Inventory_Table[Status],"Backordered")</f>
        <v>0</v>
      </c>
      <c r="E15">
        <f>COUNTIFS(Inventory_Table[Supplier_Name],A15,Inventory_Table[Status],"Discontinued")</f>
        <v>0</v>
      </c>
      <c r="F15">
        <f>SUMIF(Inventory_Table[Supplier_Name],A15,Inventory_Table[Stock_Value])</f>
        <v>218.5</v>
      </c>
      <c r="G15" s="21">
        <f t="shared" si="0"/>
        <v>1</v>
      </c>
    </row>
    <row r="16" spans="1:7" x14ac:dyDescent="0.35">
      <c r="A16" t="str">
        <v>Babblestorm</v>
      </c>
      <c r="B16">
        <f>COUNTIF(Inventory_Table[Supplier_Name],A16)</f>
        <v>7</v>
      </c>
      <c r="C16">
        <f>COUNTIFS(Inventory_Table[Supplier_Name],A16,Inventory_Table[Status],"Active")</f>
        <v>3</v>
      </c>
      <c r="D16">
        <f>COUNTIFS(Inventory_Table[Supplier_Name],A16,Inventory_Table[Status],"Backordered")</f>
        <v>3</v>
      </c>
      <c r="E16">
        <f>COUNTIFS(Inventory_Table[Supplier_Name],A16,Inventory_Table[Status],"Discontinued")</f>
        <v>1</v>
      </c>
      <c r="F16">
        <f>SUMIF(Inventory_Table[Supplier_Name],A16,Inventory_Table[Stock_Value])</f>
        <v>1176.0999999999999</v>
      </c>
      <c r="G16" s="21">
        <f t="shared" si="0"/>
        <v>0.4285714285714286</v>
      </c>
    </row>
    <row r="17" spans="1:7" x14ac:dyDescent="0.35">
      <c r="A17" t="str">
        <v>Blognation</v>
      </c>
      <c r="B17">
        <f>COUNTIF(Inventory_Table[Supplier_Name],A17)</f>
        <v>3</v>
      </c>
      <c r="C17">
        <f>COUNTIFS(Inventory_Table[Supplier_Name],A17,Inventory_Table[Status],"Active")</f>
        <v>0</v>
      </c>
      <c r="D17">
        <f>COUNTIFS(Inventory_Table[Supplier_Name],A17,Inventory_Table[Status],"Backordered")</f>
        <v>2</v>
      </c>
      <c r="E17">
        <f>COUNTIFS(Inventory_Table[Supplier_Name],A17,Inventory_Table[Status],"Discontinued")</f>
        <v>1</v>
      </c>
      <c r="F17">
        <f>SUMIF(Inventory_Table[Supplier_Name],A17,Inventory_Table[Stock_Value])</f>
        <v>1118.3</v>
      </c>
      <c r="G17" s="21">
        <f t="shared" si="0"/>
        <v>0</v>
      </c>
    </row>
    <row r="18" spans="1:7" x14ac:dyDescent="0.35">
      <c r="A18" t="str">
        <v>Blogpad</v>
      </c>
      <c r="B18">
        <f>COUNTIF(Inventory_Table[Supplier_Name],A18)</f>
        <v>3</v>
      </c>
      <c r="C18">
        <f>COUNTIFS(Inventory_Table[Supplier_Name],A18,Inventory_Table[Status],"Active")</f>
        <v>0</v>
      </c>
      <c r="D18">
        <f>COUNTIFS(Inventory_Table[Supplier_Name],A18,Inventory_Table[Status],"Backordered")</f>
        <v>2</v>
      </c>
      <c r="E18">
        <f>COUNTIFS(Inventory_Table[Supplier_Name],A18,Inventory_Table[Status],"Discontinued")</f>
        <v>1</v>
      </c>
      <c r="F18">
        <f>SUMIF(Inventory_Table[Supplier_Name],A18,Inventory_Table[Stock_Value])</f>
        <v>639</v>
      </c>
      <c r="G18" s="21">
        <f t="shared" si="0"/>
        <v>0</v>
      </c>
    </row>
    <row r="19" spans="1:7" x14ac:dyDescent="0.35">
      <c r="A19" t="str">
        <v>Blogspan</v>
      </c>
      <c r="B19">
        <f>COUNTIF(Inventory_Table[Supplier_Name],A19)</f>
        <v>2</v>
      </c>
      <c r="C19">
        <f>COUNTIFS(Inventory_Table[Supplier_Name],A19,Inventory_Table[Status],"Active")</f>
        <v>1</v>
      </c>
      <c r="D19">
        <f>COUNTIFS(Inventory_Table[Supplier_Name],A19,Inventory_Table[Status],"Backordered")</f>
        <v>1</v>
      </c>
      <c r="E19">
        <f>COUNTIFS(Inventory_Table[Supplier_Name],A19,Inventory_Table[Status],"Discontinued")</f>
        <v>0</v>
      </c>
      <c r="F19">
        <f>SUMIF(Inventory_Table[Supplier_Name],A19,Inventory_Table[Stock_Value])</f>
        <v>574</v>
      </c>
      <c r="G19" s="21">
        <f t="shared" si="0"/>
        <v>0.5</v>
      </c>
    </row>
    <row r="20" spans="1:7" x14ac:dyDescent="0.35">
      <c r="A20" t="str">
        <v>Blogtag</v>
      </c>
      <c r="B20">
        <f>COUNTIF(Inventory_Table[Supplier_Name],A20)</f>
        <v>2</v>
      </c>
      <c r="C20">
        <f>COUNTIFS(Inventory_Table[Supplier_Name],A20,Inventory_Table[Status],"Active")</f>
        <v>1</v>
      </c>
      <c r="D20">
        <f>COUNTIFS(Inventory_Table[Supplier_Name],A20,Inventory_Table[Status],"Backordered")</f>
        <v>1</v>
      </c>
      <c r="E20">
        <f>COUNTIFS(Inventory_Table[Supplier_Name],A20,Inventory_Table[Status],"Discontinued")</f>
        <v>0</v>
      </c>
      <c r="F20">
        <f>SUMIF(Inventory_Table[Supplier_Name],A20,Inventory_Table[Stock_Value])</f>
        <v>639</v>
      </c>
      <c r="G20" s="21">
        <f t="shared" si="0"/>
        <v>0.5</v>
      </c>
    </row>
    <row r="21" spans="1:7" x14ac:dyDescent="0.35">
      <c r="A21" t="str">
        <v>Blogtags</v>
      </c>
      <c r="B21">
        <f>COUNTIF(Inventory_Table[Supplier_Name],A21)</f>
        <v>1</v>
      </c>
      <c r="C21">
        <f>COUNTIFS(Inventory_Table[Supplier_Name],A21,Inventory_Table[Status],"Active")</f>
        <v>0</v>
      </c>
      <c r="D21">
        <f>COUNTIFS(Inventory_Table[Supplier_Name],A21,Inventory_Table[Status],"Backordered")</f>
        <v>0</v>
      </c>
      <c r="E21">
        <f>COUNTIFS(Inventory_Table[Supplier_Name],A21,Inventory_Table[Status],"Discontinued")</f>
        <v>1</v>
      </c>
      <c r="F21">
        <f>SUMIF(Inventory_Table[Supplier_Name],A21,Inventory_Table[Stock_Value])</f>
        <v>77</v>
      </c>
      <c r="G21" s="21">
        <f t="shared" si="0"/>
        <v>0</v>
      </c>
    </row>
    <row r="22" spans="1:7" x14ac:dyDescent="0.35">
      <c r="A22" t="str">
        <v>BlogXS</v>
      </c>
      <c r="B22">
        <f>COUNTIF(Inventory_Table[Supplier_Name],A22)</f>
        <v>5</v>
      </c>
      <c r="C22">
        <f>COUNTIFS(Inventory_Table[Supplier_Name],A22,Inventory_Table[Status],"Active")</f>
        <v>1</v>
      </c>
      <c r="D22">
        <f>COUNTIFS(Inventory_Table[Supplier_Name],A22,Inventory_Table[Status],"Backordered")</f>
        <v>2</v>
      </c>
      <c r="E22">
        <f>COUNTIFS(Inventory_Table[Supplier_Name],A22,Inventory_Table[Status],"Discontinued")</f>
        <v>2</v>
      </c>
      <c r="F22">
        <f>SUMIF(Inventory_Table[Supplier_Name],A22,Inventory_Table[Stock_Value])</f>
        <v>1145</v>
      </c>
      <c r="G22" s="21">
        <f t="shared" si="0"/>
        <v>0.19999999999999996</v>
      </c>
    </row>
    <row r="23" spans="1:7" x14ac:dyDescent="0.35">
      <c r="A23" t="str">
        <v>Bluejam</v>
      </c>
      <c r="B23">
        <f>COUNTIF(Inventory_Table[Supplier_Name],A23)</f>
        <v>2</v>
      </c>
      <c r="C23">
        <f>COUNTIFS(Inventory_Table[Supplier_Name],A23,Inventory_Table[Status],"Active")</f>
        <v>2</v>
      </c>
      <c r="D23">
        <f>COUNTIFS(Inventory_Table[Supplier_Name],A23,Inventory_Table[Status],"Backordered")</f>
        <v>0</v>
      </c>
      <c r="E23">
        <f>COUNTIFS(Inventory_Table[Supplier_Name],A23,Inventory_Table[Status],"Discontinued")</f>
        <v>0</v>
      </c>
      <c r="F23">
        <f>SUMIF(Inventory_Table[Supplier_Name],A23,Inventory_Table[Stock_Value])</f>
        <v>954</v>
      </c>
      <c r="G23" s="21">
        <f t="shared" si="0"/>
        <v>1</v>
      </c>
    </row>
    <row r="24" spans="1:7" x14ac:dyDescent="0.35">
      <c r="A24" t="str">
        <v>Bluezoom</v>
      </c>
      <c r="B24">
        <f>COUNTIF(Inventory_Table[Supplier_Name],A24)</f>
        <v>3</v>
      </c>
      <c r="C24">
        <f>COUNTIFS(Inventory_Table[Supplier_Name],A24,Inventory_Table[Status],"Active")</f>
        <v>1</v>
      </c>
      <c r="D24">
        <f>COUNTIFS(Inventory_Table[Supplier_Name],A24,Inventory_Table[Status],"Backordered")</f>
        <v>2</v>
      </c>
      <c r="E24">
        <f>COUNTIFS(Inventory_Table[Supplier_Name],A24,Inventory_Table[Status],"Discontinued")</f>
        <v>0</v>
      </c>
      <c r="F24">
        <f>SUMIF(Inventory_Table[Supplier_Name],A24,Inventory_Table[Stock_Value])</f>
        <v>855.5</v>
      </c>
      <c r="G24" s="21">
        <f t="shared" si="0"/>
        <v>0.33333333333333337</v>
      </c>
    </row>
    <row r="25" spans="1:7" x14ac:dyDescent="0.35">
      <c r="A25" t="str">
        <v>Brainbox</v>
      </c>
      <c r="B25">
        <f>COUNTIF(Inventory_Table[Supplier_Name],A25)</f>
        <v>1</v>
      </c>
      <c r="C25">
        <f>COUNTIFS(Inventory_Table[Supplier_Name],A25,Inventory_Table[Status],"Active")</f>
        <v>1</v>
      </c>
      <c r="D25">
        <f>COUNTIFS(Inventory_Table[Supplier_Name],A25,Inventory_Table[Status],"Backordered")</f>
        <v>0</v>
      </c>
      <c r="E25">
        <f>COUNTIFS(Inventory_Table[Supplier_Name],A25,Inventory_Table[Status],"Discontinued")</f>
        <v>0</v>
      </c>
      <c r="F25">
        <f>SUMIF(Inventory_Table[Supplier_Name],A25,Inventory_Table[Stock_Value])</f>
        <v>230</v>
      </c>
      <c r="G25" s="21">
        <f t="shared" si="0"/>
        <v>1</v>
      </c>
    </row>
    <row r="26" spans="1:7" x14ac:dyDescent="0.35">
      <c r="A26" t="str">
        <v>Brainlounge</v>
      </c>
      <c r="B26">
        <f>COUNTIF(Inventory_Table[Supplier_Name],A26)</f>
        <v>1</v>
      </c>
      <c r="C26">
        <f>COUNTIFS(Inventory_Table[Supplier_Name],A26,Inventory_Table[Status],"Active")</f>
        <v>0</v>
      </c>
      <c r="D26">
        <f>COUNTIFS(Inventory_Table[Supplier_Name],A26,Inventory_Table[Status],"Backordered")</f>
        <v>1</v>
      </c>
      <c r="E26">
        <f>COUNTIFS(Inventory_Table[Supplier_Name],A26,Inventory_Table[Status],"Discontinued")</f>
        <v>0</v>
      </c>
      <c r="F26">
        <f>SUMIF(Inventory_Table[Supplier_Name],A26,Inventory_Table[Stock_Value])</f>
        <v>207</v>
      </c>
      <c r="G26" s="21">
        <f t="shared" si="0"/>
        <v>0</v>
      </c>
    </row>
    <row r="27" spans="1:7" x14ac:dyDescent="0.35">
      <c r="A27" t="str">
        <v>Brainsphere</v>
      </c>
      <c r="B27">
        <f>COUNTIF(Inventory_Table[Supplier_Name],A27)</f>
        <v>1</v>
      </c>
      <c r="C27">
        <f>COUNTIFS(Inventory_Table[Supplier_Name],A27,Inventory_Table[Status],"Active")</f>
        <v>0</v>
      </c>
      <c r="D27">
        <f>COUNTIFS(Inventory_Table[Supplier_Name],A27,Inventory_Table[Status],"Backordered")</f>
        <v>0</v>
      </c>
      <c r="E27">
        <f>COUNTIFS(Inventory_Table[Supplier_Name],A27,Inventory_Table[Status],"Discontinued")</f>
        <v>1</v>
      </c>
      <c r="F27">
        <f>SUMIF(Inventory_Table[Supplier_Name],A27,Inventory_Table[Stock_Value])</f>
        <v>77</v>
      </c>
      <c r="G27" s="21">
        <f t="shared" si="0"/>
        <v>0</v>
      </c>
    </row>
    <row r="28" spans="1:7" x14ac:dyDescent="0.35">
      <c r="A28" t="str">
        <v>Brainverse</v>
      </c>
      <c r="B28">
        <f>COUNTIF(Inventory_Table[Supplier_Name],A28)</f>
        <v>5</v>
      </c>
      <c r="C28">
        <f>COUNTIFS(Inventory_Table[Supplier_Name],A28,Inventory_Table[Status],"Active")</f>
        <v>1</v>
      </c>
      <c r="D28">
        <f>COUNTIFS(Inventory_Table[Supplier_Name],A28,Inventory_Table[Status],"Backordered")</f>
        <v>2</v>
      </c>
      <c r="E28">
        <f>COUNTIFS(Inventory_Table[Supplier_Name],A28,Inventory_Table[Status],"Discontinued")</f>
        <v>2</v>
      </c>
      <c r="F28">
        <f>SUMIF(Inventory_Table[Supplier_Name],A28,Inventory_Table[Stock_Value])</f>
        <v>786.75</v>
      </c>
      <c r="G28" s="21">
        <f t="shared" si="0"/>
        <v>0.19999999999999996</v>
      </c>
    </row>
    <row r="29" spans="1:7" x14ac:dyDescent="0.35">
      <c r="A29" t="str">
        <v>Brightbean</v>
      </c>
      <c r="B29">
        <f>COUNTIF(Inventory_Table[Supplier_Name],A29)</f>
        <v>5</v>
      </c>
      <c r="C29">
        <f>COUNTIFS(Inventory_Table[Supplier_Name],A29,Inventory_Table[Status],"Active")</f>
        <v>2</v>
      </c>
      <c r="D29">
        <f>COUNTIFS(Inventory_Table[Supplier_Name],A29,Inventory_Table[Status],"Backordered")</f>
        <v>3</v>
      </c>
      <c r="E29">
        <f>COUNTIFS(Inventory_Table[Supplier_Name],A29,Inventory_Table[Status],"Discontinued")</f>
        <v>0</v>
      </c>
      <c r="F29">
        <f>SUMIF(Inventory_Table[Supplier_Name],A29,Inventory_Table[Stock_Value])</f>
        <v>2975.3</v>
      </c>
      <c r="G29" s="21">
        <f t="shared" si="0"/>
        <v>0.4</v>
      </c>
    </row>
    <row r="30" spans="1:7" x14ac:dyDescent="0.35">
      <c r="A30" t="str">
        <v>Brightdog</v>
      </c>
      <c r="B30">
        <f>COUNTIF(Inventory_Table[Supplier_Name],A30)</f>
        <v>2</v>
      </c>
      <c r="C30">
        <f>COUNTIFS(Inventory_Table[Supplier_Name],A30,Inventory_Table[Status],"Active")</f>
        <v>1</v>
      </c>
      <c r="D30">
        <f>COUNTIFS(Inventory_Table[Supplier_Name],A30,Inventory_Table[Status],"Backordered")</f>
        <v>0</v>
      </c>
      <c r="E30">
        <f>COUNTIFS(Inventory_Table[Supplier_Name],A30,Inventory_Table[Status],"Discontinued")</f>
        <v>1</v>
      </c>
      <c r="F30">
        <f>SUMIF(Inventory_Table[Supplier_Name],A30,Inventory_Table[Stock_Value])</f>
        <v>336</v>
      </c>
      <c r="G30" s="21">
        <f t="shared" si="0"/>
        <v>0.5</v>
      </c>
    </row>
    <row r="31" spans="1:7" x14ac:dyDescent="0.35">
      <c r="A31" t="str">
        <v>Browseblab</v>
      </c>
      <c r="B31">
        <f>COUNTIF(Inventory_Table[Supplier_Name],A31)</f>
        <v>2</v>
      </c>
      <c r="C31">
        <f>COUNTIFS(Inventory_Table[Supplier_Name],A31,Inventory_Table[Status],"Active")</f>
        <v>1</v>
      </c>
      <c r="D31">
        <f>COUNTIFS(Inventory_Table[Supplier_Name],A31,Inventory_Table[Status],"Backordered")</f>
        <v>0</v>
      </c>
      <c r="E31">
        <f>COUNTIFS(Inventory_Table[Supplier_Name],A31,Inventory_Table[Status],"Discontinued")</f>
        <v>1</v>
      </c>
      <c r="F31">
        <f>SUMIF(Inventory_Table[Supplier_Name],A31,Inventory_Table[Stock_Value])</f>
        <v>131</v>
      </c>
      <c r="G31" s="21">
        <f t="shared" si="0"/>
        <v>0.5</v>
      </c>
    </row>
    <row r="32" spans="1:7" x14ac:dyDescent="0.35">
      <c r="A32" t="str">
        <v>Browsebug</v>
      </c>
      <c r="B32">
        <f>COUNTIF(Inventory_Table[Supplier_Name],A32)</f>
        <v>1</v>
      </c>
      <c r="C32">
        <f>COUNTIFS(Inventory_Table[Supplier_Name],A32,Inventory_Table[Status],"Active")</f>
        <v>0</v>
      </c>
      <c r="D32">
        <f>COUNTIFS(Inventory_Table[Supplier_Name],A32,Inventory_Table[Status],"Backordered")</f>
        <v>1</v>
      </c>
      <c r="E32">
        <f>COUNTIFS(Inventory_Table[Supplier_Name],A32,Inventory_Table[Status],"Discontinued")</f>
        <v>0</v>
      </c>
      <c r="F32">
        <f>SUMIF(Inventory_Table[Supplier_Name],A32,Inventory_Table[Stock_Value])</f>
        <v>258</v>
      </c>
      <c r="G32" s="21">
        <f t="shared" si="0"/>
        <v>0</v>
      </c>
    </row>
    <row r="33" spans="1:7" x14ac:dyDescent="0.35">
      <c r="A33" t="str">
        <v>Browsecat</v>
      </c>
      <c r="B33">
        <f>COUNTIF(Inventory_Table[Supplier_Name],A33)</f>
        <v>3</v>
      </c>
      <c r="C33">
        <f>COUNTIFS(Inventory_Table[Supplier_Name],A33,Inventory_Table[Status],"Active")</f>
        <v>0</v>
      </c>
      <c r="D33">
        <f>COUNTIFS(Inventory_Table[Supplier_Name],A33,Inventory_Table[Status],"Backordered")</f>
        <v>3</v>
      </c>
      <c r="E33">
        <f>COUNTIFS(Inventory_Table[Supplier_Name],A33,Inventory_Table[Status],"Discontinued")</f>
        <v>0</v>
      </c>
      <c r="F33">
        <f>SUMIF(Inventory_Table[Supplier_Name],A33,Inventory_Table[Stock_Value])</f>
        <v>1726</v>
      </c>
      <c r="G33" s="21">
        <f t="shared" si="0"/>
        <v>0</v>
      </c>
    </row>
    <row r="34" spans="1:7" x14ac:dyDescent="0.35">
      <c r="A34" t="str">
        <v>Browsedrive</v>
      </c>
      <c r="B34">
        <f>COUNTIF(Inventory_Table[Supplier_Name],A34)</f>
        <v>1</v>
      </c>
      <c r="C34">
        <f>COUNTIFS(Inventory_Table[Supplier_Name],A34,Inventory_Table[Status],"Active")</f>
        <v>1</v>
      </c>
      <c r="D34">
        <f>COUNTIFS(Inventory_Table[Supplier_Name],A34,Inventory_Table[Status],"Backordered")</f>
        <v>0</v>
      </c>
      <c r="E34">
        <f>COUNTIFS(Inventory_Table[Supplier_Name],A34,Inventory_Table[Status],"Discontinued")</f>
        <v>0</v>
      </c>
      <c r="F34">
        <f>SUMIF(Inventory_Table[Supplier_Name],A34,Inventory_Table[Stock_Value])</f>
        <v>55.199999999999996</v>
      </c>
      <c r="G34" s="21">
        <f t="shared" si="0"/>
        <v>1</v>
      </c>
    </row>
    <row r="35" spans="1:7" x14ac:dyDescent="0.35">
      <c r="A35" t="str">
        <v>Browsetype</v>
      </c>
      <c r="B35">
        <f>COUNTIF(Inventory_Table[Supplier_Name],A35)</f>
        <v>4</v>
      </c>
      <c r="C35">
        <f>COUNTIFS(Inventory_Table[Supplier_Name],A35,Inventory_Table[Status],"Active")</f>
        <v>1</v>
      </c>
      <c r="D35">
        <f>COUNTIFS(Inventory_Table[Supplier_Name],A35,Inventory_Table[Status],"Backordered")</f>
        <v>3</v>
      </c>
      <c r="E35">
        <f>COUNTIFS(Inventory_Table[Supplier_Name],A35,Inventory_Table[Status],"Discontinued")</f>
        <v>0</v>
      </c>
      <c r="F35">
        <f>SUMIF(Inventory_Table[Supplier_Name],A35,Inventory_Table[Stock_Value])</f>
        <v>1034.4000000000001</v>
      </c>
      <c r="G35" s="21">
        <f t="shared" si="0"/>
        <v>0.25</v>
      </c>
    </row>
    <row r="36" spans="1:7" x14ac:dyDescent="0.35">
      <c r="A36" t="str">
        <v>Browsezoom</v>
      </c>
      <c r="B36">
        <f>COUNTIF(Inventory_Table[Supplier_Name],A36)</f>
        <v>3</v>
      </c>
      <c r="C36">
        <f>COUNTIFS(Inventory_Table[Supplier_Name],A36,Inventory_Table[Status],"Active")</f>
        <v>0</v>
      </c>
      <c r="D36">
        <f>COUNTIFS(Inventory_Table[Supplier_Name],A36,Inventory_Table[Status],"Backordered")</f>
        <v>1</v>
      </c>
      <c r="E36">
        <f>COUNTIFS(Inventory_Table[Supplier_Name],A36,Inventory_Table[Status],"Discontinued")</f>
        <v>2</v>
      </c>
      <c r="F36">
        <f>SUMIF(Inventory_Table[Supplier_Name],A36,Inventory_Table[Stock_Value])</f>
        <v>1512.5</v>
      </c>
      <c r="G36" s="21">
        <f t="shared" si="0"/>
        <v>0</v>
      </c>
    </row>
    <row r="37" spans="1:7" x14ac:dyDescent="0.35">
      <c r="A37" t="str">
        <v>Bubblebox</v>
      </c>
      <c r="B37">
        <f>COUNTIF(Inventory_Table[Supplier_Name],A37)</f>
        <v>4</v>
      </c>
      <c r="C37">
        <f>COUNTIFS(Inventory_Table[Supplier_Name],A37,Inventory_Table[Status],"Active")</f>
        <v>1</v>
      </c>
      <c r="D37">
        <f>COUNTIFS(Inventory_Table[Supplier_Name],A37,Inventory_Table[Status],"Backordered")</f>
        <v>2</v>
      </c>
      <c r="E37">
        <f>COUNTIFS(Inventory_Table[Supplier_Name],A37,Inventory_Table[Status],"Discontinued")</f>
        <v>1</v>
      </c>
      <c r="F37">
        <f>SUMIF(Inventory_Table[Supplier_Name],A37,Inventory_Table[Stock_Value])</f>
        <v>447.6</v>
      </c>
      <c r="G37" s="21">
        <f t="shared" si="0"/>
        <v>0.25</v>
      </c>
    </row>
    <row r="38" spans="1:7" x14ac:dyDescent="0.35">
      <c r="A38" t="str">
        <v>Bubblemix</v>
      </c>
      <c r="B38">
        <f>COUNTIF(Inventory_Table[Supplier_Name],A38)</f>
        <v>5</v>
      </c>
      <c r="C38">
        <f>COUNTIFS(Inventory_Table[Supplier_Name],A38,Inventory_Table[Status],"Active")</f>
        <v>2</v>
      </c>
      <c r="D38">
        <f>COUNTIFS(Inventory_Table[Supplier_Name],A38,Inventory_Table[Status],"Backordered")</f>
        <v>1</v>
      </c>
      <c r="E38">
        <f>COUNTIFS(Inventory_Table[Supplier_Name],A38,Inventory_Table[Status],"Discontinued")</f>
        <v>2</v>
      </c>
      <c r="F38">
        <f>SUMIF(Inventory_Table[Supplier_Name],A38,Inventory_Table[Stock_Value])</f>
        <v>941.6</v>
      </c>
      <c r="G38" s="21">
        <f t="shared" si="0"/>
        <v>0.4</v>
      </c>
    </row>
    <row r="39" spans="1:7" x14ac:dyDescent="0.35">
      <c r="A39" t="str">
        <v>Buzzbean</v>
      </c>
      <c r="B39">
        <f>COUNTIF(Inventory_Table[Supplier_Name],A39)</f>
        <v>3</v>
      </c>
      <c r="C39">
        <f>COUNTIFS(Inventory_Table[Supplier_Name],A39,Inventory_Table[Status],"Active")</f>
        <v>1</v>
      </c>
      <c r="D39">
        <f>COUNTIFS(Inventory_Table[Supplier_Name],A39,Inventory_Table[Status],"Backordered")</f>
        <v>0</v>
      </c>
      <c r="E39">
        <f>COUNTIFS(Inventory_Table[Supplier_Name],A39,Inventory_Table[Status],"Discontinued")</f>
        <v>2</v>
      </c>
      <c r="F39">
        <f>SUMIF(Inventory_Table[Supplier_Name],A39,Inventory_Table[Stock_Value])</f>
        <v>1549.7</v>
      </c>
      <c r="G39" s="21">
        <f t="shared" si="0"/>
        <v>0.33333333333333337</v>
      </c>
    </row>
    <row r="40" spans="1:7" x14ac:dyDescent="0.35">
      <c r="A40" t="str">
        <v>Buzzdog</v>
      </c>
      <c r="B40">
        <f>COUNTIF(Inventory_Table[Supplier_Name],A40)</f>
        <v>2</v>
      </c>
      <c r="C40">
        <f>COUNTIFS(Inventory_Table[Supplier_Name],A40,Inventory_Table[Status],"Active")</f>
        <v>1</v>
      </c>
      <c r="D40">
        <f>COUNTIFS(Inventory_Table[Supplier_Name],A40,Inventory_Table[Status],"Backordered")</f>
        <v>0</v>
      </c>
      <c r="E40">
        <f>COUNTIFS(Inventory_Table[Supplier_Name],A40,Inventory_Table[Status],"Discontinued")</f>
        <v>1</v>
      </c>
      <c r="F40">
        <f>SUMIF(Inventory_Table[Supplier_Name],A40,Inventory_Table[Stock_Value])</f>
        <v>408.6</v>
      </c>
      <c r="G40" s="21">
        <f t="shared" si="0"/>
        <v>0.5</v>
      </c>
    </row>
    <row r="41" spans="1:7" x14ac:dyDescent="0.35">
      <c r="A41" t="str">
        <v>Buzzshare</v>
      </c>
      <c r="B41">
        <f>COUNTIF(Inventory_Table[Supplier_Name],A41)</f>
        <v>4</v>
      </c>
      <c r="C41">
        <f>COUNTIFS(Inventory_Table[Supplier_Name],A41,Inventory_Table[Status],"Active")</f>
        <v>1</v>
      </c>
      <c r="D41">
        <f>COUNTIFS(Inventory_Table[Supplier_Name],A41,Inventory_Table[Status],"Backordered")</f>
        <v>2</v>
      </c>
      <c r="E41">
        <f>COUNTIFS(Inventory_Table[Supplier_Name],A41,Inventory_Table[Status],"Discontinued")</f>
        <v>1</v>
      </c>
      <c r="F41">
        <f>SUMIF(Inventory_Table[Supplier_Name],A41,Inventory_Table[Stock_Value])</f>
        <v>1113</v>
      </c>
      <c r="G41" s="21">
        <f t="shared" si="0"/>
        <v>0.25</v>
      </c>
    </row>
    <row r="42" spans="1:7" x14ac:dyDescent="0.35">
      <c r="A42" t="str">
        <v>Buzzster</v>
      </c>
      <c r="B42">
        <f>COUNTIF(Inventory_Table[Supplier_Name],A42)</f>
        <v>2</v>
      </c>
      <c r="C42">
        <f>COUNTIFS(Inventory_Table[Supplier_Name],A42,Inventory_Table[Status],"Active")</f>
        <v>1</v>
      </c>
      <c r="D42">
        <f>COUNTIFS(Inventory_Table[Supplier_Name],A42,Inventory_Table[Status],"Backordered")</f>
        <v>0</v>
      </c>
      <c r="E42">
        <f>COUNTIFS(Inventory_Table[Supplier_Name],A42,Inventory_Table[Status],"Discontinued")</f>
        <v>1</v>
      </c>
      <c r="F42">
        <f>SUMIF(Inventory_Table[Supplier_Name],A42,Inventory_Table[Stock_Value])</f>
        <v>508</v>
      </c>
      <c r="G42" s="21">
        <f t="shared" si="0"/>
        <v>0.5</v>
      </c>
    </row>
    <row r="43" spans="1:7" x14ac:dyDescent="0.35">
      <c r="A43" t="str">
        <v>Camido</v>
      </c>
      <c r="B43">
        <f>COUNTIF(Inventory_Table[Supplier_Name],A43)</f>
        <v>5</v>
      </c>
      <c r="C43">
        <f>COUNTIFS(Inventory_Table[Supplier_Name],A43,Inventory_Table[Status],"Active")</f>
        <v>1</v>
      </c>
      <c r="D43">
        <f>COUNTIFS(Inventory_Table[Supplier_Name],A43,Inventory_Table[Status],"Backordered")</f>
        <v>2</v>
      </c>
      <c r="E43">
        <f>COUNTIFS(Inventory_Table[Supplier_Name],A43,Inventory_Table[Status],"Discontinued")</f>
        <v>2</v>
      </c>
      <c r="F43">
        <f>SUMIF(Inventory_Table[Supplier_Name],A43,Inventory_Table[Stock_Value])</f>
        <v>3357.5</v>
      </c>
      <c r="G43" s="21">
        <f t="shared" si="0"/>
        <v>0.19999999999999996</v>
      </c>
    </row>
    <row r="44" spans="1:7" x14ac:dyDescent="0.35">
      <c r="A44" t="str">
        <v>Camimbo</v>
      </c>
      <c r="B44">
        <f>COUNTIF(Inventory_Table[Supplier_Name],A44)</f>
        <v>2</v>
      </c>
      <c r="C44">
        <f>COUNTIFS(Inventory_Table[Supplier_Name],A44,Inventory_Table[Status],"Active")</f>
        <v>0</v>
      </c>
      <c r="D44">
        <f>COUNTIFS(Inventory_Table[Supplier_Name],A44,Inventory_Table[Status],"Backordered")</f>
        <v>1</v>
      </c>
      <c r="E44">
        <f>COUNTIFS(Inventory_Table[Supplier_Name],A44,Inventory_Table[Status],"Discontinued")</f>
        <v>1</v>
      </c>
      <c r="F44">
        <f>SUMIF(Inventory_Table[Supplier_Name],A44,Inventory_Table[Stock_Value])</f>
        <v>1184</v>
      </c>
      <c r="G44" s="21">
        <f t="shared" si="0"/>
        <v>0</v>
      </c>
    </row>
    <row r="45" spans="1:7" x14ac:dyDescent="0.35">
      <c r="A45" t="str">
        <v>Centidel</v>
      </c>
      <c r="B45">
        <f>COUNTIF(Inventory_Table[Supplier_Name],A45)</f>
        <v>2</v>
      </c>
      <c r="C45">
        <f>COUNTIFS(Inventory_Table[Supplier_Name],A45,Inventory_Table[Status],"Active")</f>
        <v>0</v>
      </c>
      <c r="D45">
        <f>COUNTIFS(Inventory_Table[Supplier_Name],A45,Inventory_Table[Status],"Backordered")</f>
        <v>1</v>
      </c>
      <c r="E45">
        <f>COUNTIFS(Inventory_Table[Supplier_Name],A45,Inventory_Table[Status],"Discontinued")</f>
        <v>1</v>
      </c>
      <c r="F45">
        <f>SUMIF(Inventory_Table[Supplier_Name],A45,Inventory_Table[Stock_Value])</f>
        <v>804</v>
      </c>
      <c r="G45" s="21">
        <f t="shared" si="0"/>
        <v>0</v>
      </c>
    </row>
    <row r="46" spans="1:7" x14ac:dyDescent="0.35">
      <c r="A46" t="str">
        <v>Centimia</v>
      </c>
      <c r="B46">
        <f>COUNTIF(Inventory_Table[Supplier_Name],A46)</f>
        <v>5</v>
      </c>
      <c r="C46">
        <f>COUNTIFS(Inventory_Table[Supplier_Name],A46,Inventory_Table[Status],"Active")</f>
        <v>0</v>
      </c>
      <c r="D46">
        <f>COUNTIFS(Inventory_Table[Supplier_Name],A46,Inventory_Table[Status],"Backordered")</f>
        <v>3</v>
      </c>
      <c r="E46">
        <f>COUNTIFS(Inventory_Table[Supplier_Name],A46,Inventory_Table[Status],"Discontinued")</f>
        <v>2</v>
      </c>
      <c r="F46">
        <f>SUMIF(Inventory_Table[Supplier_Name],A46,Inventory_Table[Stock_Value])</f>
        <v>1872.65</v>
      </c>
      <c r="G46" s="21">
        <f t="shared" si="0"/>
        <v>0</v>
      </c>
    </row>
    <row r="47" spans="1:7" x14ac:dyDescent="0.35">
      <c r="A47" t="str">
        <v>Centizu</v>
      </c>
      <c r="B47">
        <f>COUNTIF(Inventory_Table[Supplier_Name],A47)</f>
        <v>4</v>
      </c>
      <c r="C47">
        <f>COUNTIFS(Inventory_Table[Supplier_Name],A47,Inventory_Table[Status],"Active")</f>
        <v>0</v>
      </c>
      <c r="D47">
        <f>COUNTIFS(Inventory_Table[Supplier_Name],A47,Inventory_Table[Status],"Backordered")</f>
        <v>1</v>
      </c>
      <c r="E47">
        <f>COUNTIFS(Inventory_Table[Supplier_Name],A47,Inventory_Table[Status],"Discontinued")</f>
        <v>3</v>
      </c>
      <c r="F47">
        <f>SUMIF(Inventory_Table[Supplier_Name],A47,Inventory_Table[Stock_Value])</f>
        <v>788.5</v>
      </c>
      <c r="G47" s="21">
        <f t="shared" si="0"/>
        <v>0</v>
      </c>
    </row>
    <row r="48" spans="1:7" x14ac:dyDescent="0.35">
      <c r="A48" t="str">
        <v>Chatterbridge</v>
      </c>
      <c r="B48">
        <f>COUNTIF(Inventory_Table[Supplier_Name],A48)</f>
        <v>4</v>
      </c>
      <c r="C48">
        <f>COUNTIFS(Inventory_Table[Supplier_Name],A48,Inventory_Table[Status],"Active")</f>
        <v>2</v>
      </c>
      <c r="D48">
        <f>COUNTIFS(Inventory_Table[Supplier_Name],A48,Inventory_Table[Status],"Backordered")</f>
        <v>1</v>
      </c>
      <c r="E48">
        <f>COUNTIFS(Inventory_Table[Supplier_Name],A48,Inventory_Table[Status],"Discontinued")</f>
        <v>1</v>
      </c>
      <c r="F48">
        <f>SUMIF(Inventory_Table[Supplier_Name],A48,Inventory_Table[Stock_Value])</f>
        <v>1296</v>
      </c>
      <c r="G48" s="21">
        <f t="shared" si="0"/>
        <v>0.5</v>
      </c>
    </row>
    <row r="49" spans="1:7" x14ac:dyDescent="0.35">
      <c r="A49" t="str">
        <v>Chatterpoint</v>
      </c>
      <c r="B49">
        <f>COUNTIF(Inventory_Table[Supplier_Name],A49)</f>
        <v>3</v>
      </c>
      <c r="C49">
        <f>COUNTIFS(Inventory_Table[Supplier_Name],A49,Inventory_Table[Status],"Active")</f>
        <v>1</v>
      </c>
      <c r="D49">
        <f>COUNTIFS(Inventory_Table[Supplier_Name],A49,Inventory_Table[Status],"Backordered")</f>
        <v>0</v>
      </c>
      <c r="E49">
        <f>COUNTIFS(Inventory_Table[Supplier_Name],A49,Inventory_Table[Status],"Discontinued")</f>
        <v>2</v>
      </c>
      <c r="F49">
        <f>SUMIF(Inventory_Table[Supplier_Name],A49,Inventory_Table[Stock_Value])</f>
        <v>1118.75</v>
      </c>
      <c r="G49" s="21">
        <f t="shared" si="0"/>
        <v>0.33333333333333337</v>
      </c>
    </row>
    <row r="50" spans="1:7" x14ac:dyDescent="0.35">
      <c r="A50" t="str">
        <v>Cogibox</v>
      </c>
      <c r="B50">
        <f>COUNTIF(Inventory_Table[Supplier_Name],A50)</f>
        <v>2</v>
      </c>
      <c r="C50">
        <f>COUNTIFS(Inventory_Table[Supplier_Name],A50,Inventory_Table[Status],"Active")</f>
        <v>0</v>
      </c>
      <c r="D50">
        <f>COUNTIFS(Inventory_Table[Supplier_Name],A50,Inventory_Table[Status],"Backordered")</f>
        <v>0</v>
      </c>
      <c r="E50">
        <f>COUNTIFS(Inventory_Table[Supplier_Name],A50,Inventory_Table[Status],"Discontinued")</f>
        <v>2</v>
      </c>
      <c r="F50">
        <f>SUMIF(Inventory_Table[Supplier_Name],A50,Inventory_Table[Stock_Value])</f>
        <v>1021.5</v>
      </c>
      <c r="G50" s="21">
        <f t="shared" si="0"/>
        <v>0</v>
      </c>
    </row>
    <row r="51" spans="1:7" x14ac:dyDescent="0.35">
      <c r="A51" t="str">
        <v>Cogidoo</v>
      </c>
      <c r="B51">
        <f>COUNTIF(Inventory_Table[Supplier_Name],A51)</f>
        <v>1</v>
      </c>
      <c r="C51">
        <f>COUNTIFS(Inventory_Table[Supplier_Name],A51,Inventory_Table[Status],"Active")</f>
        <v>1</v>
      </c>
      <c r="D51">
        <f>COUNTIFS(Inventory_Table[Supplier_Name],A51,Inventory_Table[Status],"Backordered")</f>
        <v>0</v>
      </c>
      <c r="E51">
        <f>COUNTIFS(Inventory_Table[Supplier_Name],A51,Inventory_Table[Status],"Discontinued")</f>
        <v>0</v>
      </c>
      <c r="F51">
        <f>SUMIF(Inventory_Table[Supplier_Name],A51,Inventory_Table[Stock_Value])</f>
        <v>258.10000000000002</v>
      </c>
      <c r="G51" s="21">
        <f t="shared" si="0"/>
        <v>1</v>
      </c>
    </row>
    <row r="52" spans="1:7" x14ac:dyDescent="0.35">
      <c r="A52" t="str">
        <v>Cogilith</v>
      </c>
      <c r="B52">
        <f>COUNTIF(Inventory_Table[Supplier_Name],A52)</f>
        <v>3</v>
      </c>
      <c r="C52">
        <f>COUNTIFS(Inventory_Table[Supplier_Name],A52,Inventory_Table[Status],"Active")</f>
        <v>2</v>
      </c>
      <c r="D52">
        <f>COUNTIFS(Inventory_Table[Supplier_Name],A52,Inventory_Table[Status],"Backordered")</f>
        <v>1</v>
      </c>
      <c r="E52">
        <f>COUNTIFS(Inventory_Table[Supplier_Name],A52,Inventory_Table[Status],"Discontinued")</f>
        <v>0</v>
      </c>
      <c r="F52">
        <f>SUMIF(Inventory_Table[Supplier_Name],A52,Inventory_Table[Stock_Value])</f>
        <v>467</v>
      </c>
      <c r="G52" s="21">
        <f t="shared" si="0"/>
        <v>0.66666666666666674</v>
      </c>
    </row>
    <row r="53" spans="1:7" x14ac:dyDescent="0.35">
      <c r="A53" t="str">
        <v>Dabfeed</v>
      </c>
      <c r="B53">
        <f>COUNTIF(Inventory_Table[Supplier_Name],A53)</f>
        <v>1</v>
      </c>
      <c r="C53">
        <f>COUNTIFS(Inventory_Table[Supplier_Name],A53,Inventory_Table[Status],"Active")</f>
        <v>0</v>
      </c>
      <c r="D53">
        <f>COUNTIFS(Inventory_Table[Supplier_Name],A53,Inventory_Table[Status],"Backordered")</f>
        <v>0</v>
      </c>
      <c r="E53">
        <f>COUNTIFS(Inventory_Table[Supplier_Name],A53,Inventory_Table[Status],"Discontinued")</f>
        <v>1</v>
      </c>
      <c r="F53">
        <f>SUMIF(Inventory_Table[Supplier_Name],A53,Inventory_Table[Stock_Value])</f>
        <v>570</v>
      </c>
      <c r="G53" s="21">
        <f t="shared" si="0"/>
        <v>0</v>
      </c>
    </row>
    <row r="54" spans="1:7" x14ac:dyDescent="0.35">
      <c r="A54" t="str">
        <v>Dabjam</v>
      </c>
      <c r="B54">
        <f>COUNTIF(Inventory_Table[Supplier_Name],A54)</f>
        <v>4</v>
      </c>
      <c r="C54">
        <f>COUNTIFS(Inventory_Table[Supplier_Name],A54,Inventory_Table[Status],"Active")</f>
        <v>1</v>
      </c>
      <c r="D54">
        <f>COUNTIFS(Inventory_Table[Supplier_Name],A54,Inventory_Table[Status],"Backordered")</f>
        <v>2</v>
      </c>
      <c r="E54">
        <f>COUNTIFS(Inventory_Table[Supplier_Name],A54,Inventory_Table[Status],"Discontinued")</f>
        <v>1</v>
      </c>
      <c r="F54">
        <f>SUMIF(Inventory_Table[Supplier_Name],A54,Inventory_Table[Stock_Value])</f>
        <v>377.85</v>
      </c>
      <c r="G54" s="21">
        <f t="shared" si="0"/>
        <v>0.25</v>
      </c>
    </row>
    <row r="55" spans="1:7" x14ac:dyDescent="0.35">
      <c r="A55" t="str">
        <v>Dabshots</v>
      </c>
      <c r="B55">
        <f>COUNTIF(Inventory_Table[Supplier_Name],A55)</f>
        <v>2</v>
      </c>
      <c r="C55">
        <f>COUNTIFS(Inventory_Table[Supplier_Name],A55,Inventory_Table[Status],"Active")</f>
        <v>1</v>
      </c>
      <c r="D55">
        <f>COUNTIFS(Inventory_Table[Supplier_Name],A55,Inventory_Table[Status],"Backordered")</f>
        <v>1</v>
      </c>
      <c r="E55">
        <f>COUNTIFS(Inventory_Table[Supplier_Name],A55,Inventory_Table[Status],"Discontinued")</f>
        <v>0</v>
      </c>
      <c r="F55">
        <f>SUMIF(Inventory_Table[Supplier_Name],A55,Inventory_Table[Stock_Value])</f>
        <v>397.7</v>
      </c>
      <c r="G55" s="21">
        <f t="shared" si="0"/>
        <v>0.5</v>
      </c>
    </row>
    <row r="56" spans="1:7" x14ac:dyDescent="0.35">
      <c r="A56" t="str">
        <v>Dabtype</v>
      </c>
      <c r="B56">
        <f>COUNTIF(Inventory_Table[Supplier_Name],A56)</f>
        <v>4</v>
      </c>
      <c r="C56">
        <f>COUNTIFS(Inventory_Table[Supplier_Name],A56,Inventory_Table[Status],"Active")</f>
        <v>1</v>
      </c>
      <c r="D56">
        <f>COUNTIFS(Inventory_Table[Supplier_Name],A56,Inventory_Table[Status],"Backordered")</f>
        <v>2</v>
      </c>
      <c r="E56">
        <f>COUNTIFS(Inventory_Table[Supplier_Name],A56,Inventory_Table[Status],"Discontinued")</f>
        <v>1</v>
      </c>
      <c r="F56">
        <f>SUMIF(Inventory_Table[Supplier_Name],A56,Inventory_Table[Stock_Value])</f>
        <v>1095.5</v>
      </c>
      <c r="G56" s="21">
        <f t="shared" si="0"/>
        <v>0.25</v>
      </c>
    </row>
    <row r="57" spans="1:7" x14ac:dyDescent="0.35">
      <c r="A57" t="str">
        <v>Dabvine</v>
      </c>
      <c r="B57">
        <f>COUNTIF(Inventory_Table[Supplier_Name],A57)</f>
        <v>1</v>
      </c>
      <c r="C57">
        <f>COUNTIFS(Inventory_Table[Supplier_Name],A57,Inventory_Table[Status],"Active")</f>
        <v>0</v>
      </c>
      <c r="D57">
        <f>COUNTIFS(Inventory_Table[Supplier_Name],A57,Inventory_Table[Status],"Backordered")</f>
        <v>0</v>
      </c>
      <c r="E57">
        <f>COUNTIFS(Inventory_Table[Supplier_Name],A57,Inventory_Table[Status],"Discontinued")</f>
        <v>1</v>
      </c>
      <c r="F57">
        <f>SUMIF(Inventory_Table[Supplier_Name],A57,Inventory_Table[Stock_Value])</f>
        <v>360</v>
      </c>
      <c r="G57" s="21">
        <f t="shared" si="0"/>
        <v>0</v>
      </c>
    </row>
    <row r="58" spans="1:7" x14ac:dyDescent="0.35">
      <c r="A58" t="str">
        <v>DabZ</v>
      </c>
      <c r="B58">
        <f>COUNTIF(Inventory_Table[Supplier_Name],A58)</f>
        <v>2</v>
      </c>
      <c r="C58">
        <f>COUNTIFS(Inventory_Table[Supplier_Name],A58,Inventory_Table[Status],"Active")</f>
        <v>1</v>
      </c>
      <c r="D58">
        <f>COUNTIFS(Inventory_Table[Supplier_Name],A58,Inventory_Table[Status],"Backordered")</f>
        <v>0</v>
      </c>
      <c r="E58">
        <f>COUNTIFS(Inventory_Table[Supplier_Name],A58,Inventory_Table[Status],"Discontinued")</f>
        <v>1</v>
      </c>
      <c r="F58">
        <f>SUMIF(Inventory_Table[Supplier_Name],A58,Inventory_Table[Stock_Value])</f>
        <v>467.5</v>
      </c>
      <c r="G58" s="21">
        <f t="shared" si="0"/>
        <v>0.5</v>
      </c>
    </row>
    <row r="59" spans="1:7" x14ac:dyDescent="0.35">
      <c r="A59" t="str">
        <v>Dazzlesphere</v>
      </c>
      <c r="B59">
        <f>COUNTIF(Inventory_Table[Supplier_Name],A59)</f>
        <v>4</v>
      </c>
      <c r="C59">
        <f>COUNTIFS(Inventory_Table[Supplier_Name],A59,Inventory_Table[Status],"Active")</f>
        <v>1</v>
      </c>
      <c r="D59">
        <f>COUNTIFS(Inventory_Table[Supplier_Name],A59,Inventory_Table[Status],"Backordered")</f>
        <v>2</v>
      </c>
      <c r="E59">
        <f>COUNTIFS(Inventory_Table[Supplier_Name],A59,Inventory_Table[Status],"Discontinued")</f>
        <v>1</v>
      </c>
      <c r="F59">
        <f>SUMIF(Inventory_Table[Supplier_Name],A59,Inventory_Table[Stock_Value])</f>
        <v>744</v>
      </c>
      <c r="G59" s="21">
        <f t="shared" si="0"/>
        <v>0.25</v>
      </c>
    </row>
    <row r="60" spans="1:7" x14ac:dyDescent="0.35">
      <c r="A60" t="str">
        <v>Demimbu</v>
      </c>
      <c r="B60">
        <f>COUNTIF(Inventory_Table[Supplier_Name],A60)</f>
        <v>3</v>
      </c>
      <c r="C60">
        <f>COUNTIFS(Inventory_Table[Supplier_Name],A60,Inventory_Table[Status],"Active")</f>
        <v>0</v>
      </c>
      <c r="D60">
        <f>COUNTIFS(Inventory_Table[Supplier_Name],A60,Inventory_Table[Status],"Backordered")</f>
        <v>2</v>
      </c>
      <c r="E60">
        <f>COUNTIFS(Inventory_Table[Supplier_Name],A60,Inventory_Table[Status],"Discontinued")</f>
        <v>1</v>
      </c>
      <c r="F60">
        <f>SUMIF(Inventory_Table[Supplier_Name],A60,Inventory_Table[Stock_Value])</f>
        <v>608.20000000000005</v>
      </c>
      <c r="G60" s="21">
        <f t="shared" si="0"/>
        <v>0</v>
      </c>
    </row>
    <row r="61" spans="1:7" x14ac:dyDescent="0.35">
      <c r="A61" t="str">
        <v>Demivee</v>
      </c>
      <c r="B61">
        <f>COUNTIF(Inventory_Table[Supplier_Name],A61)</f>
        <v>5</v>
      </c>
      <c r="C61">
        <f>COUNTIFS(Inventory_Table[Supplier_Name],A61,Inventory_Table[Status],"Active")</f>
        <v>3</v>
      </c>
      <c r="D61">
        <f>COUNTIFS(Inventory_Table[Supplier_Name],A61,Inventory_Table[Status],"Backordered")</f>
        <v>1</v>
      </c>
      <c r="E61">
        <f>COUNTIFS(Inventory_Table[Supplier_Name],A61,Inventory_Table[Status],"Discontinued")</f>
        <v>1</v>
      </c>
      <c r="F61">
        <f>SUMIF(Inventory_Table[Supplier_Name],A61,Inventory_Table[Stock_Value])</f>
        <v>1868.5</v>
      </c>
      <c r="G61" s="21">
        <f t="shared" si="0"/>
        <v>0.6</v>
      </c>
    </row>
    <row r="62" spans="1:7" x14ac:dyDescent="0.35">
      <c r="A62" t="str">
        <v>Demizz</v>
      </c>
      <c r="B62">
        <f>COUNTIF(Inventory_Table[Supplier_Name],A62)</f>
        <v>2</v>
      </c>
      <c r="C62">
        <f>COUNTIFS(Inventory_Table[Supplier_Name],A62,Inventory_Table[Status],"Active")</f>
        <v>1</v>
      </c>
      <c r="D62">
        <f>COUNTIFS(Inventory_Table[Supplier_Name],A62,Inventory_Table[Status],"Backordered")</f>
        <v>1</v>
      </c>
      <c r="E62">
        <f>COUNTIFS(Inventory_Table[Supplier_Name],A62,Inventory_Table[Status],"Discontinued")</f>
        <v>0</v>
      </c>
      <c r="F62">
        <f>SUMIF(Inventory_Table[Supplier_Name],A62,Inventory_Table[Stock_Value])</f>
        <v>829.5</v>
      </c>
      <c r="G62" s="21">
        <f t="shared" si="0"/>
        <v>0.5</v>
      </c>
    </row>
    <row r="63" spans="1:7" x14ac:dyDescent="0.35">
      <c r="A63" t="str">
        <v>Devbug</v>
      </c>
      <c r="B63">
        <f>COUNTIF(Inventory_Table[Supplier_Name],A63)</f>
        <v>4</v>
      </c>
      <c r="C63">
        <f>COUNTIFS(Inventory_Table[Supplier_Name],A63,Inventory_Table[Status],"Active")</f>
        <v>0</v>
      </c>
      <c r="D63">
        <f>COUNTIFS(Inventory_Table[Supplier_Name],A63,Inventory_Table[Status],"Backordered")</f>
        <v>2</v>
      </c>
      <c r="E63">
        <f>COUNTIFS(Inventory_Table[Supplier_Name],A63,Inventory_Table[Status],"Discontinued")</f>
        <v>2</v>
      </c>
      <c r="F63">
        <f>SUMIF(Inventory_Table[Supplier_Name],A63,Inventory_Table[Stock_Value])</f>
        <v>829</v>
      </c>
      <c r="G63" s="21">
        <f t="shared" si="0"/>
        <v>0</v>
      </c>
    </row>
    <row r="64" spans="1:7" x14ac:dyDescent="0.35">
      <c r="A64" t="str">
        <v>Devcast</v>
      </c>
      <c r="B64">
        <f>COUNTIF(Inventory_Table[Supplier_Name],A64)</f>
        <v>4</v>
      </c>
      <c r="C64">
        <f>COUNTIFS(Inventory_Table[Supplier_Name],A64,Inventory_Table[Status],"Active")</f>
        <v>2</v>
      </c>
      <c r="D64">
        <f>COUNTIFS(Inventory_Table[Supplier_Name],A64,Inventory_Table[Status],"Backordered")</f>
        <v>2</v>
      </c>
      <c r="E64">
        <f>COUNTIFS(Inventory_Table[Supplier_Name],A64,Inventory_Table[Status],"Discontinued")</f>
        <v>0</v>
      </c>
      <c r="F64">
        <f>SUMIF(Inventory_Table[Supplier_Name],A64,Inventory_Table[Stock_Value])</f>
        <v>1178.5999999999999</v>
      </c>
      <c r="G64" s="21">
        <f t="shared" si="0"/>
        <v>0.5</v>
      </c>
    </row>
    <row r="65" spans="1:7" x14ac:dyDescent="0.35">
      <c r="A65" t="str">
        <v>Devpoint</v>
      </c>
      <c r="B65">
        <f>COUNTIF(Inventory_Table[Supplier_Name],A65)</f>
        <v>4</v>
      </c>
      <c r="C65">
        <f>COUNTIFS(Inventory_Table[Supplier_Name],A65,Inventory_Table[Status],"Active")</f>
        <v>1</v>
      </c>
      <c r="D65">
        <f>COUNTIFS(Inventory_Table[Supplier_Name],A65,Inventory_Table[Status],"Backordered")</f>
        <v>2</v>
      </c>
      <c r="E65">
        <f>COUNTIFS(Inventory_Table[Supplier_Name],A65,Inventory_Table[Status],"Discontinued")</f>
        <v>1</v>
      </c>
      <c r="F65">
        <f>SUMIF(Inventory_Table[Supplier_Name],A65,Inventory_Table[Stock_Value])</f>
        <v>478.2</v>
      </c>
      <c r="G65" s="21">
        <f t="shared" si="0"/>
        <v>0.25</v>
      </c>
    </row>
    <row r="66" spans="1:7" x14ac:dyDescent="0.35">
      <c r="A66" t="str">
        <v>Devpulse</v>
      </c>
      <c r="B66">
        <f>COUNTIF(Inventory_Table[Supplier_Name],A66)</f>
        <v>6</v>
      </c>
      <c r="C66">
        <f>COUNTIFS(Inventory_Table[Supplier_Name],A66,Inventory_Table[Status],"Active")</f>
        <v>1</v>
      </c>
      <c r="D66">
        <f>COUNTIFS(Inventory_Table[Supplier_Name],A66,Inventory_Table[Status],"Backordered")</f>
        <v>2</v>
      </c>
      <c r="E66">
        <f>COUNTIFS(Inventory_Table[Supplier_Name],A66,Inventory_Table[Status],"Discontinued")</f>
        <v>3</v>
      </c>
      <c r="F66">
        <f>SUMIF(Inventory_Table[Supplier_Name],A66,Inventory_Table[Stock_Value])</f>
        <v>945.6</v>
      </c>
      <c r="G66" s="21">
        <f t="shared" si="0"/>
        <v>0.16666666666666663</v>
      </c>
    </row>
    <row r="67" spans="1:7" x14ac:dyDescent="0.35">
      <c r="A67" t="str">
        <v>Devshare</v>
      </c>
      <c r="B67">
        <f>COUNTIF(Inventory_Table[Supplier_Name],A67)</f>
        <v>6</v>
      </c>
      <c r="C67">
        <f>COUNTIFS(Inventory_Table[Supplier_Name],A67,Inventory_Table[Status],"Active")</f>
        <v>1</v>
      </c>
      <c r="D67">
        <f>COUNTIFS(Inventory_Table[Supplier_Name],A67,Inventory_Table[Status],"Backordered")</f>
        <v>1</v>
      </c>
      <c r="E67">
        <f>COUNTIFS(Inventory_Table[Supplier_Name],A67,Inventory_Table[Status],"Discontinued")</f>
        <v>4</v>
      </c>
      <c r="F67">
        <f>SUMIF(Inventory_Table[Supplier_Name],A67,Inventory_Table[Stock_Value])</f>
        <v>1627</v>
      </c>
      <c r="G67" s="21">
        <f t="shared" ref="G67:G130" si="1">1-(D67+E67)/B67</f>
        <v>0.16666666666666663</v>
      </c>
    </row>
    <row r="68" spans="1:7" x14ac:dyDescent="0.35">
      <c r="A68" t="str">
        <v>Digitube</v>
      </c>
      <c r="B68">
        <f>COUNTIF(Inventory_Table[Supplier_Name],A68)</f>
        <v>3</v>
      </c>
      <c r="C68">
        <f>COUNTIFS(Inventory_Table[Supplier_Name],A68,Inventory_Table[Status],"Active")</f>
        <v>1</v>
      </c>
      <c r="D68">
        <f>COUNTIFS(Inventory_Table[Supplier_Name],A68,Inventory_Table[Status],"Backordered")</f>
        <v>2</v>
      </c>
      <c r="E68">
        <f>COUNTIFS(Inventory_Table[Supplier_Name],A68,Inventory_Table[Status],"Discontinued")</f>
        <v>0</v>
      </c>
      <c r="F68">
        <f>SUMIF(Inventory_Table[Supplier_Name],A68,Inventory_Table[Stock_Value])</f>
        <v>1341</v>
      </c>
      <c r="G68" s="21">
        <f t="shared" si="1"/>
        <v>0.33333333333333337</v>
      </c>
    </row>
    <row r="69" spans="1:7" x14ac:dyDescent="0.35">
      <c r="A69" t="str">
        <v>Divanoodle</v>
      </c>
      <c r="B69">
        <f>COUNTIF(Inventory_Table[Supplier_Name],A69)</f>
        <v>1</v>
      </c>
      <c r="C69">
        <f>COUNTIFS(Inventory_Table[Supplier_Name],A69,Inventory_Table[Status],"Active")</f>
        <v>0</v>
      </c>
      <c r="D69">
        <f>COUNTIFS(Inventory_Table[Supplier_Name],A69,Inventory_Table[Status],"Backordered")</f>
        <v>1</v>
      </c>
      <c r="E69">
        <f>COUNTIFS(Inventory_Table[Supplier_Name],A69,Inventory_Table[Status],"Discontinued")</f>
        <v>0</v>
      </c>
      <c r="F69">
        <f>SUMIF(Inventory_Table[Supplier_Name],A69,Inventory_Table[Stock_Value])</f>
        <v>552.5</v>
      </c>
      <c r="G69" s="21">
        <f t="shared" si="1"/>
        <v>0</v>
      </c>
    </row>
    <row r="70" spans="1:7" x14ac:dyDescent="0.35">
      <c r="A70" t="str">
        <v>Divape</v>
      </c>
      <c r="B70">
        <f>COUNTIF(Inventory_Table[Supplier_Name],A70)</f>
        <v>1</v>
      </c>
      <c r="C70">
        <f>COUNTIFS(Inventory_Table[Supplier_Name],A70,Inventory_Table[Status],"Active")</f>
        <v>0</v>
      </c>
      <c r="D70">
        <f>COUNTIFS(Inventory_Table[Supplier_Name],A70,Inventory_Table[Status],"Backordered")</f>
        <v>1</v>
      </c>
      <c r="E70">
        <f>COUNTIFS(Inventory_Table[Supplier_Name],A70,Inventory_Table[Status],"Discontinued")</f>
        <v>0</v>
      </c>
      <c r="F70">
        <f>SUMIF(Inventory_Table[Supplier_Name],A70,Inventory_Table[Stock_Value])</f>
        <v>445</v>
      </c>
      <c r="G70" s="21">
        <f t="shared" si="1"/>
        <v>0</v>
      </c>
    </row>
    <row r="71" spans="1:7" x14ac:dyDescent="0.35">
      <c r="A71" t="str">
        <v>Dynabox</v>
      </c>
      <c r="B71">
        <f>COUNTIF(Inventory_Table[Supplier_Name],A71)</f>
        <v>4</v>
      </c>
      <c r="C71">
        <f>COUNTIFS(Inventory_Table[Supplier_Name],A71,Inventory_Table[Status],"Active")</f>
        <v>3</v>
      </c>
      <c r="D71">
        <f>COUNTIFS(Inventory_Table[Supplier_Name],A71,Inventory_Table[Status],"Backordered")</f>
        <v>0</v>
      </c>
      <c r="E71">
        <f>COUNTIFS(Inventory_Table[Supplier_Name],A71,Inventory_Table[Status],"Discontinued")</f>
        <v>1</v>
      </c>
      <c r="F71">
        <f>SUMIF(Inventory_Table[Supplier_Name],A71,Inventory_Table[Stock_Value])</f>
        <v>857.7</v>
      </c>
      <c r="G71" s="21">
        <f t="shared" si="1"/>
        <v>0.75</v>
      </c>
    </row>
    <row r="72" spans="1:7" x14ac:dyDescent="0.35">
      <c r="A72" t="str">
        <v>Dynava</v>
      </c>
      <c r="B72">
        <f>COUNTIF(Inventory_Table[Supplier_Name],A72)</f>
        <v>2</v>
      </c>
      <c r="C72">
        <f>COUNTIFS(Inventory_Table[Supplier_Name],A72,Inventory_Table[Status],"Active")</f>
        <v>0</v>
      </c>
      <c r="D72">
        <f>COUNTIFS(Inventory_Table[Supplier_Name],A72,Inventory_Table[Status],"Backordered")</f>
        <v>1</v>
      </c>
      <c r="E72">
        <f>COUNTIFS(Inventory_Table[Supplier_Name],A72,Inventory_Table[Status],"Discontinued")</f>
        <v>1</v>
      </c>
      <c r="F72">
        <f>SUMIF(Inventory_Table[Supplier_Name],A72,Inventory_Table[Stock_Value])</f>
        <v>942.5</v>
      </c>
      <c r="G72" s="21">
        <f t="shared" si="1"/>
        <v>0</v>
      </c>
    </row>
    <row r="73" spans="1:7" x14ac:dyDescent="0.35">
      <c r="A73" t="str">
        <v>Dynazzy</v>
      </c>
      <c r="B73">
        <f>COUNTIF(Inventory_Table[Supplier_Name],A73)</f>
        <v>2</v>
      </c>
      <c r="C73">
        <f>COUNTIFS(Inventory_Table[Supplier_Name],A73,Inventory_Table[Status],"Active")</f>
        <v>0</v>
      </c>
      <c r="D73">
        <f>COUNTIFS(Inventory_Table[Supplier_Name],A73,Inventory_Table[Status],"Backordered")</f>
        <v>0</v>
      </c>
      <c r="E73">
        <f>COUNTIFS(Inventory_Table[Supplier_Name],A73,Inventory_Table[Status],"Discontinued")</f>
        <v>2</v>
      </c>
      <c r="F73">
        <f>SUMIF(Inventory_Table[Supplier_Name],A73,Inventory_Table[Stock_Value])</f>
        <v>651</v>
      </c>
      <c r="G73" s="21">
        <f t="shared" si="1"/>
        <v>0</v>
      </c>
    </row>
    <row r="74" spans="1:7" x14ac:dyDescent="0.35">
      <c r="A74" t="str">
        <v>Eabox</v>
      </c>
      <c r="B74">
        <f>COUNTIF(Inventory_Table[Supplier_Name],A74)</f>
        <v>2</v>
      </c>
      <c r="C74">
        <f>COUNTIFS(Inventory_Table[Supplier_Name],A74,Inventory_Table[Status],"Active")</f>
        <v>0</v>
      </c>
      <c r="D74">
        <f>COUNTIFS(Inventory_Table[Supplier_Name],A74,Inventory_Table[Status],"Backordered")</f>
        <v>1</v>
      </c>
      <c r="E74">
        <f>COUNTIFS(Inventory_Table[Supplier_Name],A74,Inventory_Table[Status],"Discontinued")</f>
        <v>1</v>
      </c>
      <c r="F74">
        <f>SUMIF(Inventory_Table[Supplier_Name],A74,Inventory_Table[Stock_Value])</f>
        <v>245.25</v>
      </c>
      <c r="G74" s="21">
        <f t="shared" si="1"/>
        <v>0</v>
      </c>
    </row>
    <row r="75" spans="1:7" x14ac:dyDescent="0.35">
      <c r="A75" t="str">
        <v>Eadel</v>
      </c>
      <c r="B75">
        <f>COUNTIF(Inventory_Table[Supplier_Name],A75)</f>
        <v>2</v>
      </c>
      <c r="C75">
        <f>COUNTIFS(Inventory_Table[Supplier_Name],A75,Inventory_Table[Status],"Active")</f>
        <v>0</v>
      </c>
      <c r="D75">
        <f>COUNTIFS(Inventory_Table[Supplier_Name],A75,Inventory_Table[Status],"Backordered")</f>
        <v>0</v>
      </c>
      <c r="E75">
        <f>COUNTIFS(Inventory_Table[Supplier_Name],A75,Inventory_Table[Status],"Discontinued")</f>
        <v>2</v>
      </c>
      <c r="F75">
        <f>SUMIF(Inventory_Table[Supplier_Name],A75,Inventory_Table[Stock_Value])</f>
        <v>520</v>
      </c>
      <c r="G75" s="21">
        <f t="shared" si="1"/>
        <v>0</v>
      </c>
    </row>
    <row r="76" spans="1:7" x14ac:dyDescent="0.35">
      <c r="A76" t="str">
        <v>Eamia</v>
      </c>
      <c r="B76">
        <f>COUNTIF(Inventory_Table[Supplier_Name],A76)</f>
        <v>1</v>
      </c>
      <c r="C76">
        <f>COUNTIFS(Inventory_Table[Supplier_Name],A76,Inventory_Table[Status],"Active")</f>
        <v>0</v>
      </c>
      <c r="D76">
        <f>COUNTIFS(Inventory_Table[Supplier_Name],A76,Inventory_Table[Status],"Backordered")</f>
        <v>0</v>
      </c>
      <c r="E76">
        <f>COUNTIFS(Inventory_Table[Supplier_Name],A76,Inventory_Table[Status],"Discontinued")</f>
        <v>1</v>
      </c>
      <c r="F76">
        <f>SUMIF(Inventory_Table[Supplier_Name],A76,Inventory_Table[Stock_Value])</f>
        <v>80</v>
      </c>
      <c r="G76" s="21">
        <f t="shared" si="1"/>
        <v>0</v>
      </c>
    </row>
    <row r="77" spans="1:7" x14ac:dyDescent="0.35">
      <c r="A77" t="str">
        <v>Eare</v>
      </c>
      <c r="B77">
        <f>COUNTIF(Inventory_Table[Supplier_Name],A77)</f>
        <v>2</v>
      </c>
      <c r="C77">
        <f>COUNTIFS(Inventory_Table[Supplier_Name],A77,Inventory_Table[Status],"Active")</f>
        <v>0</v>
      </c>
      <c r="D77">
        <f>COUNTIFS(Inventory_Table[Supplier_Name],A77,Inventory_Table[Status],"Backordered")</f>
        <v>2</v>
      </c>
      <c r="E77">
        <f>COUNTIFS(Inventory_Table[Supplier_Name],A77,Inventory_Table[Status],"Discontinued")</f>
        <v>0</v>
      </c>
      <c r="F77">
        <f>SUMIF(Inventory_Table[Supplier_Name],A77,Inventory_Table[Stock_Value])</f>
        <v>768</v>
      </c>
      <c r="G77" s="21">
        <f t="shared" si="1"/>
        <v>0</v>
      </c>
    </row>
    <row r="78" spans="1:7" x14ac:dyDescent="0.35">
      <c r="A78" t="str">
        <v>Eayo</v>
      </c>
      <c r="B78">
        <f>COUNTIF(Inventory_Table[Supplier_Name],A78)</f>
        <v>2</v>
      </c>
      <c r="C78">
        <f>COUNTIFS(Inventory_Table[Supplier_Name],A78,Inventory_Table[Status],"Active")</f>
        <v>0</v>
      </c>
      <c r="D78">
        <f>COUNTIFS(Inventory_Table[Supplier_Name],A78,Inventory_Table[Status],"Backordered")</f>
        <v>0</v>
      </c>
      <c r="E78">
        <f>COUNTIFS(Inventory_Table[Supplier_Name],A78,Inventory_Table[Status],"Discontinued")</f>
        <v>2</v>
      </c>
      <c r="F78">
        <f>SUMIF(Inventory_Table[Supplier_Name],A78,Inventory_Table[Stock_Value])</f>
        <v>246</v>
      </c>
      <c r="G78" s="21">
        <f t="shared" si="1"/>
        <v>0</v>
      </c>
    </row>
    <row r="79" spans="1:7" x14ac:dyDescent="0.35">
      <c r="A79" t="str">
        <v>Eazzy</v>
      </c>
      <c r="B79">
        <f>COUNTIF(Inventory_Table[Supplier_Name],A79)</f>
        <v>1</v>
      </c>
      <c r="C79">
        <f>COUNTIFS(Inventory_Table[Supplier_Name],A79,Inventory_Table[Status],"Active")</f>
        <v>0</v>
      </c>
      <c r="D79">
        <f>COUNTIFS(Inventory_Table[Supplier_Name],A79,Inventory_Table[Status],"Backordered")</f>
        <v>1</v>
      </c>
      <c r="E79">
        <f>COUNTIFS(Inventory_Table[Supplier_Name],A79,Inventory_Table[Status],"Discontinued")</f>
        <v>0</v>
      </c>
      <c r="F79">
        <f>SUMIF(Inventory_Table[Supplier_Name],A79,Inventory_Table[Stock_Value])</f>
        <v>425</v>
      </c>
      <c r="G79" s="21">
        <f t="shared" si="1"/>
        <v>0</v>
      </c>
    </row>
    <row r="80" spans="1:7" x14ac:dyDescent="0.35">
      <c r="A80" t="str">
        <v>Edgeclub</v>
      </c>
      <c r="B80">
        <f>COUNTIF(Inventory_Table[Supplier_Name],A80)</f>
        <v>1</v>
      </c>
      <c r="C80">
        <f>COUNTIFS(Inventory_Table[Supplier_Name],A80,Inventory_Table[Status],"Active")</f>
        <v>1</v>
      </c>
      <c r="D80">
        <f>COUNTIFS(Inventory_Table[Supplier_Name],A80,Inventory_Table[Status],"Backordered")</f>
        <v>0</v>
      </c>
      <c r="E80">
        <f>COUNTIFS(Inventory_Table[Supplier_Name],A80,Inventory_Table[Status],"Discontinued")</f>
        <v>0</v>
      </c>
      <c r="F80">
        <f>SUMIF(Inventory_Table[Supplier_Name],A80,Inventory_Table[Stock_Value])</f>
        <v>144</v>
      </c>
      <c r="G80" s="21">
        <f t="shared" si="1"/>
        <v>1</v>
      </c>
    </row>
    <row r="81" spans="1:7" x14ac:dyDescent="0.35">
      <c r="A81" t="str">
        <v>Edgeify</v>
      </c>
      <c r="B81">
        <f>COUNTIF(Inventory_Table[Supplier_Name],A81)</f>
        <v>1</v>
      </c>
      <c r="C81">
        <f>COUNTIFS(Inventory_Table[Supplier_Name],A81,Inventory_Table[Status],"Active")</f>
        <v>0</v>
      </c>
      <c r="D81">
        <f>COUNTIFS(Inventory_Table[Supplier_Name],A81,Inventory_Table[Status],"Backordered")</f>
        <v>1</v>
      </c>
      <c r="E81">
        <f>COUNTIFS(Inventory_Table[Supplier_Name],A81,Inventory_Table[Status],"Discontinued")</f>
        <v>0</v>
      </c>
      <c r="F81">
        <f>SUMIF(Inventory_Table[Supplier_Name],A81,Inventory_Table[Stock_Value])</f>
        <v>228</v>
      </c>
      <c r="G81" s="21">
        <f t="shared" si="1"/>
        <v>0</v>
      </c>
    </row>
    <row r="82" spans="1:7" x14ac:dyDescent="0.35">
      <c r="A82" t="str">
        <v>Edgepulse</v>
      </c>
      <c r="B82">
        <f>COUNTIF(Inventory_Table[Supplier_Name],A82)</f>
        <v>1</v>
      </c>
      <c r="C82">
        <f>COUNTIFS(Inventory_Table[Supplier_Name],A82,Inventory_Table[Status],"Active")</f>
        <v>0</v>
      </c>
      <c r="D82">
        <f>COUNTIFS(Inventory_Table[Supplier_Name],A82,Inventory_Table[Status],"Backordered")</f>
        <v>1</v>
      </c>
      <c r="E82">
        <f>COUNTIFS(Inventory_Table[Supplier_Name],A82,Inventory_Table[Status],"Discontinued")</f>
        <v>0</v>
      </c>
      <c r="F82">
        <f>SUMIF(Inventory_Table[Supplier_Name],A82,Inventory_Table[Stock_Value])</f>
        <v>297</v>
      </c>
      <c r="G82" s="21">
        <f t="shared" si="1"/>
        <v>0</v>
      </c>
    </row>
    <row r="83" spans="1:7" x14ac:dyDescent="0.35">
      <c r="A83" t="str">
        <v>Edgetag</v>
      </c>
      <c r="B83">
        <f>COUNTIF(Inventory_Table[Supplier_Name],A83)</f>
        <v>1</v>
      </c>
      <c r="C83">
        <f>COUNTIFS(Inventory_Table[Supplier_Name],A83,Inventory_Table[Status],"Active")</f>
        <v>1</v>
      </c>
      <c r="D83">
        <f>COUNTIFS(Inventory_Table[Supplier_Name],A83,Inventory_Table[Status],"Backordered")</f>
        <v>0</v>
      </c>
      <c r="E83">
        <f>COUNTIFS(Inventory_Table[Supplier_Name],A83,Inventory_Table[Status],"Discontinued")</f>
        <v>0</v>
      </c>
      <c r="F83">
        <f>SUMIF(Inventory_Table[Supplier_Name],A83,Inventory_Table[Stock_Value])</f>
        <v>545.61</v>
      </c>
      <c r="G83" s="21">
        <f t="shared" si="1"/>
        <v>1</v>
      </c>
    </row>
    <row r="84" spans="1:7" x14ac:dyDescent="0.35">
      <c r="A84" t="str">
        <v>Edgewire</v>
      </c>
      <c r="B84">
        <f>COUNTIF(Inventory_Table[Supplier_Name],A84)</f>
        <v>3</v>
      </c>
      <c r="C84">
        <f>COUNTIFS(Inventory_Table[Supplier_Name],A84,Inventory_Table[Status],"Active")</f>
        <v>1</v>
      </c>
      <c r="D84">
        <f>COUNTIFS(Inventory_Table[Supplier_Name],A84,Inventory_Table[Status],"Backordered")</f>
        <v>1</v>
      </c>
      <c r="E84">
        <f>COUNTIFS(Inventory_Table[Supplier_Name],A84,Inventory_Table[Status],"Discontinued")</f>
        <v>1</v>
      </c>
      <c r="F84">
        <f>SUMIF(Inventory_Table[Supplier_Name],A84,Inventory_Table[Stock_Value])</f>
        <v>670.2</v>
      </c>
      <c r="G84" s="21">
        <f t="shared" si="1"/>
        <v>0.33333333333333337</v>
      </c>
    </row>
    <row r="85" spans="1:7" x14ac:dyDescent="0.35">
      <c r="A85" t="str">
        <v>Eidel</v>
      </c>
      <c r="B85">
        <f>COUNTIF(Inventory_Table[Supplier_Name],A85)</f>
        <v>5</v>
      </c>
      <c r="C85">
        <f>COUNTIFS(Inventory_Table[Supplier_Name],A85,Inventory_Table[Status],"Active")</f>
        <v>2</v>
      </c>
      <c r="D85">
        <f>COUNTIFS(Inventory_Table[Supplier_Name],A85,Inventory_Table[Status],"Backordered")</f>
        <v>2</v>
      </c>
      <c r="E85">
        <f>COUNTIFS(Inventory_Table[Supplier_Name],A85,Inventory_Table[Status],"Discontinued")</f>
        <v>1</v>
      </c>
      <c r="F85">
        <f>SUMIF(Inventory_Table[Supplier_Name],A85,Inventory_Table[Stock_Value])</f>
        <v>898</v>
      </c>
      <c r="G85" s="21">
        <f t="shared" si="1"/>
        <v>0.4</v>
      </c>
    </row>
    <row r="86" spans="1:7" x14ac:dyDescent="0.35">
      <c r="A86" t="str">
        <v>Eimbee</v>
      </c>
      <c r="B86">
        <f>COUNTIF(Inventory_Table[Supplier_Name],A86)</f>
        <v>7</v>
      </c>
      <c r="C86">
        <f>COUNTIFS(Inventory_Table[Supplier_Name],A86,Inventory_Table[Status],"Active")</f>
        <v>0</v>
      </c>
      <c r="D86">
        <f>COUNTIFS(Inventory_Table[Supplier_Name],A86,Inventory_Table[Status],"Backordered")</f>
        <v>3</v>
      </c>
      <c r="E86">
        <f>COUNTIFS(Inventory_Table[Supplier_Name],A86,Inventory_Table[Status],"Discontinued")</f>
        <v>4</v>
      </c>
      <c r="F86">
        <f>SUMIF(Inventory_Table[Supplier_Name],A86,Inventory_Table[Stock_Value])</f>
        <v>1837</v>
      </c>
      <c r="G86" s="21">
        <f t="shared" si="1"/>
        <v>0</v>
      </c>
    </row>
    <row r="87" spans="1:7" x14ac:dyDescent="0.35">
      <c r="A87" t="str">
        <v>Einti</v>
      </c>
      <c r="B87">
        <f>COUNTIF(Inventory_Table[Supplier_Name],A87)</f>
        <v>3</v>
      </c>
      <c r="C87">
        <f>COUNTIFS(Inventory_Table[Supplier_Name],A87,Inventory_Table[Status],"Active")</f>
        <v>0</v>
      </c>
      <c r="D87">
        <f>COUNTIFS(Inventory_Table[Supplier_Name],A87,Inventory_Table[Status],"Backordered")</f>
        <v>2</v>
      </c>
      <c r="E87">
        <f>COUNTIFS(Inventory_Table[Supplier_Name],A87,Inventory_Table[Status],"Discontinued")</f>
        <v>1</v>
      </c>
      <c r="F87">
        <f>SUMIF(Inventory_Table[Supplier_Name],A87,Inventory_Table[Stock_Value])</f>
        <v>417.2</v>
      </c>
      <c r="G87" s="21">
        <f t="shared" si="1"/>
        <v>0</v>
      </c>
    </row>
    <row r="88" spans="1:7" x14ac:dyDescent="0.35">
      <c r="A88" t="str">
        <v>Eire</v>
      </c>
      <c r="B88">
        <f>COUNTIF(Inventory_Table[Supplier_Name],A88)</f>
        <v>3</v>
      </c>
      <c r="C88">
        <f>COUNTIFS(Inventory_Table[Supplier_Name],A88,Inventory_Table[Status],"Active")</f>
        <v>2</v>
      </c>
      <c r="D88">
        <f>COUNTIFS(Inventory_Table[Supplier_Name],A88,Inventory_Table[Status],"Backordered")</f>
        <v>1</v>
      </c>
      <c r="E88">
        <f>COUNTIFS(Inventory_Table[Supplier_Name],A88,Inventory_Table[Status],"Discontinued")</f>
        <v>0</v>
      </c>
      <c r="F88">
        <f>SUMIF(Inventory_Table[Supplier_Name],A88,Inventory_Table[Stock_Value])</f>
        <v>271.8</v>
      </c>
      <c r="G88" s="21">
        <f t="shared" si="1"/>
        <v>0.66666666666666674</v>
      </c>
    </row>
    <row r="89" spans="1:7" x14ac:dyDescent="0.35">
      <c r="A89" t="str">
        <v>Fadeo</v>
      </c>
      <c r="B89">
        <f>COUNTIF(Inventory_Table[Supplier_Name],A89)</f>
        <v>1</v>
      </c>
      <c r="C89">
        <f>COUNTIFS(Inventory_Table[Supplier_Name],A89,Inventory_Table[Status],"Active")</f>
        <v>1</v>
      </c>
      <c r="D89">
        <f>COUNTIFS(Inventory_Table[Supplier_Name],A89,Inventory_Table[Status],"Backordered")</f>
        <v>0</v>
      </c>
      <c r="E89">
        <f>COUNTIFS(Inventory_Table[Supplier_Name],A89,Inventory_Table[Status],"Discontinued")</f>
        <v>0</v>
      </c>
      <c r="F89">
        <f>SUMIF(Inventory_Table[Supplier_Name],A89,Inventory_Table[Stock_Value])</f>
        <v>116</v>
      </c>
      <c r="G89" s="21">
        <f t="shared" si="1"/>
        <v>1</v>
      </c>
    </row>
    <row r="90" spans="1:7" x14ac:dyDescent="0.35">
      <c r="A90" t="str">
        <v>Fanoodle</v>
      </c>
      <c r="B90">
        <f>COUNTIF(Inventory_Table[Supplier_Name],A90)</f>
        <v>1</v>
      </c>
      <c r="C90">
        <f>COUNTIFS(Inventory_Table[Supplier_Name],A90,Inventory_Table[Status],"Active")</f>
        <v>1</v>
      </c>
      <c r="D90">
        <f>COUNTIFS(Inventory_Table[Supplier_Name],A90,Inventory_Table[Status],"Backordered")</f>
        <v>0</v>
      </c>
      <c r="E90">
        <f>COUNTIFS(Inventory_Table[Supplier_Name],A90,Inventory_Table[Status],"Discontinued")</f>
        <v>0</v>
      </c>
      <c r="F90">
        <f>SUMIF(Inventory_Table[Supplier_Name],A90,Inventory_Table[Stock_Value])</f>
        <v>1095</v>
      </c>
      <c r="G90" s="21">
        <f t="shared" si="1"/>
        <v>1</v>
      </c>
    </row>
    <row r="91" spans="1:7" x14ac:dyDescent="0.35">
      <c r="A91" t="str">
        <v>Fatz</v>
      </c>
      <c r="B91">
        <f>COUNTIF(Inventory_Table[Supplier_Name],A91)</f>
        <v>1</v>
      </c>
      <c r="C91">
        <f>COUNTIFS(Inventory_Table[Supplier_Name],A91,Inventory_Table[Status],"Active")</f>
        <v>0</v>
      </c>
      <c r="D91">
        <f>COUNTIFS(Inventory_Table[Supplier_Name],A91,Inventory_Table[Status],"Backordered")</f>
        <v>1</v>
      </c>
      <c r="E91">
        <f>COUNTIFS(Inventory_Table[Supplier_Name],A91,Inventory_Table[Status],"Discontinued")</f>
        <v>0</v>
      </c>
      <c r="F91">
        <f>SUMIF(Inventory_Table[Supplier_Name],A91,Inventory_Table[Stock_Value])</f>
        <v>405</v>
      </c>
      <c r="G91" s="21">
        <f t="shared" si="1"/>
        <v>0</v>
      </c>
    </row>
    <row r="92" spans="1:7" x14ac:dyDescent="0.35">
      <c r="A92" t="str">
        <v>Feedbug</v>
      </c>
      <c r="B92">
        <f>COUNTIF(Inventory_Table[Supplier_Name],A92)</f>
        <v>3</v>
      </c>
      <c r="C92">
        <f>COUNTIFS(Inventory_Table[Supplier_Name],A92,Inventory_Table[Status],"Active")</f>
        <v>1</v>
      </c>
      <c r="D92">
        <f>COUNTIFS(Inventory_Table[Supplier_Name],A92,Inventory_Table[Status],"Backordered")</f>
        <v>1</v>
      </c>
      <c r="E92">
        <f>COUNTIFS(Inventory_Table[Supplier_Name],A92,Inventory_Table[Status],"Discontinued")</f>
        <v>1</v>
      </c>
      <c r="F92">
        <f>SUMIF(Inventory_Table[Supplier_Name],A92,Inventory_Table[Stock_Value])</f>
        <v>1566.5</v>
      </c>
      <c r="G92" s="21">
        <f t="shared" si="1"/>
        <v>0.33333333333333337</v>
      </c>
    </row>
    <row r="93" spans="1:7" x14ac:dyDescent="0.35">
      <c r="A93" t="str">
        <v>Feedfire</v>
      </c>
      <c r="B93">
        <f>COUNTIF(Inventory_Table[Supplier_Name],A93)</f>
        <v>5</v>
      </c>
      <c r="C93">
        <f>COUNTIFS(Inventory_Table[Supplier_Name],A93,Inventory_Table[Status],"Active")</f>
        <v>4</v>
      </c>
      <c r="D93">
        <f>COUNTIFS(Inventory_Table[Supplier_Name],A93,Inventory_Table[Status],"Backordered")</f>
        <v>1</v>
      </c>
      <c r="E93">
        <f>COUNTIFS(Inventory_Table[Supplier_Name],A93,Inventory_Table[Status],"Discontinued")</f>
        <v>0</v>
      </c>
      <c r="F93">
        <f>SUMIF(Inventory_Table[Supplier_Name],A93,Inventory_Table[Stock_Value])</f>
        <v>3552.5</v>
      </c>
      <c r="G93" s="21">
        <f t="shared" si="1"/>
        <v>0.8</v>
      </c>
    </row>
    <row r="94" spans="1:7" x14ac:dyDescent="0.35">
      <c r="A94" t="str">
        <v>Feedfish</v>
      </c>
      <c r="B94">
        <f>COUNTIF(Inventory_Table[Supplier_Name],A94)</f>
        <v>3</v>
      </c>
      <c r="C94">
        <f>COUNTIFS(Inventory_Table[Supplier_Name],A94,Inventory_Table[Status],"Active")</f>
        <v>1</v>
      </c>
      <c r="D94">
        <f>COUNTIFS(Inventory_Table[Supplier_Name],A94,Inventory_Table[Status],"Backordered")</f>
        <v>1</v>
      </c>
      <c r="E94">
        <f>COUNTIFS(Inventory_Table[Supplier_Name],A94,Inventory_Table[Status],"Discontinued")</f>
        <v>1</v>
      </c>
      <c r="F94">
        <f>SUMIF(Inventory_Table[Supplier_Name],A94,Inventory_Table[Stock_Value])</f>
        <v>2133.5</v>
      </c>
      <c r="G94" s="21">
        <f t="shared" si="1"/>
        <v>0.33333333333333337</v>
      </c>
    </row>
    <row r="95" spans="1:7" x14ac:dyDescent="0.35">
      <c r="A95" t="str">
        <v>Feedmix</v>
      </c>
      <c r="B95">
        <f>COUNTIF(Inventory_Table[Supplier_Name],A95)</f>
        <v>5</v>
      </c>
      <c r="C95">
        <f>COUNTIFS(Inventory_Table[Supplier_Name],A95,Inventory_Table[Status],"Active")</f>
        <v>0</v>
      </c>
      <c r="D95">
        <f>COUNTIFS(Inventory_Table[Supplier_Name],A95,Inventory_Table[Status],"Backordered")</f>
        <v>2</v>
      </c>
      <c r="E95">
        <f>COUNTIFS(Inventory_Table[Supplier_Name],A95,Inventory_Table[Status],"Discontinued")</f>
        <v>3</v>
      </c>
      <c r="F95">
        <f>SUMIF(Inventory_Table[Supplier_Name],A95,Inventory_Table[Stock_Value])</f>
        <v>2501.4</v>
      </c>
      <c r="G95" s="21">
        <f t="shared" si="1"/>
        <v>0</v>
      </c>
    </row>
    <row r="96" spans="1:7" x14ac:dyDescent="0.35">
      <c r="A96" t="str">
        <v>Feednation</v>
      </c>
      <c r="B96">
        <f>COUNTIF(Inventory_Table[Supplier_Name],A96)</f>
        <v>1</v>
      </c>
      <c r="C96">
        <f>COUNTIFS(Inventory_Table[Supplier_Name],A96,Inventory_Table[Status],"Active")</f>
        <v>1</v>
      </c>
      <c r="D96">
        <f>COUNTIFS(Inventory_Table[Supplier_Name],A96,Inventory_Table[Status],"Backordered")</f>
        <v>0</v>
      </c>
      <c r="E96">
        <f>COUNTIFS(Inventory_Table[Supplier_Name],A96,Inventory_Table[Status],"Discontinued")</f>
        <v>0</v>
      </c>
      <c r="F96">
        <f>SUMIF(Inventory_Table[Supplier_Name],A96,Inventory_Table[Stock_Value])</f>
        <v>229.5</v>
      </c>
      <c r="G96" s="21">
        <f t="shared" si="1"/>
        <v>1</v>
      </c>
    </row>
    <row r="97" spans="1:7" x14ac:dyDescent="0.35">
      <c r="A97" t="str">
        <v>Feedspan</v>
      </c>
      <c r="B97">
        <f>COUNTIF(Inventory_Table[Supplier_Name],A97)</f>
        <v>2</v>
      </c>
      <c r="C97">
        <f>COUNTIFS(Inventory_Table[Supplier_Name],A97,Inventory_Table[Status],"Active")</f>
        <v>2</v>
      </c>
      <c r="D97">
        <f>COUNTIFS(Inventory_Table[Supplier_Name],A97,Inventory_Table[Status],"Backordered")</f>
        <v>0</v>
      </c>
      <c r="E97">
        <f>COUNTIFS(Inventory_Table[Supplier_Name],A97,Inventory_Table[Status],"Discontinued")</f>
        <v>0</v>
      </c>
      <c r="F97">
        <f>SUMIF(Inventory_Table[Supplier_Name],A97,Inventory_Table[Stock_Value])</f>
        <v>860</v>
      </c>
      <c r="G97" s="21">
        <f t="shared" si="1"/>
        <v>1</v>
      </c>
    </row>
    <row r="98" spans="1:7" x14ac:dyDescent="0.35">
      <c r="A98" t="str">
        <v>Fivebridge</v>
      </c>
      <c r="B98">
        <f>COUNTIF(Inventory_Table[Supplier_Name],A98)</f>
        <v>6</v>
      </c>
      <c r="C98">
        <f>COUNTIFS(Inventory_Table[Supplier_Name],A98,Inventory_Table[Status],"Active")</f>
        <v>1</v>
      </c>
      <c r="D98">
        <f>COUNTIFS(Inventory_Table[Supplier_Name],A98,Inventory_Table[Status],"Backordered")</f>
        <v>2</v>
      </c>
      <c r="E98">
        <f>COUNTIFS(Inventory_Table[Supplier_Name],A98,Inventory_Table[Status],"Discontinued")</f>
        <v>3</v>
      </c>
      <c r="F98">
        <f>SUMIF(Inventory_Table[Supplier_Name],A98,Inventory_Table[Stock_Value])</f>
        <v>701.9</v>
      </c>
      <c r="G98" s="21">
        <f t="shared" si="1"/>
        <v>0.16666666666666663</v>
      </c>
    </row>
    <row r="99" spans="1:7" x14ac:dyDescent="0.35">
      <c r="A99" t="str">
        <v>Fiveclub</v>
      </c>
      <c r="B99">
        <f>COUNTIF(Inventory_Table[Supplier_Name],A99)</f>
        <v>3</v>
      </c>
      <c r="C99">
        <f>COUNTIFS(Inventory_Table[Supplier_Name],A99,Inventory_Table[Status],"Active")</f>
        <v>1</v>
      </c>
      <c r="D99">
        <f>COUNTIFS(Inventory_Table[Supplier_Name],A99,Inventory_Table[Status],"Backordered")</f>
        <v>2</v>
      </c>
      <c r="E99">
        <f>COUNTIFS(Inventory_Table[Supplier_Name],A99,Inventory_Table[Status],"Discontinued")</f>
        <v>0</v>
      </c>
      <c r="F99">
        <f>SUMIF(Inventory_Table[Supplier_Name],A99,Inventory_Table[Stock_Value])</f>
        <v>1615</v>
      </c>
      <c r="G99" s="21">
        <f t="shared" si="1"/>
        <v>0.33333333333333337</v>
      </c>
    </row>
    <row r="100" spans="1:7" x14ac:dyDescent="0.35">
      <c r="A100" t="str">
        <v>Fivespan</v>
      </c>
      <c r="B100">
        <f>COUNTIF(Inventory_Table[Supplier_Name],A100)</f>
        <v>1</v>
      </c>
      <c r="C100">
        <f>COUNTIFS(Inventory_Table[Supplier_Name],A100,Inventory_Table[Status],"Active")</f>
        <v>1</v>
      </c>
      <c r="D100">
        <f>COUNTIFS(Inventory_Table[Supplier_Name],A100,Inventory_Table[Status],"Backordered")</f>
        <v>0</v>
      </c>
      <c r="E100">
        <f>COUNTIFS(Inventory_Table[Supplier_Name],A100,Inventory_Table[Status],"Discontinued")</f>
        <v>0</v>
      </c>
      <c r="F100">
        <f>SUMIF(Inventory_Table[Supplier_Name],A100,Inventory_Table[Stock_Value])</f>
        <v>207.9</v>
      </c>
      <c r="G100" s="21">
        <f t="shared" si="1"/>
        <v>1</v>
      </c>
    </row>
    <row r="101" spans="1:7" x14ac:dyDescent="0.35">
      <c r="A101" t="str">
        <v>Flashdog</v>
      </c>
      <c r="B101">
        <f>COUNTIF(Inventory_Table[Supplier_Name],A101)</f>
        <v>1</v>
      </c>
      <c r="C101">
        <f>COUNTIFS(Inventory_Table[Supplier_Name],A101,Inventory_Table[Status],"Active")</f>
        <v>0</v>
      </c>
      <c r="D101">
        <f>COUNTIFS(Inventory_Table[Supplier_Name],A101,Inventory_Table[Status],"Backordered")</f>
        <v>1</v>
      </c>
      <c r="E101">
        <f>COUNTIFS(Inventory_Table[Supplier_Name],A101,Inventory_Table[Status],"Discontinued")</f>
        <v>0</v>
      </c>
      <c r="F101">
        <f>SUMIF(Inventory_Table[Supplier_Name],A101,Inventory_Table[Stock_Value])</f>
        <v>272.59999999999997</v>
      </c>
      <c r="G101" s="21">
        <f t="shared" si="1"/>
        <v>0</v>
      </c>
    </row>
    <row r="102" spans="1:7" x14ac:dyDescent="0.35">
      <c r="A102" t="str">
        <v>Flashset</v>
      </c>
      <c r="B102">
        <f>COUNTIF(Inventory_Table[Supplier_Name],A102)</f>
        <v>2</v>
      </c>
      <c r="C102">
        <f>COUNTIFS(Inventory_Table[Supplier_Name],A102,Inventory_Table[Status],"Active")</f>
        <v>1</v>
      </c>
      <c r="D102">
        <f>COUNTIFS(Inventory_Table[Supplier_Name],A102,Inventory_Table[Status],"Backordered")</f>
        <v>1</v>
      </c>
      <c r="E102">
        <f>COUNTIFS(Inventory_Table[Supplier_Name],A102,Inventory_Table[Status],"Discontinued")</f>
        <v>0</v>
      </c>
      <c r="F102">
        <f>SUMIF(Inventory_Table[Supplier_Name],A102,Inventory_Table[Stock_Value])</f>
        <v>356.8</v>
      </c>
      <c r="G102" s="21">
        <f t="shared" si="1"/>
        <v>0.5</v>
      </c>
    </row>
    <row r="103" spans="1:7" x14ac:dyDescent="0.35">
      <c r="A103" t="str">
        <v>Flashspan</v>
      </c>
      <c r="B103">
        <f>COUNTIF(Inventory_Table[Supplier_Name],A103)</f>
        <v>4</v>
      </c>
      <c r="C103">
        <f>COUNTIFS(Inventory_Table[Supplier_Name],A103,Inventory_Table[Status],"Active")</f>
        <v>2</v>
      </c>
      <c r="D103">
        <f>COUNTIFS(Inventory_Table[Supplier_Name],A103,Inventory_Table[Status],"Backordered")</f>
        <v>0</v>
      </c>
      <c r="E103">
        <f>COUNTIFS(Inventory_Table[Supplier_Name],A103,Inventory_Table[Status],"Discontinued")</f>
        <v>2</v>
      </c>
      <c r="F103">
        <f>SUMIF(Inventory_Table[Supplier_Name],A103,Inventory_Table[Stock_Value])</f>
        <v>548</v>
      </c>
      <c r="G103" s="21">
        <f t="shared" si="1"/>
        <v>0.5</v>
      </c>
    </row>
    <row r="104" spans="1:7" x14ac:dyDescent="0.35">
      <c r="A104" t="str">
        <v>Flipbug</v>
      </c>
      <c r="B104">
        <f>COUNTIF(Inventory_Table[Supplier_Name],A104)</f>
        <v>5</v>
      </c>
      <c r="C104">
        <f>COUNTIFS(Inventory_Table[Supplier_Name],A104,Inventory_Table[Status],"Active")</f>
        <v>0</v>
      </c>
      <c r="D104">
        <f>COUNTIFS(Inventory_Table[Supplier_Name],A104,Inventory_Table[Status],"Backordered")</f>
        <v>1</v>
      </c>
      <c r="E104">
        <f>COUNTIFS(Inventory_Table[Supplier_Name],A104,Inventory_Table[Status],"Discontinued")</f>
        <v>4</v>
      </c>
      <c r="F104">
        <f>SUMIF(Inventory_Table[Supplier_Name],A104,Inventory_Table[Stock_Value])</f>
        <v>2279.1</v>
      </c>
      <c r="G104" s="21">
        <f t="shared" si="1"/>
        <v>0</v>
      </c>
    </row>
    <row r="105" spans="1:7" x14ac:dyDescent="0.35">
      <c r="A105" t="str">
        <v>Flipopia</v>
      </c>
      <c r="B105">
        <f>COUNTIF(Inventory_Table[Supplier_Name],A105)</f>
        <v>6</v>
      </c>
      <c r="C105">
        <f>COUNTIFS(Inventory_Table[Supplier_Name],A105,Inventory_Table[Status],"Active")</f>
        <v>3</v>
      </c>
      <c r="D105">
        <f>COUNTIFS(Inventory_Table[Supplier_Name],A105,Inventory_Table[Status],"Backordered")</f>
        <v>1</v>
      </c>
      <c r="E105">
        <f>COUNTIFS(Inventory_Table[Supplier_Name],A105,Inventory_Table[Status],"Discontinued")</f>
        <v>2</v>
      </c>
      <c r="F105">
        <f>SUMIF(Inventory_Table[Supplier_Name],A105,Inventory_Table[Stock_Value])</f>
        <v>1963.5</v>
      </c>
      <c r="G105" s="21">
        <f t="shared" si="1"/>
        <v>0.5</v>
      </c>
    </row>
    <row r="106" spans="1:7" x14ac:dyDescent="0.35">
      <c r="A106" t="str">
        <v>Fliptune</v>
      </c>
      <c r="B106">
        <f>COUNTIF(Inventory_Table[Supplier_Name],A106)</f>
        <v>2</v>
      </c>
      <c r="C106">
        <f>COUNTIFS(Inventory_Table[Supplier_Name],A106,Inventory_Table[Status],"Active")</f>
        <v>1</v>
      </c>
      <c r="D106">
        <f>COUNTIFS(Inventory_Table[Supplier_Name],A106,Inventory_Table[Status],"Backordered")</f>
        <v>0</v>
      </c>
      <c r="E106">
        <f>COUNTIFS(Inventory_Table[Supplier_Name],A106,Inventory_Table[Status],"Discontinued")</f>
        <v>1</v>
      </c>
      <c r="F106">
        <f>SUMIF(Inventory_Table[Supplier_Name],A106,Inventory_Table[Stock_Value])</f>
        <v>1026</v>
      </c>
      <c r="G106" s="21">
        <f t="shared" si="1"/>
        <v>0.5</v>
      </c>
    </row>
    <row r="107" spans="1:7" x14ac:dyDescent="0.35">
      <c r="A107" t="str">
        <v>Gabcube</v>
      </c>
      <c r="B107">
        <f>COUNTIF(Inventory_Table[Supplier_Name],A107)</f>
        <v>1</v>
      </c>
      <c r="C107">
        <f>COUNTIFS(Inventory_Table[Supplier_Name],A107,Inventory_Table[Status],"Active")</f>
        <v>1</v>
      </c>
      <c r="D107">
        <f>COUNTIFS(Inventory_Table[Supplier_Name],A107,Inventory_Table[Status],"Backordered")</f>
        <v>0</v>
      </c>
      <c r="E107">
        <f>COUNTIFS(Inventory_Table[Supplier_Name],A107,Inventory_Table[Status],"Discontinued")</f>
        <v>0</v>
      </c>
      <c r="F107">
        <f>SUMIF(Inventory_Table[Supplier_Name],A107,Inventory_Table[Stock_Value])</f>
        <v>540</v>
      </c>
      <c r="G107" s="21">
        <f t="shared" si="1"/>
        <v>1</v>
      </c>
    </row>
    <row r="108" spans="1:7" x14ac:dyDescent="0.35">
      <c r="A108" t="str">
        <v>Gabspot</v>
      </c>
      <c r="B108">
        <f>COUNTIF(Inventory_Table[Supplier_Name],A108)</f>
        <v>3</v>
      </c>
      <c r="C108">
        <f>COUNTIFS(Inventory_Table[Supplier_Name],A108,Inventory_Table[Status],"Active")</f>
        <v>0</v>
      </c>
      <c r="D108">
        <f>COUNTIFS(Inventory_Table[Supplier_Name],A108,Inventory_Table[Status],"Backordered")</f>
        <v>0</v>
      </c>
      <c r="E108">
        <f>COUNTIFS(Inventory_Table[Supplier_Name],A108,Inventory_Table[Status],"Discontinued")</f>
        <v>3</v>
      </c>
      <c r="F108">
        <f>SUMIF(Inventory_Table[Supplier_Name],A108,Inventory_Table[Stock_Value])</f>
        <v>1016.5</v>
      </c>
      <c r="G108" s="21">
        <f t="shared" si="1"/>
        <v>0</v>
      </c>
    </row>
    <row r="109" spans="1:7" x14ac:dyDescent="0.35">
      <c r="A109" t="str">
        <v>Gabvine</v>
      </c>
      <c r="B109">
        <f>COUNTIF(Inventory_Table[Supplier_Name],A109)</f>
        <v>2</v>
      </c>
      <c r="C109">
        <f>COUNTIFS(Inventory_Table[Supplier_Name],A109,Inventory_Table[Status],"Active")</f>
        <v>1</v>
      </c>
      <c r="D109">
        <f>COUNTIFS(Inventory_Table[Supplier_Name],A109,Inventory_Table[Status],"Backordered")</f>
        <v>0</v>
      </c>
      <c r="E109">
        <f>COUNTIFS(Inventory_Table[Supplier_Name],A109,Inventory_Table[Status],"Discontinued")</f>
        <v>1</v>
      </c>
      <c r="F109">
        <f>SUMIF(Inventory_Table[Supplier_Name],A109,Inventory_Table[Stock_Value])</f>
        <v>306.75</v>
      </c>
      <c r="G109" s="21">
        <f t="shared" si="1"/>
        <v>0.5</v>
      </c>
    </row>
    <row r="110" spans="1:7" x14ac:dyDescent="0.35">
      <c r="A110" t="str">
        <v>Geba</v>
      </c>
      <c r="B110">
        <f>COUNTIF(Inventory_Table[Supplier_Name],A110)</f>
        <v>5</v>
      </c>
      <c r="C110">
        <f>COUNTIFS(Inventory_Table[Supplier_Name],A110,Inventory_Table[Status],"Active")</f>
        <v>3</v>
      </c>
      <c r="D110">
        <f>COUNTIFS(Inventory_Table[Supplier_Name],A110,Inventory_Table[Status],"Backordered")</f>
        <v>1</v>
      </c>
      <c r="E110">
        <f>COUNTIFS(Inventory_Table[Supplier_Name],A110,Inventory_Table[Status],"Discontinued")</f>
        <v>1</v>
      </c>
      <c r="F110">
        <f>SUMIF(Inventory_Table[Supplier_Name],A110,Inventory_Table[Stock_Value])</f>
        <v>1456.5</v>
      </c>
      <c r="G110" s="21">
        <f t="shared" si="1"/>
        <v>0.6</v>
      </c>
    </row>
    <row r="111" spans="1:7" x14ac:dyDescent="0.35">
      <c r="A111" t="str">
        <v>Gevee</v>
      </c>
      <c r="B111">
        <f>COUNTIF(Inventory_Table[Supplier_Name],A111)</f>
        <v>4</v>
      </c>
      <c r="C111">
        <f>COUNTIFS(Inventory_Table[Supplier_Name],A111,Inventory_Table[Status],"Active")</f>
        <v>2</v>
      </c>
      <c r="D111">
        <f>COUNTIFS(Inventory_Table[Supplier_Name],A111,Inventory_Table[Status],"Backordered")</f>
        <v>1</v>
      </c>
      <c r="E111">
        <f>COUNTIFS(Inventory_Table[Supplier_Name],A111,Inventory_Table[Status],"Discontinued")</f>
        <v>1</v>
      </c>
      <c r="F111">
        <f>SUMIF(Inventory_Table[Supplier_Name],A111,Inventory_Table[Stock_Value])</f>
        <v>2231.1</v>
      </c>
      <c r="G111" s="21">
        <f t="shared" si="1"/>
        <v>0.5</v>
      </c>
    </row>
    <row r="112" spans="1:7" x14ac:dyDescent="0.35">
      <c r="A112" t="str">
        <v>Gigabox</v>
      </c>
      <c r="B112">
        <f>COUNTIF(Inventory_Table[Supplier_Name],A112)</f>
        <v>3</v>
      </c>
      <c r="C112">
        <f>COUNTIFS(Inventory_Table[Supplier_Name],A112,Inventory_Table[Status],"Active")</f>
        <v>0</v>
      </c>
      <c r="D112">
        <f>COUNTIFS(Inventory_Table[Supplier_Name],A112,Inventory_Table[Status],"Backordered")</f>
        <v>2</v>
      </c>
      <c r="E112">
        <f>COUNTIFS(Inventory_Table[Supplier_Name],A112,Inventory_Table[Status],"Discontinued")</f>
        <v>1</v>
      </c>
      <c r="F112">
        <f>SUMIF(Inventory_Table[Supplier_Name],A112,Inventory_Table[Stock_Value])</f>
        <v>305.60000000000002</v>
      </c>
      <c r="G112" s="21">
        <f t="shared" si="1"/>
        <v>0</v>
      </c>
    </row>
    <row r="113" spans="1:7" x14ac:dyDescent="0.35">
      <c r="A113" t="str">
        <v>Gigaclub</v>
      </c>
      <c r="B113">
        <f>COUNTIF(Inventory_Table[Supplier_Name],A113)</f>
        <v>3</v>
      </c>
      <c r="C113">
        <f>COUNTIFS(Inventory_Table[Supplier_Name],A113,Inventory_Table[Status],"Active")</f>
        <v>2</v>
      </c>
      <c r="D113">
        <f>COUNTIFS(Inventory_Table[Supplier_Name],A113,Inventory_Table[Status],"Backordered")</f>
        <v>0</v>
      </c>
      <c r="E113">
        <f>COUNTIFS(Inventory_Table[Supplier_Name],A113,Inventory_Table[Status],"Discontinued")</f>
        <v>1</v>
      </c>
      <c r="F113">
        <f>SUMIF(Inventory_Table[Supplier_Name],A113,Inventory_Table[Stock_Value])</f>
        <v>406.25</v>
      </c>
      <c r="G113" s="21">
        <f t="shared" si="1"/>
        <v>0.66666666666666674</v>
      </c>
    </row>
    <row r="114" spans="1:7" x14ac:dyDescent="0.35">
      <c r="A114" t="str">
        <v>Gigashots</v>
      </c>
      <c r="B114">
        <f>COUNTIF(Inventory_Table[Supplier_Name],A114)</f>
        <v>6</v>
      </c>
      <c r="C114">
        <f>COUNTIFS(Inventory_Table[Supplier_Name],A114,Inventory_Table[Status],"Active")</f>
        <v>2</v>
      </c>
      <c r="D114">
        <f>COUNTIFS(Inventory_Table[Supplier_Name],A114,Inventory_Table[Status],"Backordered")</f>
        <v>3</v>
      </c>
      <c r="E114">
        <f>COUNTIFS(Inventory_Table[Supplier_Name],A114,Inventory_Table[Status],"Discontinued")</f>
        <v>1</v>
      </c>
      <c r="F114">
        <f>SUMIF(Inventory_Table[Supplier_Name],A114,Inventory_Table[Stock_Value])</f>
        <v>963.5</v>
      </c>
      <c r="G114" s="21">
        <f t="shared" si="1"/>
        <v>0.33333333333333337</v>
      </c>
    </row>
    <row r="115" spans="1:7" x14ac:dyDescent="0.35">
      <c r="A115" t="str">
        <v>Gigazoom</v>
      </c>
      <c r="B115">
        <f>COUNTIF(Inventory_Table[Supplier_Name],A115)</f>
        <v>5</v>
      </c>
      <c r="C115">
        <f>COUNTIFS(Inventory_Table[Supplier_Name],A115,Inventory_Table[Status],"Active")</f>
        <v>2</v>
      </c>
      <c r="D115">
        <f>COUNTIFS(Inventory_Table[Supplier_Name],A115,Inventory_Table[Status],"Backordered")</f>
        <v>2</v>
      </c>
      <c r="E115">
        <f>COUNTIFS(Inventory_Table[Supplier_Name],A115,Inventory_Table[Status],"Discontinued")</f>
        <v>1</v>
      </c>
      <c r="F115">
        <f>SUMIF(Inventory_Table[Supplier_Name],A115,Inventory_Table[Stock_Value])</f>
        <v>896.4</v>
      </c>
      <c r="G115" s="21">
        <f t="shared" si="1"/>
        <v>0.4</v>
      </c>
    </row>
    <row r="116" spans="1:7" x14ac:dyDescent="0.35">
      <c r="A116" t="str">
        <v>Innojam</v>
      </c>
      <c r="B116">
        <f>COUNTIF(Inventory_Table[Supplier_Name],A116)</f>
        <v>4</v>
      </c>
      <c r="C116">
        <f>COUNTIFS(Inventory_Table[Supplier_Name],A116,Inventory_Table[Status],"Active")</f>
        <v>2</v>
      </c>
      <c r="D116">
        <f>COUNTIFS(Inventory_Table[Supplier_Name],A116,Inventory_Table[Status],"Backordered")</f>
        <v>2</v>
      </c>
      <c r="E116">
        <f>COUNTIFS(Inventory_Table[Supplier_Name],A116,Inventory_Table[Status],"Discontinued")</f>
        <v>0</v>
      </c>
      <c r="F116">
        <f>SUMIF(Inventory_Table[Supplier_Name],A116,Inventory_Table[Stock_Value])</f>
        <v>1262.25</v>
      </c>
      <c r="G116" s="21">
        <f t="shared" si="1"/>
        <v>0.5</v>
      </c>
    </row>
    <row r="117" spans="1:7" x14ac:dyDescent="0.35">
      <c r="A117" t="str">
        <v>Innotype</v>
      </c>
      <c r="B117">
        <f>COUNTIF(Inventory_Table[Supplier_Name],A117)</f>
        <v>1</v>
      </c>
      <c r="C117">
        <f>COUNTIFS(Inventory_Table[Supplier_Name],A117,Inventory_Table[Status],"Active")</f>
        <v>1</v>
      </c>
      <c r="D117">
        <f>COUNTIFS(Inventory_Table[Supplier_Name],A117,Inventory_Table[Status],"Backordered")</f>
        <v>0</v>
      </c>
      <c r="E117">
        <f>COUNTIFS(Inventory_Table[Supplier_Name],A117,Inventory_Table[Status],"Discontinued")</f>
        <v>0</v>
      </c>
      <c r="F117">
        <f>SUMIF(Inventory_Table[Supplier_Name],A117,Inventory_Table[Stock_Value])</f>
        <v>153</v>
      </c>
      <c r="G117" s="21">
        <f t="shared" si="1"/>
        <v>1</v>
      </c>
    </row>
    <row r="118" spans="1:7" x14ac:dyDescent="0.35">
      <c r="A118" t="str">
        <v>InnoZ</v>
      </c>
      <c r="B118">
        <f>COUNTIF(Inventory_Table[Supplier_Name],A118)</f>
        <v>2</v>
      </c>
      <c r="C118">
        <f>COUNTIFS(Inventory_Table[Supplier_Name],A118,Inventory_Table[Status],"Active")</f>
        <v>2</v>
      </c>
      <c r="D118">
        <f>COUNTIFS(Inventory_Table[Supplier_Name],A118,Inventory_Table[Status],"Backordered")</f>
        <v>0</v>
      </c>
      <c r="E118">
        <f>COUNTIFS(Inventory_Table[Supplier_Name],A118,Inventory_Table[Status],"Discontinued")</f>
        <v>0</v>
      </c>
      <c r="F118">
        <f>SUMIF(Inventory_Table[Supplier_Name],A118,Inventory_Table[Stock_Value])</f>
        <v>990</v>
      </c>
      <c r="G118" s="21">
        <f t="shared" si="1"/>
        <v>1</v>
      </c>
    </row>
    <row r="119" spans="1:7" x14ac:dyDescent="0.35">
      <c r="A119" t="str">
        <v>Izio</v>
      </c>
      <c r="B119">
        <f>COUNTIF(Inventory_Table[Supplier_Name],A119)</f>
        <v>4</v>
      </c>
      <c r="C119">
        <f>COUNTIFS(Inventory_Table[Supplier_Name],A119,Inventory_Table[Status],"Active")</f>
        <v>2</v>
      </c>
      <c r="D119">
        <f>COUNTIFS(Inventory_Table[Supplier_Name],A119,Inventory_Table[Status],"Backordered")</f>
        <v>0</v>
      </c>
      <c r="E119">
        <f>COUNTIFS(Inventory_Table[Supplier_Name],A119,Inventory_Table[Status],"Discontinued")</f>
        <v>2</v>
      </c>
      <c r="F119">
        <f>SUMIF(Inventory_Table[Supplier_Name],A119,Inventory_Table[Stock_Value])</f>
        <v>2015.4</v>
      </c>
      <c r="G119" s="21">
        <f t="shared" si="1"/>
        <v>0.5</v>
      </c>
    </row>
    <row r="120" spans="1:7" x14ac:dyDescent="0.35">
      <c r="A120" t="str">
        <v>Jabbercube</v>
      </c>
      <c r="B120">
        <f>COUNTIF(Inventory_Table[Supplier_Name],A120)</f>
        <v>2</v>
      </c>
      <c r="C120">
        <f>COUNTIFS(Inventory_Table[Supplier_Name],A120,Inventory_Table[Status],"Active")</f>
        <v>1</v>
      </c>
      <c r="D120">
        <f>COUNTIFS(Inventory_Table[Supplier_Name],A120,Inventory_Table[Status],"Backordered")</f>
        <v>0</v>
      </c>
      <c r="E120">
        <f>COUNTIFS(Inventory_Table[Supplier_Name],A120,Inventory_Table[Status],"Discontinued")</f>
        <v>1</v>
      </c>
      <c r="F120">
        <f>SUMIF(Inventory_Table[Supplier_Name],A120,Inventory_Table[Stock_Value])</f>
        <v>113.2</v>
      </c>
      <c r="G120" s="21">
        <f t="shared" si="1"/>
        <v>0.5</v>
      </c>
    </row>
    <row r="121" spans="1:7" x14ac:dyDescent="0.35">
      <c r="A121" t="str">
        <v>Jabbersphere</v>
      </c>
      <c r="B121">
        <f>COUNTIF(Inventory_Table[Supplier_Name],A121)</f>
        <v>6</v>
      </c>
      <c r="C121">
        <f>COUNTIFS(Inventory_Table[Supplier_Name],A121,Inventory_Table[Status],"Active")</f>
        <v>3</v>
      </c>
      <c r="D121">
        <f>COUNTIFS(Inventory_Table[Supplier_Name],A121,Inventory_Table[Status],"Backordered")</f>
        <v>1</v>
      </c>
      <c r="E121">
        <f>COUNTIFS(Inventory_Table[Supplier_Name],A121,Inventory_Table[Status],"Discontinued")</f>
        <v>2</v>
      </c>
      <c r="F121">
        <f>SUMIF(Inventory_Table[Supplier_Name],A121,Inventory_Table[Stock_Value])</f>
        <v>1757.2</v>
      </c>
      <c r="G121" s="21">
        <f t="shared" si="1"/>
        <v>0.5</v>
      </c>
    </row>
    <row r="122" spans="1:7" x14ac:dyDescent="0.35">
      <c r="A122" t="str">
        <v>Jabberstorm</v>
      </c>
      <c r="B122">
        <f>COUNTIF(Inventory_Table[Supplier_Name],A122)</f>
        <v>3</v>
      </c>
      <c r="C122">
        <f>COUNTIFS(Inventory_Table[Supplier_Name],A122,Inventory_Table[Status],"Active")</f>
        <v>1</v>
      </c>
      <c r="D122">
        <f>COUNTIFS(Inventory_Table[Supplier_Name],A122,Inventory_Table[Status],"Backordered")</f>
        <v>0</v>
      </c>
      <c r="E122">
        <f>COUNTIFS(Inventory_Table[Supplier_Name],A122,Inventory_Table[Status],"Discontinued")</f>
        <v>2</v>
      </c>
      <c r="F122">
        <f>SUMIF(Inventory_Table[Supplier_Name],A122,Inventory_Table[Stock_Value])</f>
        <v>624.20000000000005</v>
      </c>
      <c r="G122" s="21">
        <f t="shared" si="1"/>
        <v>0.33333333333333337</v>
      </c>
    </row>
    <row r="123" spans="1:7" x14ac:dyDescent="0.35">
      <c r="A123" t="str">
        <v>Jabbertype</v>
      </c>
      <c r="B123">
        <f>COUNTIF(Inventory_Table[Supplier_Name],A123)</f>
        <v>2</v>
      </c>
      <c r="C123">
        <f>COUNTIFS(Inventory_Table[Supplier_Name],A123,Inventory_Table[Status],"Active")</f>
        <v>1</v>
      </c>
      <c r="D123">
        <f>COUNTIFS(Inventory_Table[Supplier_Name],A123,Inventory_Table[Status],"Backordered")</f>
        <v>0</v>
      </c>
      <c r="E123">
        <f>COUNTIFS(Inventory_Table[Supplier_Name],A123,Inventory_Table[Status],"Discontinued")</f>
        <v>1</v>
      </c>
      <c r="F123">
        <f>SUMIF(Inventory_Table[Supplier_Name],A123,Inventory_Table[Stock_Value])</f>
        <v>702</v>
      </c>
      <c r="G123" s="21">
        <f t="shared" si="1"/>
        <v>0.5</v>
      </c>
    </row>
    <row r="124" spans="1:7" x14ac:dyDescent="0.35">
      <c r="A124" t="str">
        <v>Jaloo</v>
      </c>
      <c r="B124">
        <f>COUNTIF(Inventory_Table[Supplier_Name],A124)</f>
        <v>2</v>
      </c>
      <c r="C124">
        <f>COUNTIFS(Inventory_Table[Supplier_Name],A124,Inventory_Table[Status],"Active")</f>
        <v>2</v>
      </c>
      <c r="D124">
        <f>COUNTIFS(Inventory_Table[Supplier_Name],A124,Inventory_Table[Status],"Backordered")</f>
        <v>0</v>
      </c>
      <c r="E124">
        <f>COUNTIFS(Inventory_Table[Supplier_Name],A124,Inventory_Table[Status],"Discontinued")</f>
        <v>0</v>
      </c>
      <c r="F124">
        <f>SUMIF(Inventory_Table[Supplier_Name],A124,Inventory_Table[Stock_Value])</f>
        <v>755.4</v>
      </c>
      <c r="G124" s="21">
        <f t="shared" si="1"/>
        <v>1</v>
      </c>
    </row>
    <row r="125" spans="1:7" x14ac:dyDescent="0.35">
      <c r="A125" t="str">
        <v>Jamia</v>
      </c>
      <c r="B125">
        <f>COUNTIF(Inventory_Table[Supplier_Name],A125)</f>
        <v>1</v>
      </c>
      <c r="C125">
        <f>COUNTIFS(Inventory_Table[Supplier_Name],A125,Inventory_Table[Status],"Active")</f>
        <v>0</v>
      </c>
      <c r="D125">
        <f>COUNTIFS(Inventory_Table[Supplier_Name],A125,Inventory_Table[Status],"Backordered")</f>
        <v>1</v>
      </c>
      <c r="E125">
        <f>COUNTIFS(Inventory_Table[Supplier_Name],A125,Inventory_Table[Status],"Discontinued")</f>
        <v>0</v>
      </c>
      <c r="F125">
        <f>SUMIF(Inventory_Table[Supplier_Name],A125,Inventory_Table[Stock_Value])</f>
        <v>651</v>
      </c>
      <c r="G125" s="21">
        <f t="shared" si="1"/>
        <v>0</v>
      </c>
    </row>
    <row r="126" spans="1:7" x14ac:dyDescent="0.35">
      <c r="A126" t="str">
        <v>Janyx</v>
      </c>
      <c r="B126">
        <f>COUNTIF(Inventory_Table[Supplier_Name],A126)</f>
        <v>3</v>
      </c>
      <c r="C126">
        <f>COUNTIFS(Inventory_Table[Supplier_Name],A126,Inventory_Table[Status],"Active")</f>
        <v>1</v>
      </c>
      <c r="D126">
        <f>COUNTIFS(Inventory_Table[Supplier_Name],A126,Inventory_Table[Status],"Backordered")</f>
        <v>1</v>
      </c>
      <c r="E126">
        <f>COUNTIFS(Inventory_Table[Supplier_Name],A126,Inventory_Table[Status],"Discontinued")</f>
        <v>1</v>
      </c>
      <c r="F126">
        <f>SUMIF(Inventory_Table[Supplier_Name],A126,Inventory_Table[Stock_Value])</f>
        <v>986.5</v>
      </c>
      <c r="G126" s="21">
        <f t="shared" si="1"/>
        <v>0.33333333333333337</v>
      </c>
    </row>
    <row r="127" spans="1:7" x14ac:dyDescent="0.35">
      <c r="A127" t="str">
        <v>Jatri</v>
      </c>
      <c r="B127">
        <f>COUNTIF(Inventory_Table[Supplier_Name],A127)</f>
        <v>3</v>
      </c>
      <c r="C127">
        <f>COUNTIFS(Inventory_Table[Supplier_Name],A127,Inventory_Table[Status],"Active")</f>
        <v>1</v>
      </c>
      <c r="D127">
        <f>COUNTIFS(Inventory_Table[Supplier_Name],A127,Inventory_Table[Status],"Backordered")</f>
        <v>2</v>
      </c>
      <c r="E127">
        <f>COUNTIFS(Inventory_Table[Supplier_Name],A127,Inventory_Table[Status],"Discontinued")</f>
        <v>0</v>
      </c>
      <c r="F127">
        <f>SUMIF(Inventory_Table[Supplier_Name],A127,Inventory_Table[Stock_Value])</f>
        <v>776.8</v>
      </c>
      <c r="G127" s="21">
        <f t="shared" si="1"/>
        <v>0.33333333333333337</v>
      </c>
    </row>
    <row r="128" spans="1:7" x14ac:dyDescent="0.35">
      <c r="A128" t="str">
        <v>Jaxbean</v>
      </c>
      <c r="B128">
        <f>COUNTIF(Inventory_Table[Supplier_Name],A128)</f>
        <v>1</v>
      </c>
      <c r="C128">
        <f>COUNTIFS(Inventory_Table[Supplier_Name],A128,Inventory_Table[Status],"Active")</f>
        <v>0</v>
      </c>
      <c r="D128">
        <f>COUNTIFS(Inventory_Table[Supplier_Name],A128,Inventory_Table[Status],"Backordered")</f>
        <v>1</v>
      </c>
      <c r="E128">
        <f>COUNTIFS(Inventory_Table[Supplier_Name],A128,Inventory_Table[Status],"Discontinued")</f>
        <v>0</v>
      </c>
      <c r="F128">
        <f>SUMIF(Inventory_Table[Supplier_Name],A128,Inventory_Table[Stock_Value])</f>
        <v>441</v>
      </c>
      <c r="G128" s="21">
        <f t="shared" si="1"/>
        <v>0</v>
      </c>
    </row>
    <row r="129" spans="1:7" x14ac:dyDescent="0.35">
      <c r="A129" t="str">
        <v>Jaxnation</v>
      </c>
      <c r="B129">
        <f>COUNTIF(Inventory_Table[Supplier_Name],A129)</f>
        <v>3</v>
      </c>
      <c r="C129">
        <f>COUNTIFS(Inventory_Table[Supplier_Name],A129,Inventory_Table[Status],"Active")</f>
        <v>0</v>
      </c>
      <c r="D129">
        <f>COUNTIFS(Inventory_Table[Supplier_Name],A129,Inventory_Table[Status],"Backordered")</f>
        <v>1</v>
      </c>
      <c r="E129">
        <f>COUNTIFS(Inventory_Table[Supplier_Name],A129,Inventory_Table[Status],"Discontinued")</f>
        <v>2</v>
      </c>
      <c r="F129">
        <f>SUMIF(Inventory_Table[Supplier_Name],A129,Inventory_Table[Stock_Value])</f>
        <v>509.7</v>
      </c>
      <c r="G129" s="21">
        <f t="shared" si="1"/>
        <v>0</v>
      </c>
    </row>
    <row r="130" spans="1:7" x14ac:dyDescent="0.35">
      <c r="A130" t="str">
        <v>Jaxspan</v>
      </c>
      <c r="B130">
        <f>COUNTIF(Inventory_Table[Supplier_Name],A130)</f>
        <v>6</v>
      </c>
      <c r="C130">
        <f>COUNTIFS(Inventory_Table[Supplier_Name],A130,Inventory_Table[Status],"Active")</f>
        <v>2</v>
      </c>
      <c r="D130">
        <f>COUNTIFS(Inventory_Table[Supplier_Name],A130,Inventory_Table[Status],"Backordered")</f>
        <v>2</v>
      </c>
      <c r="E130">
        <f>COUNTIFS(Inventory_Table[Supplier_Name],A130,Inventory_Table[Status],"Discontinued")</f>
        <v>2</v>
      </c>
      <c r="F130">
        <f>SUMIF(Inventory_Table[Supplier_Name],A130,Inventory_Table[Stock_Value])</f>
        <v>2813.5</v>
      </c>
      <c r="G130" s="21">
        <f t="shared" si="1"/>
        <v>0.33333333333333337</v>
      </c>
    </row>
    <row r="131" spans="1:7" x14ac:dyDescent="0.35">
      <c r="A131" t="str">
        <v>Jaxworks</v>
      </c>
      <c r="B131">
        <f>COUNTIF(Inventory_Table[Supplier_Name],A131)</f>
        <v>3</v>
      </c>
      <c r="C131">
        <f>COUNTIFS(Inventory_Table[Supplier_Name],A131,Inventory_Table[Status],"Active")</f>
        <v>1</v>
      </c>
      <c r="D131">
        <f>COUNTIFS(Inventory_Table[Supplier_Name],A131,Inventory_Table[Status],"Backordered")</f>
        <v>2</v>
      </c>
      <c r="E131">
        <f>COUNTIFS(Inventory_Table[Supplier_Name],A131,Inventory_Table[Status],"Discontinued")</f>
        <v>0</v>
      </c>
      <c r="F131">
        <f>SUMIF(Inventory_Table[Supplier_Name],A131,Inventory_Table[Stock_Value])</f>
        <v>710.5</v>
      </c>
      <c r="G131" s="21">
        <f t="shared" ref="G131:G194" si="2">1-(D131+E131)/B131</f>
        <v>0.33333333333333337</v>
      </c>
    </row>
    <row r="132" spans="1:7" x14ac:dyDescent="0.35">
      <c r="A132" t="str">
        <v>Jayo</v>
      </c>
      <c r="B132">
        <f>COUNTIF(Inventory_Table[Supplier_Name],A132)</f>
        <v>4</v>
      </c>
      <c r="C132">
        <f>COUNTIFS(Inventory_Table[Supplier_Name],A132,Inventory_Table[Status],"Active")</f>
        <v>1</v>
      </c>
      <c r="D132">
        <f>COUNTIFS(Inventory_Table[Supplier_Name],A132,Inventory_Table[Status],"Backordered")</f>
        <v>2</v>
      </c>
      <c r="E132">
        <f>COUNTIFS(Inventory_Table[Supplier_Name],A132,Inventory_Table[Status],"Discontinued")</f>
        <v>1</v>
      </c>
      <c r="F132">
        <f>SUMIF(Inventory_Table[Supplier_Name],A132,Inventory_Table[Stock_Value])</f>
        <v>1289.0999999999999</v>
      </c>
      <c r="G132" s="21">
        <f t="shared" si="2"/>
        <v>0.25</v>
      </c>
    </row>
    <row r="133" spans="1:7" x14ac:dyDescent="0.35">
      <c r="A133" t="str">
        <v>Jazzy</v>
      </c>
      <c r="B133">
        <f>COUNTIF(Inventory_Table[Supplier_Name],A133)</f>
        <v>3</v>
      </c>
      <c r="C133">
        <f>COUNTIFS(Inventory_Table[Supplier_Name],A133,Inventory_Table[Status],"Active")</f>
        <v>1</v>
      </c>
      <c r="D133">
        <f>COUNTIFS(Inventory_Table[Supplier_Name],A133,Inventory_Table[Status],"Backordered")</f>
        <v>1</v>
      </c>
      <c r="E133">
        <f>COUNTIFS(Inventory_Table[Supplier_Name],A133,Inventory_Table[Status],"Discontinued")</f>
        <v>1</v>
      </c>
      <c r="F133">
        <f>SUMIF(Inventory_Table[Supplier_Name],A133,Inventory_Table[Stock_Value])</f>
        <v>1083.25</v>
      </c>
      <c r="G133" s="21">
        <f t="shared" si="2"/>
        <v>0.33333333333333337</v>
      </c>
    </row>
    <row r="134" spans="1:7" x14ac:dyDescent="0.35">
      <c r="A134" t="str">
        <v>Jetpulse</v>
      </c>
      <c r="B134">
        <f>COUNTIF(Inventory_Table[Supplier_Name],A134)</f>
        <v>4</v>
      </c>
      <c r="C134">
        <f>COUNTIFS(Inventory_Table[Supplier_Name],A134,Inventory_Table[Status],"Active")</f>
        <v>0</v>
      </c>
      <c r="D134">
        <f>COUNTIFS(Inventory_Table[Supplier_Name],A134,Inventory_Table[Status],"Backordered")</f>
        <v>1</v>
      </c>
      <c r="E134">
        <f>COUNTIFS(Inventory_Table[Supplier_Name],A134,Inventory_Table[Status],"Discontinued")</f>
        <v>3</v>
      </c>
      <c r="F134">
        <f>SUMIF(Inventory_Table[Supplier_Name],A134,Inventory_Table[Stock_Value])</f>
        <v>1028</v>
      </c>
      <c r="G134" s="21">
        <f t="shared" si="2"/>
        <v>0</v>
      </c>
    </row>
    <row r="135" spans="1:7" x14ac:dyDescent="0.35">
      <c r="A135" t="str">
        <v>Jetwire</v>
      </c>
      <c r="B135">
        <f>COUNTIF(Inventory_Table[Supplier_Name],A135)</f>
        <v>2</v>
      </c>
      <c r="C135">
        <f>COUNTIFS(Inventory_Table[Supplier_Name],A135,Inventory_Table[Status],"Active")</f>
        <v>1</v>
      </c>
      <c r="D135">
        <f>COUNTIFS(Inventory_Table[Supplier_Name],A135,Inventory_Table[Status],"Backordered")</f>
        <v>1</v>
      </c>
      <c r="E135">
        <f>COUNTIFS(Inventory_Table[Supplier_Name],A135,Inventory_Table[Status],"Discontinued")</f>
        <v>0</v>
      </c>
      <c r="F135">
        <f>SUMIF(Inventory_Table[Supplier_Name],A135,Inventory_Table[Stock_Value])</f>
        <v>977</v>
      </c>
      <c r="G135" s="21">
        <f t="shared" si="2"/>
        <v>0.5</v>
      </c>
    </row>
    <row r="136" spans="1:7" x14ac:dyDescent="0.35">
      <c r="A136" t="str">
        <v>JumpXS</v>
      </c>
      <c r="B136">
        <f>COUNTIF(Inventory_Table[Supplier_Name],A136)</f>
        <v>1</v>
      </c>
      <c r="C136">
        <f>COUNTIFS(Inventory_Table[Supplier_Name],A136,Inventory_Table[Status],"Active")</f>
        <v>0</v>
      </c>
      <c r="D136">
        <f>COUNTIFS(Inventory_Table[Supplier_Name],A136,Inventory_Table[Status],"Backordered")</f>
        <v>0</v>
      </c>
      <c r="E136">
        <f>COUNTIFS(Inventory_Table[Supplier_Name],A136,Inventory_Table[Status],"Discontinued")</f>
        <v>1</v>
      </c>
      <c r="F136">
        <f>SUMIF(Inventory_Table[Supplier_Name],A136,Inventory_Table[Stock_Value])</f>
        <v>55</v>
      </c>
      <c r="G136" s="21">
        <f t="shared" si="2"/>
        <v>0</v>
      </c>
    </row>
    <row r="137" spans="1:7" x14ac:dyDescent="0.35">
      <c r="A137" t="str">
        <v>Kamba</v>
      </c>
      <c r="B137">
        <f>COUNTIF(Inventory_Table[Supplier_Name],A137)</f>
        <v>5</v>
      </c>
      <c r="C137">
        <f>COUNTIFS(Inventory_Table[Supplier_Name],A137,Inventory_Table[Status],"Active")</f>
        <v>2</v>
      </c>
      <c r="D137">
        <f>COUNTIFS(Inventory_Table[Supplier_Name],A137,Inventory_Table[Status],"Backordered")</f>
        <v>2</v>
      </c>
      <c r="E137">
        <f>COUNTIFS(Inventory_Table[Supplier_Name],A137,Inventory_Table[Status],"Discontinued")</f>
        <v>1</v>
      </c>
      <c r="F137">
        <f>SUMIF(Inventory_Table[Supplier_Name],A137,Inventory_Table[Stock_Value])</f>
        <v>2842</v>
      </c>
      <c r="G137" s="21">
        <f t="shared" si="2"/>
        <v>0.4</v>
      </c>
    </row>
    <row r="138" spans="1:7" x14ac:dyDescent="0.35">
      <c r="A138" t="str">
        <v>Kanoodle</v>
      </c>
      <c r="B138">
        <f>COUNTIF(Inventory_Table[Supplier_Name],A138)</f>
        <v>5</v>
      </c>
      <c r="C138">
        <f>COUNTIFS(Inventory_Table[Supplier_Name],A138,Inventory_Table[Status],"Active")</f>
        <v>3</v>
      </c>
      <c r="D138">
        <f>COUNTIFS(Inventory_Table[Supplier_Name],A138,Inventory_Table[Status],"Backordered")</f>
        <v>0</v>
      </c>
      <c r="E138">
        <f>COUNTIFS(Inventory_Table[Supplier_Name],A138,Inventory_Table[Status],"Discontinued")</f>
        <v>2</v>
      </c>
      <c r="F138">
        <f>SUMIF(Inventory_Table[Supplier_Name],A138,Inventory_Table[Stock_Value])</f>
        <v>469.1</v>
      </c>
      <c r="G138" s="21">
        <f t="shared" si="2"/>
        <v>0.6</v>
      </c>
    </row>
    <row r="139" spans="1:7" x14ac:dyDescent="0.35">
      <c r="A139" t="str">
        <v>Kare</v>
      </c>
      <c r="B139">
        <f>COUNTIF(Inventory_Table[Supplier_Name],A139)</f>
        <v>2</v>
      </c>
      <c r="C139">
        <f>COUNTIFS(Inventory_Table[Supplier_Name],A139,Inventory_Table[Status],"Active")</f>
        <v>1</v>
      </c>
      <c r="D139">
        <f>COUNTIFS(Inventory_Table[Supplier_Name],A139,Inventory_Table[Status],"Backordered")</f>
        <v>0</v>
      </c>
      <c r="E139">
        <f>COUNTIFS(Inventory_Table[Supplier_Name],A139,Inventory_Table[Status],"Discontinued")</f>
        <v>1</v>
      </c>
      <c r="F139">
        <f>SUMIF(Inventory_Table[Supplier_Name],A139,Inventory_Table[Stock_Value])</f>
        <v>317</v>
      </c>
      <c r="G139" s="21">
        <f t="shared" si="2"/>
        <v>0.5</v>
      </c>
    </row>
    <row r="140" spans="1:7" x14ac:dyDescent="0.35">
      <c r="A140" t="str">
        <v>Katz</v>
      </c>
      <c r="B140">
        <f>COUNTIF(Inventory_Table[Supplier_Name],A140)</f>
        <v>12</v>
      </c>
      <c r="C140">
        <f>COUNTIFS(Inventory_Table[Supplier_Name],A140,Inventory_Table[Status],"Active")</f>
        <v>3</v>
      </c>
      <c r="D140">
        <f>COUNTIFS(Inventory_Table[Supplier_Name],A140,Inventory_Table[Status],"Backordered")</f>
        <v>7</v>
      </c>
      <c r="E140">
        <f>COUNTIFS(Inventory_Table[Supplier_Name],A140,Inventory_Table[Status],"Discontinued")</f>
        <v>2</v>
      </c>
      <c r="F140">
        <f>SUMIF(Inventory_Table[Supplier_Name],A140,Inventory_Table[Stock_Value])</f>
        <v>3439.25</v>
      </c>
      <c r="G140" s="21">
        <f t="shared" si="2"/>
        <v>0.25</v>
      </c>
    </row>
    <row r="141" spans="1:7" x14ac:dyDescent="0.35">
      <c r="A141" t="str">
        <v>Kaymbo</v>
      </c>
      <c r="B141">
        <f>COUNTIF(Inventory_Table[Supplier_Name],A141)</f>
        <v>1</v>
      </c>
      <c r="C141">
        <f>COUNTIFS(Inventory_Table[Supplier_Name],A141,Inventory_Table[Status],"Active")</f>
        <v>0</v>
      </c>
      <c r="D141">
        <f>COUNTIFS(Inventory_Table[Supplier_Name],A141,Inventory_Table[Status],"Backordered")</f>
        <v>1</v>
      </c>
      <c r="E141">
        <f>COUNTIFS(Inventory_Table[Supplier_Name],A141,Inventory_Table[Status],"Discontinued")</f>
        <v>0</v>
      </c>
      <c r="F141">
        <f>SUMIF(Inventory_Table[Supplier_Name],A141,Inventory_Table[Stock_Value])</f>
        <v>14</v>
      </c>
      <c r="G141" s="21">
        <f t="shared" si="2"/>
        <v>0</v>
      </c>
    </row>
    <row r="142" spans="1:7" x14ac:dyDescent="0.35">
      <c r="A142" t="str">
        <v>Kayveo</v>
      </c>
      <c r="B142">
        <f>COUNTIF(Inventory_Table[Supplier_Name],A142)</f>
        <v>4</v>
      </c>
      <c r="C142">
        <f>COUNTIFS(Inventory_Table[Supplier_Name],A142,Inventory_Table[Status],"Active")</f>
        <v>0</v>
      </c>
      <c r="D142">
        <f>COUNTIFS(Inventory_Table[Supplier_Name],A142,Inventory_Table[Status],"Backordered")</f>
        <v>1</v>
      </c>
      <c r="E142">
        <f>COUNTIFS(Inventory_Table[Supplier_Name],A142,Inventory_Table[Status],"Discontinued")</f>
        <v>3</v>
      </c>
      <c r="F142">
        <f>SUMIF(Inventory_Table[Supplier_Name],A142,Inventory_Table[Stock_Value])</f>
        <v>2065</v>
      </c>
      <c r="G142" s="21">
        <f t="shared" si="2"/>
        <v>0</v>
      </c>
    </row>
    <row r="143" spans="1:7" x14ac:dyDescent="0.35">
      <c r="A143" t="str">
        <v>Kazio</v>
      </c>
      <c r="B143">
        <f>COUNTIF(Inventory_Table[Supplier_Name],A143)</f>
        <v>1</v>
      </c>
      <c r="C143">
        <f>COUNTIFS(Inventory_Table[Supplier_Name],A143,Inventory_Table[Status],"Active")</f>
        <v>1</v>
      </c>
      <c r="D143">
        <f>COUNTIFS(Inventory_Table[Supplier_Name],A143,Inventory_Table[Status],"Backordered")</f>
        <v>0</v>
      </c>
      <c r="E143">
        <f>COUNTIFS(Inventory_Table[Supplier_Name],A143,Inventory_Table[Status],"Discontinued")</f>
        <v>0</v>
      </c>
      <c r="F143">
        <f>SUMIF(Inventory_Table[Supplier_Name],A143,Inventory_Table[Stock_Value])</f>
        <v>667.5</v>
      </c>
      <c r="G143" s="21">
        <f t="shared" si="2"/>
        <v>1</v>
      </c>
    </row>
    <row r="144" spans="1:7" x14ac:dyDescent="0.35">
      <c r="A144" t="str">
        <v>Kazu</v>
      </c>
      <c r="B144">
        <f>COUNTIF(Inventory_Table[Supplier_Name],A144)</f>
        <v>2</v>
      </c>
      <c r="C144">
        <f>COUNTIFS(Inventory_Table[Supplier_Name],A144,Inventory_Table[Status],"Active")</f>
        <v>0</v>
      </c>
      <c r="D144">
        <f>COUNTIFS(Inventory_Table[Supplier_Name],A144,Inventory_Table[Status],"Backordered")</f>
        <v>0</v>
      </c>
      <c r="E144">
        <f>COUNTIFS(Inventory_Table[Supplier_Name],A144,Inventory_Table[Status],"Discontinued")</f>
        <v>2</v>
      </c>
      <c r="F144">
        <f>SUMIF(Inventory_Table[Supplier_Name],A144,Inventory_Table[Stock_Value])</f>
        <v>567</v>
      </c>
      <c r="G144" s="21">
        <f t="shared" si="2"/>
        <v>0</v>
      </c>
    </row>
    <row r="145" spans="1:7" x14ac:dyDescent="0.35">
      <c r="A145" t="str">
        <v>Kimia</v>
      </c>
      <c r="B145">
        <f>COUNTIF(Inventory_Table[Supplier_Name],A145)</f>
        <v>2</v>
      </c>
      <c r="C145">
        <f>COUNTIFS(Inventory_Table[Supplier_Name],A145,Inventory_Table[Status],"Active")</f>
        <v>1</v>
      </c>
      <c r="D145">
        <f>COUNTIFS(Inventory_Table[Supplier_Name],A145,Inventory_Table[Status],"Backordered")</f>
        <v>1</v>
      </c>
      <c r="E145">
        <f>COUNTIFS(Inventory_Table[Supplier_Name],A145,Inventory_Table[Status],"Discontinued")</f>
        <v>0</v>
      </c>
      <c r="F145">
        <f>SUMIF(Inventory_Table[Supplier_Name],A145,Inventory_Table[Stock_Value])</f>
        <v>323.7</v>
      </c>
      <c r="G145" s="21">
        <f t="shared" si="2"/>
        <v>0.5</v>
      </c>
    </row>
    <row r="146" spans="1:7" x14ac:dyDescent="0.35">
      <c r="A146" t="str">
        <v>Kwideo</v>
      </c>
      <c r="B146">
        <f>COUNTIF(Inventory_Table[Supplier_Name],A146)</f>
        <v>3</v>
      </c>
      <c r="C146">
        <f>COUNTIFS(Inventory_Table[Supplier_Name],A146,Inventory_Table[Status],"Active")</f>
        <v>1</v>
      </c>
      <c r="D146">
        <f>COUNTIFS(Inventory_Table[Supplier_Name],A146,Inventory_Table[Status],"Backordered")</f>
        <v>1</v>
      </c>
      <c r="E146">
        <f>COUNTIFS(Inventory_Table[Supplier_Name],A146,Inventory_Table[Status],"Discontinued")</f>
        <v>1</v>
      </c>
      <c r="F146">
        <f>SUMIF(Inventory_Table[Supplier_Name],A146,Inventory_Table[Stock_Value])</f>
        <v>1158.5999999999999</v>
      </c>
      <c r="G146" s="21">
        <f t="shared" si="2"/>
        <v>0.33333333333333337</v>
      </c>
    </row>
    <row r="147" spans="1:7" x14ac:dyDescent="0.35">
      <c r="A147" t="str">
        <v>Kwilith</v>
      </c>
      <c r="B147">
        <f>COUNTIF(Inventory_Table[Supplier_Name],A147)</f>
        <v>3</v>
      </c>
      <c r="C147">
        <f>COUNTIFS(Inventory_Table[Supplier_Name],A147,Inventory_Table[Status],"Active")</f>
        <v>1</v>
      </c>
      <c r="D147">
        <f>COUNTIFS(Inventory_Table[Supplier_Name],A147,Inventory_Table[Status],"Backordered")</f>
        <v>0</v>
      </c>
      <c r="E147">
        <f>COUNTIFS(Inventory_Table[Supplier_Name],A147,Inventory_Table[Status],"Discontinued")</f>
        <v>2</v>
      </c>
      <c r="F147">
        <f>SUMIF(Inventory_Table[Supplier_Name],A147,Inventory_Table[Stock_Value])</f>
        <v>509</v>
      </c>
      <c r="G147" s="21">
        <f t="shared" si="2"/>
        <v>0.33333333333333337</v>
      </c>
    </row>
    <row r="148" spans="1:7" x14ac:dyDescent="0.35">
      <c r="A148" t="str">
        <v>Kwimbee</v>
      </c>
      <c r="B148">
        <f>COUNTIF(Inventory_Table[Supplier_Name],A148)</f>
        <v>3</v>
      </c>
      <c r="C148">
        <f>COUNTIFS(Inventory_Table[Supplier_Name],A148,Inventory_Table[Status],"Active")</f>
        <v>1</v>
      </c>
      <c r="D148">
        <f>COUNTIFS(Inventory_Table[Supplier_Name],A148,Inventory_Table[Status],"Backordered")</f>
        <v>1</v>
      </c>
      <c r="E148">
        <f>COUNTIFS(Inventory_Table[Supplier_Name],A148,Inventory_Table[Status],"Discontinued")</f>
        <v>1</v>
      </c>
      <c r="F148">
        <f>SUMIF(Inventory_Table[Supplier_Name],A148,Inventory_Table[Stock_Value])</f>
        <v>1456</v>
      </c>
      <c r="G148" s="21">
        <f t="shared" si="2"/>
        <v>0.33333333333333337</v>
      </c>
    </row>
    <row r="149" spans="1:7" x14ac:dyDescent="0.35">
      <c r="A149" t="str">
        <v>Kwinu</v>
      </c>
      <c r="B149">
        <f>COUNTIF(Inventory_Table[Supplier_Name],A149)</f>
        <v>2</v>
      </c>
      <c r="C149">
        <f>COUNTIFS(Inventory_Table[Supplier_Name],A149,Inventory_Table[Status],"Active")</f>
        <v>1</v>
      </c>
      <c r="D149">
        <f>COUNTIFS(Inventory_Table[Supplier_Name],A149,Inventory_Table[Status],"Backordered")</f>
        <v>1</v>
      </c>
      <c r="E149">
        <f>COUNTIFS(Inventory_Table[Supplier_Name],A149,Inventory_Table[Status],"Discontinued")</f>
        <v>0</v>
      </c>
      <c r="F149">
        <f>SUMIF(Inventory_Table[Supplier_Name],A149,Inventory_Table[Stock_Value])</f>
        <v>852</v>
      </c>
      <c r="G149" s="21">
        <f t="shared" si="2"/>
        <v>0.5</v>
      </c>
    </row>
    <row r="150" spans="1:7" x14ac:dyDescent="0.35">
      <c r="A150" t="str">
        <v>Lajo</v>
      </c>
      <c r="B150">
        <f>COUNTIF(Inventory_Table[Supplier_Name],A150)</f>
        <v>4</v>
      </c>
      <c r="C150">
        <f>COUNTIFS(Inventory_Table[Supplier_Name],A150,Inventory_Table[Status],"Active")</f>
        <v>2</v>
      </c>
      <c r="D150">
        <f>COUNTIFS(Inventory_Table[Supplier_Name],A150,Inventory_Table[Status],"Backordered")</f>
        <v>1</v>
      </c>
      <c r="E150">
        <f>COUNTIFS(Inventory_Table[Supplier_Name],A150,Inventory_Table[Status],"Discontinued")</f>
        <v>1</v>
      </c>
      <c r="F150">
        <f>SUMIF(Inventory_Table[Supplier_Name],A150,Inventory_Table[Stock_Value])</f>
        <v>1462.35</v>
      </c>
      <c r="G150" s="21">
        <f t="shared" si="2"/>
        <v>0.5</v>
      </c>
    </row>
    <row r="151" spans="1:7" x14ac:dyDescent="0.35">
      <c r="A151" t="str">
        <v>Latz</v>
      </c>
      <c r="B151">
        <f>COUNTIF(Inventory_Table[Supplier_Name],A151)</f>
        <v>2</v>
      </c>
      <c r="C151">
        <f>COUNTIFS(Inventory_Table[Supplier_Name],A151,Inventory_Table[Status],"Active")</f>
        <v>1</v>
      </c>
      <c r="D151">
        <f>COUNTIFS(Inventory_Table[Supplier_Name],A151,Inventory_Table[Status],"Backordered")</f>
        <v>1</v>
      </c>
      <c r="E151">
        <f>COUNTIFS(Inventory_Table[Supplier_Name],A151,Inventory_Table[Status],"Discontinued")</f>
        <v>0</v>
      </c>
      <c r="F151">
        <f>SUMIF(Inventory_Table[Supplier_Name],A151,Inventory_Table[Stock_Value])</f>
        <v>268</v>
      </c>
      <c r="G151" s="21">
        <f t="shared" si="2"/>
        <v>0.5</v>
      </c>
    </row>
    <row r="152" spans="1:7" x14ac:dyDescent="0.35">
      <c r="A152" t="str">
        <v>Layo</v>
      </c>
      <c r="B152">
        <f>COUNTIF(Inventory_Table[Supplier_Name],A152)</f>
        <v>4</v>
      </c>
      <c r="C152">
        <f>COUNTIFS(Inventory_Table[Supplier_Name],A152,Inventory_Table[Status],"Active")</f>
        <v>2</v>
      </c>
      <c r="D152">
        <f>COUNTIFS(Inventory_Table[Supplier_Name],A152,Inventory_Table[Status],"Backordered")</f>
        <v>0</v>
      </c>
      <c r="E152">
        <f>COUNTIFS(Inventory_Table[Supplier_Name],A152,Inventory_Table[Status],"Discontinued")</f>
        <v>2</v>
      </c>
      <c r="F152">
        <f>SUMIF(Inventory_Table[Supplier_Name],A152,Inventory_Table[Stock_Value])</f>
        <v>779.6</v>
      </c>
      <c r="G152" s="21">
        <f t="shared" si="2"/>
        <v>0.5</v>
      </c>
    </row>
    <row r="153" spans="1:7" x14ac:dyDescent="0.35">
      <c r="A153" t="str">
        <v>Lazz</v>
      </c>
      <c r="B153">
        <f>COUNTIF(Inventory_Table[Supplier_Name],A153)</f>
        <v>4</v>
      </c>
      <c r="C153">
        <f>COUNTIFS(Inventory_Table[Supplier_Name],A153,Inventory_Table[Status],"Active")</f>
        <v>2</v>
      </c>
      <c r="D153">
        <f>COUNTIFS(Inventory_Table[Supplier_Name],A153,Inventory_Table[Status],"Backordered")</f>
        <v>1</v>
      </c>
      <c r="E153">
        <f>COUNTIFS(Inventory_Table[Supplier_Name],A153,Inventory_Table[Status],"Discontinued")</f>
        <v>1</v>
      </c>
      <c r="F153">
        <f>SUMIF(Inventory_Table[Supplier_Name],A153,Inventory_Table[Stock_Value])</f>
        <v>825.5</v>
      </c>
      <c r="G153" s="21">
        <f t="shared" si="2"/>
        <v>0.5</v>
      </c>
    </row>
    <row r="154" spans="1:7" x14ac:dyDescent="0.35">
      <c r="A154" t="str">
        <v>Leenti</v>
      </c>
      <c r="B154">
        <f>COUNTIF(Inventory_Table[Supplier_Name],A154)</f>
        <v>1</v>
      </c>
      <c r="C154">
        <f>COUNTIFS(Inventory_Table[Supplier_Name],A154,Inventory_Table[Status],"Active")</f>
        <v>0</v>
      </c>
      <c r="D154">
        <f>COUNTIFS(Inventory_Table[Supplier_Name],A154,Inventory_Table[Status],"Backordered")</f>
        <v>0</v>
      </c>
      <c r="E154">
        <f>COUNTIFS(Inventory_Table[Supplier_Name],A154,Inventory_Table[Status],"Discontinued")</f>
        <v>1</v>
      </c>
      <c r="F154">
        <f>SUMIF(Inventory_Table[Supplier_Name],A154,Inventory_Table[Stock_Value])</f>
        <v>337.5</v>
      </c>
      <c r="G154" s="21">
        <f t="shared" si="2"/>
        <v>0</v>
      </c>
    </row>
    <row r="155" spans="1:7" x14ac:dyDescent="0.35">
      <c r="A155" t="str">
        <v>Linkbridge</v>
      </c>
      <c r="B155">
        <f>COUNTIF(Inventory_Table[Supplier_Name],A155)</f>
        <v>2</v>
      </c>
      <c r="C155">
        <f>COUNTIFS(Inventory_Table[Supplier_Name],A155,Inventory_Table[Status],"Active")</f>
        <v>1</v>
      </c>
      <c r="D155">
        <f>COUNTIFS(Inventory_Table[Supplier_Name],A155,Inventory_Table[Status],"Backordered")</f>
        <v>1</v>
      </c>
      <c r="E155">
        <f>COUNTIFS(Inventory_Table[Supplier_Name],A155,Inventory_Table[Status],"Discontinued")</f>
        <v>0</v>
      </c>
      <c r="F155">
        <f>SUMIF(Inventory_Table[Supplier_Name],A155,Inventory_Table[Stock_Value])</f>
        <v>637</v>
      </c>
      <c r="G155" s="21">
        <f t="shared" si="2"/>
        <v>0.5</v>
      </c>
    </row>
    <row r="156" spans="1:7" x14ac:dyDescent="0.35">
      <c r="A156" t="str">
        <v>Linklinks</v>
      </c>
      <c r="B156">
        <f>COUNTIF(Inventory_Table[Supplier_Name],A156)</f>
        <v>5</v>
      </c>
      <c r="C156">
        <f>COUNTIFS(Inventory_Table[Supplier_Name],A156,Inventory_Table[Status],"Active")</f>
        <v>3</v>
      </c>
      <c r="D156">
        <f>COUNTIFS(Inventory_Table[Supplier_Name],A156,Inventory_Table[Status],"Backordered")</f>
        <v>1</v>
      </c>
      <c r="E156">
        <f>COUNTIFS(Inventory_Table[Supplier_Name],A156,Inventory_Table[Status],"Discontinued")</f>
        <v>1</v>
      </c>
      <c r="F156">
        <f>SUMIF(Inventory_Table[Supplier_Name],A156,Inventory_Table[Stock_Value])</f>
        <v>1302.5</v>
      </c>
      <c r="G156" s="21">
        <f t="shared" si="2"/>
        <v>0.6</v>
      </c>
    </row>
    <row r="157" spans="1:7" x14ac:dyDescent="0.35">
      <c r="A157" t="str">
        <v>Linktype</v>
      </c>
      <c r="B157">
        <f>COUNTIF(Inventory_Table[Supplier_Name],A157)</f>
        <v>3</v>
      </c>
      <c r="C157">
        <f>COUNTIFS(Inventory_Table[Supplier_Name],A157,Inventory_Table[Status],"Active")</f>
        <v>2</v>
      </c>
      <c r="D157">
        <f>COUNTIFS(Inventory_Table[Supplier_Name],A157,Inventory_Table[Status],"Backordered")</f>
        <v>1</v>
      </c>
      <c r="E157">
        <f>COUNTIFS(Inventory_Table[Supplier_Name],A157,Inventory_Table[Status],"Discontinued")</f>
        <v>0</v>
      </c>
      <c r="F157">
        <f>SUMIF(Inventory_Table[Supplier_Name],A157,Inventory_Table[Stock_Value])</f>
        <v>745.5</v>
      </c>
      <c r="G157" s="21">
        <f t="shared" si="2"/>
        <v>0.66666666666666674</v>
      </c>
    </row>
    <row r="158" spans="1:7" x14ac:dyDescent="0.35">
      <c r="A158" t="str">
        <v>Livefish</v>
      </c>
      <c r="B158">
        <f>COUNTIF(Inventory_Table[Supplier_Name],A158)</f>
        <v>1</v>
      </c>
      <c r="C158">
        <f>COUNTIFS(Inventory_Table[Supplier_Name],A158,Inventory_Table[Status],"Active")</f>
        <v>0</v>
      </c>
      <c r="D158">
        <f>COUNTIFS(Inventory_Table[Supplier_Name],A158,Inventory_Table[Status],"Backordered")</f>
        <v>1</v>
      </c>
      <c r="E158">
        <f>COUNTIFS(Inventory_Table[Supplier_Name],A158,Inventory_Table[Status],"Discontinued")</f>
        <v>0</v>
      </c>
      <c r="F158">
        <f>SUMIF(Inventory_Table[Supplier_Name],A158,Inventory_Table[Stock_Value])</f>
        <v>36</v>
      </c>
      <c r="G158" s="21">
        <f t="shared" si="2"/>
        <v>0</v>
      </c>
    </row>
    <row r="159" spans="1:7" x14ac:dyDescent="0.35">
      <c r="A159" t="str">
        <v>Livepath</v>
      </c>
      <c r="B159">
        <f>COUNTIF(Inventory_Table[Supplier_Name],A159)</f>
        <v>3</v>
      </c>
      <c r="C159">
        <f>COUNTIFS(Inventory_Table[Supplier_Name],A159,Inventory_Table[Status],"Active")</f>
        <v>2</v>
      </c>
      <c r="D159">
        <f>COUNTIFS(Inventory_Table[Supplier_Name],A159,Inventory_Table[Status],"Backordered")</f>
        <v>1</v>
      </c>
      <c r="E159">
        <f>COUNTIFS(Inventory_Table[Supplier_Name],A159,Inventory_Table[Status],"Discontinued")</f>
        <v>0</v>
      </c>
      <c r="F159">
        <f>SUMIF(Inventory_Table[Supplier_Name],A159,Inventory_Table[Stock_Value])</f>
        <v>576.09999999999991</v>
      </c>
      <c r="G159" s="21">
        <f t="shared" si="2"/>
        <v>0.66666666666666674</v>
      </c>
    </row>
    <row r="160" spans="1:7" x14ac:dyDescent="0.35">
      <c r="A160" t="str">
        <v>Livetube</v>
      </c>
      <c r="B160">
        <f>COUNTIF(Inventory_Table[Supplier_Name],A160)</f>
        <v>5</v>
      </c>
      <c r="C160">
        <f>COUNTIFS(Inventory_Table[Supplier_Name],A160,Inventory_Table[Status],"Active")</f>
        <v>1</v>
      </c>
      <c r="D160">
        <f>COUNTIFS(Inventory_Table[Supplier_Name],A160,Inventory_Table[Status],"Backordered")</f>
        <v>2</v>
      </c>
      <c r="E160">
        <f>COUNTIFS(Inventory_Table[Supplier_Name],A160,Inventory_Table[Status],"Discontinued")</f>
        <v>2</v>
      </c>
      <c r="F160">
        <f>SUMIF(Inventory_Table[Supplier_Name],A160,Inventory_Table[Stock_Value])</f>
        <v>820.5</v>
      </c>
      <c r="G160" s="21">
        <f t="shared" si="2"/>
        <v>0.19999999999999996</v>
      </c>
    </row>
    <row r="161" spans="1:7" x14ac:dyDescent="0.35">
      <c r="A161" t="str">
        <v>LiveZ</v>
      </c>
      <c r="B161">
        <f>COUNTIF(Inventory_Table[Supplier_Name],A161)</f>
        <v>2</v>
      </c>
      <c r="C161">
        <f>COUNTIFS(Inventory_Table[Supplier_Name],A161,Inventory_Table[Status],"Active")</f>
        <v>0</v>
      </c>
      <c r="D161">
        <f>COUNTIFS(Inventory_Table[Supplier_Name],A161,Inventory_Table[Status],"Backordered")</f>
        <v>1</v>
      </c>
      <c r="E161">
        <f>COUNTIFS(Inventory_Table[Supplier_Name],A161,Inventory_Table[Status],"Discontinued")</f>
        <v>1</v>
      </c>
      <c r="F161">
        <f>SUMIF(Inventory_Table[Supplier_Name],A161,Inventory_Table[Stock_Value])</f>
        <v>1075</v>
      </c>
      <c r="G161" s="21">
        <f t="shared" si="2"/>
        <v>0</v>
      </c>
    </row>
    <row r="162" spans="1:7" x14ac:dyDescent="0.35">
      <c r="A162" t="str">
        <v>Meedoo</v>
      </c>
      <c r="B162">
        <f>COUNTIF(Inventory_Table[Supplier_Name],A162)</f>
        <v>2</v>
      </c>
      <c r="C162">
        <f>COUNTIFS(Inventory_Table[Supplier_Name],A162,Inventory_Table[Status],"Active")</f>
        <v>0</v>
      </c>
      <c r="D162">
        <f>COUNTIFS(Inventory_Table[Supplier_Name],A162,Inventory_Table[Status],"Backordered")</f>
        <v>1</v>
      </c>
      <c r="E162">
        <f>COUNTIFS(Inventory_Table[Supplier_Name],A162,Inventory_Table[Status],"Discontinued")</f>
        <v>1</v>
      </c>
      <c r="F162">
        <f>SUMIF(Inventory_Table[Supplier_Name],A162,Inventory_Table[Stock_Value])</f>
        <v>1881</v>
      </c>
      <c r="G162" s="21">
        <f t="shared" si="2"/>
        <v>0</v>
      </c>
    </row>
    <row r="163" spans="1:7" x14ac:dyDescent="0.35">
      <c r="A163" t="str">
        <v>Meejo</v>
      </c>
      <c r="B163">
        <f>COUNTIF(Inventory_Table[Supplier_Name],A163)</f>
        <v>2</v>
      </c>
      <c r="C163">
        <f>COUNTIFS(Inventory_Table[Supplier_Name],A163,Inventory_Table[Status],"Active")</f>
        <v>0</v>
      </c>
      <c r="D163">
        <f>COUNTIFS(Inventory_Table[Supplier_Name],A163,Inventory_Table[Status],"Backordered")</f>
        <v>0</v>
      </c>
      <c r="E163">
        <f>COUNTIFS(Inventory_Table[Supplier_Name],A163,Inventory_Table[Status],"Discontinued")</f>
        <v>2</v>
      </c>
      <c r="F163">
        <f>SUMIF(Inventory_Table[Supplier_Name],A163,Inventory_Table[Stock_Value])</f>
        <v>291.89999999999998</v>
      </c>
      <c r="G163" s="21">
        <f t="shared" si="2"/>
        <v>0</v>
      </c>
    </row>
    <row r="164" spans="1:7" x14ac:dyDescent="0.35">
      <c r="A164" t="str">
        <v>Meembee</v>
      </c>
      <c r="B164">
        <f>COUNTIF(Inventory_Table[Supplier_Name],A164)</f>
        <v>3</v>
      </c>
      <c r="C164">
        <f>COUNTIFS(Inventory_Table[Supplier_Name],A164,Inventory_Table[Status],"Active")</f>
        <v>0</v>
      </c>
      <c r="D164">
        <f>COUNTIFS(Inventory_Table[Supplier_Name],A164,Inventory_Table[Status],"Backordered")</f>
        <v>1</v>
      </c>
      <c r="E164">
        <f>COUNTIFS(Inventory_Table[Supplier_Name],A164,Inventory_Table[Status],"Discontinued")</f>
        <v>2</v>
      </c>
      <c r="F164">
        <f>SUMIF(Inventory_Table[Supplier_Name],A164,Inventory_Table[Stock_Value])</f>
        <v>447.5</v>
      </c>
      <c r="G164" s="21">
        <f t="shared" si="2"/>
        <v>0</v>
      </c>
    </row>
    <row r="165" spans="1:7" x14ac:dyDescent="0.35">
      <c r="A165" t="str">
        <v>Meemm</v>
      </c>
      <c r="B165">
        <f>COUNTIF(Inventory_Table[Supplier_Name],A165)</f>
        <v>2</v>
      </c>
      <c r="C165">
        <f>COUNTIFS(Inventory_Table[Supplier_Name],A165,Inventory_Table[Status],"Active")</f>
        <v>1</v>
      </c>
      <c r="D165">
        <f>COUNTIFS(Inventory_Table[Supplier_Name],A165,Inventory_Table[Status],"Backordered")</f>
        <v>1</v>
      </c>
      <c r="E165">
        <f>COUNTIFS(Inventory_Table[Supplier_Name],A165,Inventory_Table[Status],"Discontinued")</f>
        <v>0</v>
      </c>
      <c r="F165">
        <f>SUMIF(Inventory_Table[Supplier_Name],A165,Inventory_Table[Stock_Value])</f>
        <v>650</v>
      </c>
      <c r="G165" s="21">
        <f t="shared" si="2"/>
        <v>0.5</v>
      </c>
    </row>
    <row r="166" spans="1:7" x14ac:dyDescent="0.35">
      <c r="A166" t="str">
        <v>Meetz</v>
      </c>
      <c r="B166">
        <f>COUNTIF(Inventory_Table[Supplier_Name],A166)</f>
        <v>1</v>
      </c>
      <c r="C166">
        <f>COUNTIFS(Inventory_Table[Supplier_Name],A166,Inventory_Table[Status],"Active")</f>
        <v>0</v>
      </c>
      <c r="D166">
        <f>COUNTIFS(Inventory_Table[Supplier_Name],A166,Inventory_Table[Status],"Backordered")</f>
        <v>0</v>
      </c>
      <c r="E166">
        <f>COUNTIFS(Inventory_Table[Supplier_Name],A166,Inventory_Table[Status],"Discontinued")</f>
        <v>1</v>
      </c>
      <c r="F166">
        <f>SUMIF(Inventory_Table[Supplier_Name],A166,Inventory_Table[Stock_Value])</f>
        <v>400.5</v>
      </c>
      <c r="G166" s="21">
        <f t="shared" si="2"/>
        <v>0</v>
      </c>
    </row>
    <row r="167" spans="1:7" x14ac:dyDescent="0.35">
      <c r="A167" t="str">
        <v>Meevee</v>
      </c>
      <c r="B167">
        <f>COUNTIF(Inventory_Table[Supplier_Name],A167)</f>
        <v>10</v>
      </c>
      <c r="C167">
        <f>COUNTIFS(Inventory_Table[Supplier_Name],A167,Inventory_Table[Status],"Active")</f>
        <v>1</v>
      </c>
      <c r="D167">
        <f>COUNTIFS(Inventory_Table[Supplier_Name],A167,Inventory_Table[Status],"Backordered")</f>
        <v>8</v>
      </c>
      <c r="E167">
        <f>COUNTIFS(Inventory_Table[Supplier_Name],A167,Inventory_Table[Status],"Discontinued")</f>
        <v>1</v>
      </c>
      <c r="F167">
        <f>SUMIF(Inventory_Table[Supplier_Name],A167,Inventory_Table[Stock_Value])</f>
        <v>1943.35</v>
      </c>
      <c r="G167" s="21">
        <f t="shared" si="2"/>
        <v>9.9999999999999978E-2</v>
      </c>
    </row>
    <row r="168" spans="1:7" x14ac:dyDescent="0.35">
      <c r="A168" t="str">
        <v>Meeveo</v>
      </c>
      <c r="B168">
        <f>COUNTIF(Inventory_Table[Supplier_Name],A168)</f>
        <v>4</v>
      </c>
      <c r="C168">
        <f>COUNTIFS(Inventory_Table[Supplier_Name],A168,Inventory_Table[Status],"Active")</f>
        <v>2</v>
      </c>
      <c r="D168">
        <f>COUNTIFS(Inventory_Table[Supplier_Name],A168,Inventory_Table[Status],"Backordered")</f>
        <v>0</v>
      </c>
      <c r="E168">
        <f>COUNTIFS(Inventory_Table[Supplier_Name],A168,Inventory_Table[Status],"Discontinued")</f>
        <v>2</v>
      </c>
      <c r="F168">
        <f>SUMIF(Inventory_Table[Supplier_Name],A168,Inventory_Table[Stock_Value])</f>
        <v>4208.54</v>
      </c>
      <c r="G168" s="21">
        <f t="shared" si="2"/>
        <v>0.5</v>
      </c>
    </row>
    <row r="169" spans="1:7" x14ac:dyDescent="0.35">
      <c r="A169" t="str">
        <v>Meezzy</v>
      </c>
      <c r="B169">
        <f>COUNTIF(Inventory_Table[Supplier_Name],A169)</f>
        <v>1</v>
      </c>
      <c r="C169">
        <f>COUNTIFS(Inventory_Table[Supplier_Name],A169,Inventory_Table[Status],"Active")</f>
        <v>1</v>
      </c>
      <c r="D169">
        <f>COUNTIFS(Inventory_Table[Supplier_Name],A169,Inventory_Table[Status],"Backordered")</f>
        <v>0</v>
      </c>
      <c r="E169">
        <f>COUNTIFS(Inventory_Table[Supplier_Name],A169,Inventory_Table[Status],"Discontinued")</f>
        <v>0</v>
      </c>
      <c r="F169">
        <f>SUMIF(Inventory_Table[Supplier_Name],A169,Inventory_Table[Stock_Value])</f>
        <v>272.60000000000002</v>
      </c>
      <c r="G169" s="21">
        <f t="shared" si="2"/>
        <v>1</v>
      </c>
    </row>
    <row r="170" spans="1:7" x14ac:dyDescent="0.35">
      <c r="A170" t="str">
        <v>Miboo</v>
      </c>
      <c r="B170">
        <f>COUNTIF(Inventory_Table[Supplier_Name],A170)</f>
        <v>3</v>
      </c>
      <c r="C170">
        <f>COUNTIFS(Inventory_Table[Supplier_Name],A170,Inventory_Table[Status],"Active")</f>
        <v>0</v>
      </c>
      <c r="D170">
        <f>COUNTIFS(Inventory_Table[Supplier_Name],A170,Inventory_Table[Status],"Backordered")</f>
        <v>1</v>
      </c>
      <c r="E170">
        <f>COUNTIFS(Inventory_Table[Supplier_Name],A170,Inventory_Table[Status],"Discontinued")</f>
        <v>2</v>
      </c>
      <c r="F170">
        <f>SUMIF(Inventory_Table[Supplier_Name],A170,Inventory_Table[Stock_Value])</f>
        <v>340.75</v>
      </c>
      <c r="G170" s="21">
        <f t="shared" si="2"/>
        <v>0</v>
      </c>
    </row>
    <row r="171" spans="1:7" x14ac:dyDescent="0.35">
      <c r="A171" t="str">
        <v>Midel</v>
      </c>
      <c r="B171">
        <f>COUNTIF(Inventory_Table[Supplier_Name],A171)</f>
        <v>3</v>
      </c>
      <c r="C171">
        <f>COUNTIFS(Inventory_Table[Supplier_Name],A171,Inventory_Table[Status],"Active")</f>
        <v>2</v>
      </c>
      <c r="D171">
        <f>COUNTIFS(Inventory_Table[Supplier_Name],A171,Inventory_Table[Status],"Backordered")</f>
        <v>0</v>
      </c>
      <c r="E171">
        <f>COUNTIFS(Inventory_Table[Supplier_Name],A171,Inventory_Table[Status],"Discontinued")</f>
        <v>1</v>
      </c>
      <c r="F171">
        <f>SUMIF(Inventory_Table[Supplier_Name],A171,Inventory_Table[Stock_Value])</f>
        <v>1199</v>
      </c>
      <c r="G171" s="21">
        <f t="shared" si="2"/>
        <v>0.66666666666666674</v>
      </c>
    </row>
    <row r="172" spans="1:7" x14ac:dyDescent="0.35">
      <c r="A172" t="str">
        <v>Mudo</v>
      </c>
      <c r="B172">
        <f>COUNTIF(Inventory_Table[Supplier_Name],A172)</f>
        <v>3</v>
      </c>
      <c r="C172">
        <f>COUNTIFS(Inventory_Table[Supplier_Name],A172,Inventory_Table[Status],"Active")</f>
        <v>1</v>
      </c>
      <c r="D172">
        <f>COUNTIFS(Inventory_Table[Supplier_Name],A172,Inventory_Table[Status],"Backordered")</f>
        <v>2</v>
      </c>
      <c r="E172">
        <f>COUNTIFS(Inventory_Table[Supplier_Name],A172,Inventory_Table[Status],"Discontinued")</f>
        <v>0</v>
      </c>
      <c r="F172">
        <f>SUMIF(Inventory_Table[Supplier_Name],A172,Inventory_Table[Stock_Value])</f>
        <v>415.25</v>
      </c>
      <c r="G172" s="21">
        <f t="shared" si="2"/>
        <v>0.33333333333333337</v>
      </c>
    </row>
    <row r="173" spans="1:7" x14ac:dyDescent="0.35">
      <c r="A173" t="str">
        <v>Muxo</v>
      </c>
      <c r="B173">
        <f>COUNTIF(Inventory_Table[Supplier_Name],A173)</f>
        <v>1</v>
      </c>
      <c r="C173">
        <f>COUNTIFS(Inventory_Table[Supplier_Name],A173,Inventory_Table[Status],"Active")</f>
        <v>0</v>
      </c>
      <c r="D173">
        <f>COUNTIFS(Inventory_Table[Supplier_Name],A173,Inventory_Table[Status],"Backordered")</f>
        <v>0</v>
      </c>
      <c r="E173">
        <f>COUNTIFS(Inventory_Table[Supplier_Name],A173,Inventory_Table[Status],"Discontinued")</f>
        <v>1</v>
      </c>
      <c r="F173">
        <f>SUMIF(Inventory_Table[Supplier_Name],A173,Inventory_Table[Stock_Value])</f>
        <v>110</v>
      </c>
      <c r="G173" s="21">
        <f t="shared" si="2"/>
        <v>0</v>
      </c>
    </row>
    <row r="174" spans="1:7" x14ac:dyDescent="0.35">
      <c r="A174" t="str">
        <v>Mybuzz</v>
      </c>
      <c r="B174">
        <f>COUNTIF(Inventory_Table[Supplier_Name],A174)</f>
        <v>6</v>
      </c>
      <c r="C174">
        <f>COUNTIFS(Inventory_Table[Supplier_Name],A174,Inventory_Table[Status],"Active")</f>
        <v>3</v>
      </c>
      <c r="D174">
        <f>COUNTIFS(Inventory_Table[Supplier_Name],A174,Inventory_Table[Status],"Backordered")</f>
        <v>0</v>
      </c>
      <c r="E174">
        <f>COUNTIFS(Inventory_Table[Supplier_Name],A174,Inventory_Table[Status],"Discontinued")</f>
        <v>3</v>
      </c>
      <c r="F174">
        <f>SUMIF(Inventory_Table[Supplier_Name],A174,Inventory_Table[Stock_Value])</f>
        <v>1778.5</v>
      </c>
      <c r="G174" s="21">
        <f t="shared" si="2"/>
        <v>0.5</v>
      </c>
    </row>
    <row r="175" spans="1:7" x14ac:dyDescent="0.35">
      <c r="A175" t="str">
        <v>Mycat</v>
      </c>
      <c r="B175">
        <f>COUNTIF(Inventory_Table[Supplier_Name],A175)</f>
        <v>1</v>
      </c>
      <c r="C175">
        <f>COUNTIFS(Inventory_Table[Supplier_Name],A175,Inventory_Table[Status],"Active")</f>
        <v>1</v>
      </c>
      <c r="D175">
        <f>COUNTIFS(Inventory_Table[Supplier_Name],A175,Inventory_Table[Status],"Backordered")</f>
        <v>0</v>
      </c>
      <c r="E175">
        <f>COUNTIFS(Inventory_Table[Supplier_Name],A175,Inventory_Table[Status],"Discontinued")</f>
        <v>0</v>
      </c>
      <c r="F175">
        <f>SUMIF(Inventory_Table[Supplier_Name],A175,Inventory_Table[Stock_Value])</f>
        <v>1185</v>
      </c>
      <c r="G175" s="21">
        <f t="shared" si="2"/>
        <v>1</v>
      </c>
    </row>
    <row r="176" spans="1:7" x14ac:dyDescent="0.35">
      <c r="A176" t="str">
        <v>Mydeo</v>
      </c>
      <c r="B176">
        <f>COUNTIF(Inventory_Table[Supplier_Name],A176)</f>
        <v>4</v>
      </c>
      <c r="C176">
        <f>COUNTIFS(Inventory_Table[Supplier_Name],A176,Inventory_Table[Status],"Active")</f>
        <v>0</v>
      </c>
      <c r="D176">
        <f>COUNTIFS(Inventory_Table[Supplier_Name],A176,Inventory_Table[Status],"Backordered")</f>
        <v>2</v>
      </c>
      <c r="E176">
        <f>COUNTIFS(Inventory_Table[Supplier_Name],A176,Inventory_Table[Status],"Discontinued")</f>
        <v>2</v>
      </c>
      <c r="F176">
        <f>SUMIF(Inventory_Table[Supplier_Name],A176,Inventory_Table[Stock_Value])</f>
        <v>1270.8</v>
      </c>
      <c r="G176" s="21">
        <f t="shared" si="2"/>
        <v>0</v>
      </c>
    </row>
    <row r="177" spans="1:7" x14ac:dyDescent="0.35">
      <c r="A177" t="str">
        <v>Mydo</v>
      </c>
      <c r="B177">
        <f>COUNTIF(Inventory_Table[Supplier_Name],A177)</f>
        <v>3</v>
      </c>
      <c r="C177">
        <f>COUNTIFS(Inventory_Table[Supplier_Name],A177,Inventory_Table[Status],"Active")</f>
        <v>2</v>
      </c>
      <c r="D177">
        <f>COUNTIFS(Inventory_Table[Supplier_Name],A177,Inventory_Table[Status],"Backordered")</f>
        <v>1</v>
      </c>
      <c r="E177">
        <f>COUNTIFS(Inventory_Table[Supplier_Name],A177,Inventory_Table[Status],"Discontinued")</f>
        <v>0</v>
      </c>
      <c r="F177">
        <f>SUMIF(Inventory_Table[Supplier_Name],A177,Inventory_Table[Stock_Value])</f>
        <v>649</v>
      </c>
      <c r="G177" s="21">
        <f t="shared" si="2"/>
        <v>0.66666666666666674</v>
      </c>
    </row>
    <row r="178" spans="1:7" x14ac:dyDescent="0.35">
      <c r="A178" t="str">
        <v>Mymm</v>
      </c>
      <c r="B178">
        <f>COUNTIF(Inventory_Table[Supplier_Name],A178)</f>
        <v>1</v>
      </c>
      <c r="C178">
        <f>COUNTIFS(Inventory_Table[Supplier_Name],A178,Inventory_Table[Status],"Active")</f>
        <v>1</v>
      </c>
      <c r="D178">
        <f>COUNTIFS(Inventory_Table[Supplier_Name],A178,Inventory_Table[Status],"Backordered")</f>
        <v>0</v>
      </c>
      <c r="E178">
        <f>COUNTIFS(Inventory_Table[Supplier_Name],A178,Inventory_Table[Status],"Discontinued")</f>
        <v>0</v>
      </c>
      <c r="F178">
        <f>SUMIF(Inventory_Table[Supplier_Name],A178,Inventory_Table[Stock_Value])</f>
        <v>740</v>
      </c>
      <c r="G178" s="21">
        <f t="shared" si="2"/>
        <v>1</v>
      </c>
    </row>
    <row r="179" spans="1:7" x14ac:dyDescent="0.35">
      <c r="A179" t="str">
        <v>Mynte</v>
      </c>
      <c r="B179">
        <f>COUNTIF(Inventory_Table[Supplier_Name],A179)</f>
        <v>3</v>
      </c>
      <c r="C179">
        <f>COUNTIFS(Inventory_Table[Supplier_Name],A179,Inventory_Table[Status],"Active")</f>
        <v>1</v>
      </c>
      <c r="D179">
        <f>COUNTIFS(Inventory_Table[Supplier_Name],A179,Inventory_Table[Status],"Backordered")</f>
        <v>2</v>
      </c>
      <c r="E179">
        <f>COUNTIFS(Inventory_Table[Supplier_Name],A179,Inventory_Table[Status],"Discontinued")</f>
        <v>0</v>
      </c>
      <c r="F179">
        <f>SUMIF(Inventory_Table[Supplier_Name],A179,Inventory_Table[Stock_Value])</f>
        <v>2084.5</v>
      </c>
      <c r="G179" s="21">
        <f t="shared" si="2"/>
        <v>0.33333333333333337</v>
      </c>
    </row>
    <row r="180" spans="1:7" x14ac:dyDescent="0.35">
      <c r="A180" t="str">
        <v>Myworks</v>
      </c>
      <c r="B180">
        <f>COUNTIF(Inventory_Table[Supplier_Name],A180)</f>
        <v>1</v>
      </c>
      <c r="C180">
        <f>COUNTIFS(Inventory_Table[Supplier_Name],A180,Inventory_Table[Status],"Active")</f>
        <v>0</v>
      </c>
      <c r="D180">
        <f>COUNTIFS(Inventory_Table[Supplier_Name],A180,Inventory_Table[Status],"Backordered")</f>
        <v>1</v>
      </c>
      <c r="E180">
        <f>COUNTIFS(Inventory_Table[Supplier_Name],A180,Inventory_Table[Status],"Discontinued")</f>
        <v>0</v>
      </c>
      <c r="F180">
        <f>SUMIF(Inventory_Table[Supplier_Name],A180,Inventory_Table[Stock_Value])</f>
        <v>810</v>
      </c>
      <c r="G180" s="21">
        <f t="shared" si="2"/>
        <v>0</v>
      </c>
    </row>
    <row r="181" spans="1:7" x14ac:dyDescent="0.35">
      <c r="A181" t="str">
        <v>Npath</v>
      </c>
      <c r="B181">
        <f>COUNTIF(Inventory_Table[Supplier_Name],A181)</f>
        <v>2</v>
      </c>
      <c r="C181">
        <f>COUNTIFS(Inventory_Table[Supplier_Name],A181,Inventory_Table[Status],"Active")</f>
        <v>1</v>
      </c>
      <c r="D181">
        <f>COUNTIFS(Inventory_Table[Supplier_Name],A181,Inventory_Table[Status],"Backordered")</f>
        <v>0</v>
      </c>
      <c r="E181">
        <f>COUNTIFS(Inventory_Table[Supplier_Name],A181,Inventory_Table[Status],"Discontinued")</f>
        <v>1</v>
      </c>
      <c r="F181">
        <f>SUMIF(Inventory_Table[Supplier_Name],A181,Inventory_Table[Stock_Value])</f>
        <v>464.1</v>
      </c>
      <c r="G181" s="21">
        <f t="shared" si="2"/>
        <v>0.5</v>
      </c>
    </row>
    <row r="182" spans="1:7" x14ac:dyDescent="0.35">
      <c r="A182" t="str">
        <v>Ntag</v>
      </c>
      <c r="B182">
        <f>COUNTIF(Inventory_Table[Supplier_Name],A182)</f>
        <v>2</v>
      </c>
      <c r="C182">
        <f>COUNTIFS(Inventory_Table[Supplier_Name],A182,Inventory_Table[Status],"Active")</f>
        <v>1</v>
      </c>
      <c r="D182">
        <f>COUNTIFS(Inventory_Table[Supplier_Name],A182,Inventory_Table[Status],"Backordered")</f>
        <v>0</v>
      </c>
      <c r="E182">
        <f>COUNTIFS(Inventory_Table[Supplier_Name],A182,Inventory_Table[Status],"Discontinued")</f>
        <v>1</v>
      </c>
      <c r="F182">
        <f>SUMIF(Inventory_Table[Supplier_Name],A182,Inventory_Table[Stock_Value])</f>
        <v>915.6</v>
      </c>
      <c r="G182" s="21">
        <f t="shared" si="2"/>
        <v>0.5</v>
      </c>
    </row>
    <row r="183" spans="1:7" x14ac:dyDescent="0.35">
      <c r="A183" t="str">
        <v>Ntags</v>
      </c>
      <c r="B183">
        <f>COUNTIF(Inventory_Table[Supplier_Name],A183)</f>
        <v>2</v>
      </c>
      <c r="C183">
        <f>COUNTIFS(Inventory_Table[Supplier_Name],A183,Inventory_Table[Status],"Active")</f>
        <v>1</v>
      </c>
      <c r="D183">
        <f>COUNTIFS(Inventory_Table[Supplier_Name],A183,Inventory_Table[Status],"Backordered")</f>
        <v>0</v>
      </c>
      <c r="E183">
        <f>COUNTIFS(Inventory_Table[Supplier_Name],A183,Inventory_Table[Status],"Discontinued")</f>
        <v>1</v>
      </c>
      <c r="F183">
        <f>SUMIF(Inventory_Table[Supplier_Name],A183,Inventory_Table[Stock_Value])</f>
        <v>110.4</v>
      </c>
      <c r="G183" s="21">
        <f t="shared" si="2"/>
        <v>0.5</v>
      </c>
    </row>
    <row r="184" spans="1:7" x14ac:dyDescent="0.35">
      <c r="A184" t="str">
        <v>Oba</v>
      </c>
      <c r="B184">
        <f>COUNTIF(Inventory_Table[Supplier_Name],A184)</f>
        <v>3</v>
      </c>
      <c r="C184">
        <f>COUNTIFS(Inventory_Table[Supplier_Name],A184,Inventory_Table[Status],"Active")</f>
        <v>0</v>
      </c>
      <c r="D184">
        <f>COUNTIFS(Inventory_Table[Supplier_Name],A184,Inventory_Table[Status],"Backordered")</f>
        <v>2</v>
      </c>
      <c r="E184">
        <f>COUNTIFS(Inventory_Table[Supplier_Name],A184,Inventory_Table[Status],"Discontinued")</f>
        <v>1</v>
      </c>
      <c r="F184">
        <f>SUMIF(Inventory_Table[Supplier_Name],A184,Inventory_Table[Stock_Value])</f>
        <v>455.5</v>
      </c>
      <c r="G184" s="21">
        <f t="shared" si="2"/>
        <v>0</v>
      </c>
    </row>
    <row r="185" spans="1:7" x14ac:dyDescent="0.35">
      <c r="A185" t="str">
        <v>Oloo</v>
      </c>
      <c r="B185">
        <f>COUNTIF(Inventory_Table[Supplier_Name],A185)</f>
        <v>2</v>
      </c>
      <c r="C185">
        <f>COUNTIFS(Inventory_Table[Supplier_Name],A185,Inventory_Table[Status],"Active")</f>
        <v>0</v>
      </c>
      <c r="D185">
        <f>COUNTIFS(Inventory_Table[Supplier_Name],A185,Inventory_Table[Status],"Backordered")</f>
        <v>0</v>
      </c>
      <c r="E185">
        <f>COUNTIFS(Inventory_Table[Supplier_Name],A185,Inventory_Table[Status],"Discontinued")</f>
        <v>2</v>
      </c>
      <c r="F185">
        <f>SUMIF(Inventory_Table[Supplier_Name],A185,Inventory_Table[Stock_Value])</f>
        <v>252</v>
      </c>
      <c r="G185" s="21">
        <f t="shared" si="2"/>
        <v>0</v>
      </c>
    </row>
    <row r="186" spans="1:7" x14ac:dyDescent="0.35">
      <c r="A186" t="str">
        <v>Omba</v>
      </c>
      <c r="B186">
        <f>COUNTIF(Inventory_Table[Supplier_Name],A186)</f>
        <v>5</v>
      </c>
      <c r="C186">
        <f>COUNTIFS(Inventory_Table[Supplier_Name],A186,Inventory_Table[Status],"Active")</f>
        <v>1</v>
      </c>
      <c r="D186">
        <f>COUNTIFS(Inventory_Table[Supplier_Name],A186,Inventory_Table[Status],"Backordered")</f>
        <v>2</v>
      </c>
      <c r="E186">
        <f>COUNTIFS(Inventory_Table[Supplier_Name],A186,Inventory_Table[Status],"Discontinued")</f>
        <v>2</v>
      </c>
      <c r="F186">
        <f>SUMIF(Inventory_Table[Supplier_Name],A186,Inventory_Table[Stock_Value])</f>
        <v>1252</v>
      </c>
      <c r="G186" s="21">
        <f t="shared" si="2"/>
        <v>0.19999999999999996</v>
      </c>
    </row>
    <row r="187" spans="1:7" x14ac:dyDescent="0.35">
      <c r="A187" t="str">
        <v>Ooba</v>
      </c>
      <c r="B187">
        <f>COUNTIF(Inventory_Table[Supplier_Name],A187)</f>
        <v>2</v>
      </c>
      <c r="C187">
        <f>COUNTIFS(Inventory_Table[Supplier_Name],A187,Inventory_Table[Status],"Active")</f>
        <v>1</v>
      </c>
      <c r="D187">
        <f>COUNTIFS(Inventory_Table[Supplier_Name],A187,Inventory_Table[Status],"Backordered")</f>
        <v>0</v>
      </c>
      <c r="E187">
        <f>COUNTIFS(Inventory_Table[Supplier_Name],A187,Inventory_Table[Status],"Discontinued")</f>
        <v>1</v>
      </c>
      <c r="F187">
        <f>SUMIF(Inventory_Table[Supplier_Name],A187,Inventory_Table[Stock_Value])</f>
        <v>272</v>
      </c>
      <c r="G187" s="21">
        <f t="shared" si="2"/>
        <v>0.5</v>
      </c>
    </row>
    <row r="188" spans="1:7" x14ac:dyDescent="0.35">
      <c r="A188" t="str">
        <v>Oozz</v>
      </c>
      <c r="B188">
        <f>COUNTIF(Inventory_Table[Supplier_Name],A188)</f>
        <v>2</v>
      </c>
      <c r="C188">
        <f>COUNTIFS(Inventory_Table[Supplier_Name],A188,Inventory_Table[Status],"Active")</f>
        <v>1</v>
      </c>
      <c r="D188">
        <f>COUNTIFS(Inventory_Table[Supplier_Name],A188,Inventory_Table[Status],"Backordered")</f>
        <v>1</v>
      </c>
      <c r="E188">
        <f>COUNTIFS(Inventory_Table[Supplier_Name],A188,Inventory_Table[Status],"Discontinued")</f>
        <v>0</v>
      </c>
      <c r="F188">
        <f>SUMIF(Inventory_Table[Supplier_Name],A188,Inventory_Table[Stock_Value])</f>
        <v>1218</v>
      </c>
      <c r="G188" s="21">
        <f t="shared" si="2"/>
        <v>0.5</v>
      </c>
    </row>
    <row r="189" spans="1:7" x14ac:dyDescent="0.35">
      <c r="A189" t="str">
        <v>Oyoba</v>
      </c>
      <c r="B189">
        <f>COUNTIF(Inventory_Table[Supplier_Name],A189)</f>
        <v>1</v>
      </c>
      <c r="C189">
        <f>COUNTIFS(Inventory_Table[Supplier_Name],A189,Inventory_Table[Status],"Active")</f>
        <v>0</v>
      </c>
      <c r="D189">
        <f>COUNTIFS(Inventory_Table[Supplier_Name],A189,Inventory_Table[Status],"Backordered")</f>
        <v>1</v>
      </c>
      <c r="E189">
        <f>COUNTIFS(Inventory_Table[Supplier_Name],A189,Inventory_Table[Status],"Discontinued")</f>
        <v>0</v>
      </c>
      <c r="F189">
        <f>SUMIF(Inventory_Table[Supplier_Name],A189,Inventory_Table[Stock_Value])</f>
        <v>189</v>
      </c>
      <c r="G189" s="21">
        <f t="shared" si="2"/>
        <v>0</v>
      </c>
    </row>
    <row r="190" spans="1:7" x14ac:dyDescent="0.35">
      <c r="A190" t="str">
        <v>Oyoloo</v>
      </c>
      <c r="B190">
        <f>COUNTIF(Inventory_Table[Supplier_Name],A190)</f>
        <v>3</v>
      </c>
      <c r="C190">
        <f>COUNTIFS(Inventory_Table[Supplier_Name],A190,Inventory_Table[Status],"Active")</f>
        <v>1</v>
      </c>
      <c r="D190">
        <f>COUNTIFS(Inventory_Table[Supplier_Name],A190,Inventory_Table[Status],"Backordered")</f>
        <v>1</v>
      </c>
      <c r="E190">
        <f>COUNTIFS(Inventory_Table[Supplier_Name],A190,Inventory_Table[Status],"Discontinued")</f>
        <v>1</v>
      </c>
      <c r="F190">
        <f>SUMIF(Inventory_Table[Supplier_Name],A190,Inventory_Table[Stock_Value])</f>
        <v>486.8</v>
      </c>
      <c r="G190" s="21">
        <f t="shared" si="2"/>
        <v>0.33333333333333337</v>
      </c>
    </row>
    <row r="191" spans="1:7" x14ac:dyDescent="0.35">
      <c r="A191" t="str">
        <v>Oyonder</v>
      </c>
      <c r="B191">
        <f>COUNTIF(Inventory_Table[Supplier_Name],A191)</f>
        <v>1</v>
      </c>
      <c r="C191">
        <f>COUNTIFS(Inventory_Table[Supplier_Name],A191,Inventory_Table[Status],"Active")</f>
        <v>0</v>
      </c>
      <c r="D191">
        <f>COUNTIFS(Inventory_Table[Supplier_Name],A191,Inventory_Table[Status],"Backordered")</f>
        <v>1</v>
      </c>
      <c r="E191">
        <f>COUNTIFS(Inventory_Table[Supplier_Name],A191,Inventory_Table[Status],"Discontinued")</f>
        <v>0</v>
      </c>
      <c r="F191">
        <f>SUMIF(Inventory_Table[Supplier_Name],A191,Inventory_Table[Stock_Value])</f>
        <v>756.5</v>
      </c>
      <c r="G191" s="21">
        <f t="shared" si="2"/>
        <v>0</v>
      </c>
    </row>
    <row r="192" spans="1:7" x14ac:dyDescent="0.35">
      <c r="A192" t="str">
        <v>Oyondu</v>
      </c>
      <c r="B192">
        <f>COUNTIF(Inventory_Table[Supplier_Name],A192)</f>
        <v>4</v>
      </c>
      <c r="C192">
        <f>COUNTIFS(Inventory_Table[Supplier_Name],A192,Inventory_Table[Status],"Active")</f>
        <v>1</v>
      </c>
      <c r="D192">
        <f>COUNTIFS(Inventory_Table[Supplier_Name],A192,Inventory_Table[Status],"Backordered")</f>
        <v>1</v>
      </c>
      <c r="E192">
        <f>COUNTIFS(Inventory_Table[Supplier_Name],A192,Inventory_Table[Status],"Discontinued")</f>
        <v>2</v>
      </c>
      <c r="F192">
        <f>SUMIF(Inventory_Table[Supplier_Name],A192,Inventory_Table[Stock_Value])</f>
        <v>632.29999999999995</v>
      </c>
      <c r="G192" s="21">
        <f t="shared" si="2"/>
        <v>0.25</v>
      </c>
    </row>
    <row r="193" spans="1:7" x14ac:dyDescent="0.35">
      <c r="A193" t="str">
        <v>Oyoyo</v>
      </c>
      <c r="B193">
        <f>COUNTIF(Inventory_Table[Supplier_Name],A193)</f>
        <v>2</v>
      </c>
      <c r="C193">
        <f>COUNTIFS(Inventory_Table[Supplier_Name],A193,Inventory_Table[Status],"Active")</f>
        <v>1</v>
      </c>
      <c r="D193">
        <f>COUNTIFS(Inventory_Table[Supplier_Name],A193,Inventory_Table[Status],"Backordered")</f>
        <v>0</v>
      </c>
      <c r="E193">
        <f>COUNTIFS(Inventory_Table[Supplier_Name],A193,Inventory_Table[Status],"Discontinued")</f>
        <v>1</v>
      </c>
      <c r="F193">
        <f>SUMIF(Inventory_Table[Supplier_Name],A193,Inventory_Table[Stock_Value])</f>
        <v>756</v>
      </c>
      <c r="G193" s="21">
        <f t="shared" si="2"/>
        <v>0.5</v>
      </c>
    </row>
    <row r="194" spans="1:7" x14ac:dyDescent="0.35">
      <c r="A194" t="str">
        <v>Ozu</v>
      </c>
      <c r="B194">
        <f>COUNTIF(Inventory_Table[Supplier_Name],A194)</f>
        <v>4</v>
      </c>
      <c r="C194">
        <f>COUNTIFS(Inventory_Table[Supplier_Name],A194,Inventory_Table[Status],"Active")</f>
        <v>1</v>
      </c>
      <c r="D194">
        <f>COUNTIFS(Inventory_Table[Supplier_Name],A194,Inventory_Table[Status],"Backordered")</f>
        <v>1</v>
      </c>
      <c r="E194">
        <f>COUNTIFS(Inventory_Table[Supplier_Name],A194,Inventory_Table[Status],"Discontinued")</f>
        <v>2</v>
      </c>
      <c r="F194">
        <f>SUMIF(Inventory_Table[Supplier_Name],A194,Inventory_Table[Stock_Value])</f>
        <v>1152.5</v>
      </c>
      <c r="G194" s="21">
        <f t="shared" si="2"/>
        <v>0.25</v>
      </c>
    </row>
    <row r="195" spans="1:7" x14ac:dyDescent="0.35">
      <c r="A195" t="str">
        <v>Photobean</v>
      </c>
      <c r="B195">
        <f>COUNTIF(Inventory_Table[Supplier_Name],A195)</f>
        <v>4</v>
      </c>
      <c r="C195">
        <f>COUNTIFS(Inventory_Table[Supplier_Name],A195,Inventory_Table[Status],"Active")</f>
        <v>1</v>
      </c>
      <c r="D195">
        <f>COUNTIFS(Inventory_Table[Supplier_Name],A195,Inventory_Table[Status],"Backordered")</f>
        <v>2</v>
      </c>
      <c r="E195">
        <f>COUNTIFS(Inventory_Table[Supplier_Name],A195,Inventory_Table[Status],"Discontinued")</f>
        <v>1</v>
      </c>
      <c r="F195">
        <f>SUMIF(Inventory_Table[Supplier_Name],A195,Inventory_Table[Stock_Value])</f>
        <v>681</v>
      </c>
      <c r="G195" s="21">
        <f t="shared" ref="G195:G258" si="3">1-(D195+E195)/B195</f>
        <v>0.25</v>
      </c>
    </row>
    <row r="196" spans="1:7" x14ac:dyDescent="0.35">
      <c r="A196" t="str">
        <v>Photobug</v>
      </c>
      <c r="B196">
        <f>COUNTIF(Inventory_Table[Supplier_Name],A196)</f>
        <v>7</v>
      </c>
      <c r="C196">
        <f>COUNTIFS(Inventory_Table[Supplier_Name],A196,Inventory_Table[Status],"Active")</f>
        <v>2</v>
      </c>
      <c r="D196">
        <f>COUNTIFS(Inventory_Table[Supplier_Name],A196,Inventory_Table[Status],"Backordered")</f>
        <v>4</v>
      </c>
      <c r="E196">
        <f>COUNTIFS(Inventory_Table[Supplier_Name],A196,Inventory_Table[Status],"Discontinued")</f>
        <v>1</v>
      </c>
      <c r="F196">
        <f>SUMIF(Inventory_Table[Supplier_Name],A196,Inventory_Table[Stock_Value])</f>
        <v>1337</v>
      </c>
      <c r="G196" s="21">
        <f t="shared" si="3"/>
        <v>0.2857142857142857</v>
      </c>
    </row>
    <row r="197" spans="1:7" x14ac:dyDescent="0.35">
      <c r="A197" t="str">
        <v>Photofeed</v>
      </c>
      <c r="B197">
        <f>COUNTIF(Inventory_Table[Supplier_Name],A197)</f>
        <v>2</v>
      </c>
      <c r="C197">
        <f>COUNTIFS(Inventory_Table[Supplier_Name],A197,Inventory_Table[Status],"Active")</f>
        <v>0</v>
      </c>
      <c r="D197">
        <f>COUNTIFS(Inventory_Table[Supplier_Name],A197,Inventory_Table[Status],"Backordered")</f>
        <v>1</v>
      </c>
      <c r="E197">
        <f>COUNTIFS(Inventory_Table[Supplier_Name],A197,Inventory_Table[Status],"Discontinued")</f>
        <v>1</v>
      </c>
      <c r="F197">
        <f>SUMIF(Inventory_Table[Supplier_Name],A197,Inventory_Table[Stock_Value])</f>
        <v>680</v>
      </c>
      <c r="G197" s="21">
        <f t="shared" si="3"/>
        <v>0</v>
      </c>
    </row>
    <row r="198" spans="1:7" x14ac:dyDescent="0.35">
      <c r="A198" t="str">
        <v>Photojam</v>
      </c>
      <c r="B198">
        <f>COUNTIF(Inventory_Table[Supplier_Name],A198)</f>
        <v>1</v>
      </c>
      <c r="C198">
        <f>COUNTIFS(Inventory_Table[Supplier_Name],A198,Inventory_Table[Status],"Active")</f>
        <v>0</v>
      </c>
      <c r="D198">
        <f>COUNTIFS(Inventory_Table[Supplier_Name],A198,Inventory_Table[Status],"Backordered")</f>
        <v>1</v>
      </c>
      <c r="E198">
        <f>COUNTIFS(Inventory_Table[Supplier_Name],A198,Inventory_Table[Status],"Discontinued")</f>
        <v>0</v>
      </c>
      <c r="F198">
        <f>SUMIF(Inventory_Table[Supplier_Name],A198,Inventory_Table[Stock_Value])</f>
        <v>63</v>
      </c>
      <c r="G198" s="21">
        <f t="shared" si="3"/>
        <v>0</v>
      </c>
    </row>
    <row r="199" spans="1:7" x14ac:dyDescent="0.35">
      <c r="A199" t="str">
        <v>Photolist</v>
      </c>
      <c r="B199">
        <f>COUNTIF(Inventory_Table[Supplier_Name],A199)</f>
        <v>1</v>
      </c>
      <c r="C199">
        <f>COUNTIFS(Inventory_Table[Supplier_Name],A199,Inventory_Table[Status],"Active")</f>
        <v>0</v>
      </c>
      <c r="D199">
        <f>COUNTIFS(Inventory_Table[Supplier_Name],A199,Inventory_Table[Status],"Backordered")</f>
        <v>1</v>
      </c>
      <c r="E199">
        <f>COUNTIFS(Inventory_Table[Supplier_Name],A199,Inventory_Table[Status],"Discontinued")</f>
        <v>0</v>
      </c>
      <c r="F199">
        <f>SUMIF(Inventory_Table[Supplier_Name],A199,Inventory_Table[Stock_Value])</f>
        <v>36</v>
      </c>
      <c r="G199" s="21">
        <f t="shared" si="3"/>
        <v>0</v>
      </c>
    </row>
    <row r="200" spans="1:7" x14ac:dyDescent="0.35">
      <c r="A200" t="str">
        <v>Photospace</v>
      </c>
      <c r="B200">
        <f>COUNTIF(Inventory_Table[Supplier_Name],A200)</f>
        <v>3</v>
      </c>
      <c r="C200">
        <f>COUNTIFS(Inventory_Table[Supplier_Name],A200,Inventory_Table[Status],"Active")</f>
        <v>1</v>
      </c>
      <c r="D200">
        <f>COUNTIFS(Inventory_Table[Supplier_Name],A200,Inventory_Table[Status],"Backordered")</f>
        <v>2</v>
      </c>
      <c r="E200">
        <f>COUNTIFS(Inventory_Table[Supplier_Name],A200,Inventory_Table[Status],"Discontinued")</f>
        <v>0</v>
      </c>
      <c r="F200">
        <f>SUMIF(Inventory_Table[Supplier_Name],A200,Inventory_Table[Stock_Value])</f>
        <v>1592</v>
      </c>
      <c r="G200" s="21">
        <f t="shared" si="3"/>
        <v>0.33333333333333337</v>
      </c>
    </row>
    <row r="201" spans="1:7" x14ac:dyDescent="0.35">
      <c r="A201" t="str">
        <v>Pixoboo</v>
      </c>
      <c r="B201">
        <f>COUNTIF(Inventory_Table[Supplier_Name],A201)</f>
        <v>1</v>
      </c>
      <c r="C201">
        <f>COUNTIFS(Inventory_Table[Supplier_Name],A201,Inventory_Table[Status],"Active")</f>
        <v>0</v>
      </c>
      <c r="D201">
        <f>COUNTIFS(Inventory_Table[Supplier_Name],A201,Inventory_Table[Status],"Backordered")</f>
        <v>0</v>
      </c>
      <c r="E201">
        <f>COUNTIFS(Inventory_Table[Supplier_Name],A201,Inventory_Table[Status],"Discontinued")</f>
        <v>1</v>
      </c>
      <c r="F201">
        <f>SUMIF(Inventory_Table[Supplier_Name],A201,Inventory_Table[Stock_Value])</f>
        <v>316</v>
      </c>
      <c r="G201" s="21">
        <f t="shared" si="3"/>
        <v>0</v>
      </c>
    </row>
    <row r="202" spans="1:7" x14ac:dyDescent="0.35">
      <c r="A202" t="str">
        <v>Pixonyx</v>
      </c>
      <c r="B202">
        <f>COUNTIF(Inventory_Table[Supplier_Name],A202)</f>
        <v>4</v>
      </c>
      <c r="C202">
        <f>COUNTIFS(Inventory_Table[Supplier_Name],A202,Inventory_Table[Status],"Active")</f>
        <v>2</v>
      </c>
      <c r="D202">
        <f>COUNTIFS(Inventory_Table[Supplier_Name],A202,Inventory_Table[Status],"Backordered")</f>
        <v>1</v>
      </c>
      <c r="E202">
        <f>COUNTIFS(Inventory_Table[Supplier_Name],A202,Inventory_Table[Status],"Discontinued")</f>
        <v>1</v>
      </c>
      <c r="F202">
        <f>SUMIF(Inventory_Table[Supplier_Name],A202,Inventory_Table[Stock_Value])</f>
        <v>3019.15</v>
      </c>
      <c r="G202" s="21">
        <f t="shared" si="3"/>
        <v>0.5</v>
      </c>
    </row>
    <row r="203" spans="1:7" x14ac:dyDescent="0.35">
      <c r="A203" t="str">
        <v>Pixope</v>
      </c>
      <c r="B203">
        <f>COUNTIF(Inventory_Table[Supplier_Name],A203)</f>
        <v>1</v>
      </c>
      <c r="C203">
        <f>COUNTIFS(Inventory_Table[Supplier_Name],A203,Inventory_Table[Status],"Active")</f>
        <v>1</v>
      </c>
      <c r="D203">
        <f>COUNTIFS(Inventory_Table[Supplier_Name],A203,Inventory_Table[Status],"Backordered")</f>
        <v>0</v>
      </c>
      <c r="E203">
        <f>COUNTIFS(Inventory_Table[Supplier_Name],A203,Inventory_Table[Status],"Discontinued")</f>
        <v>0</v>
      </c>
      <c r="F203">
        <f>SUMIF(Inventory_Table[Supplier_Name],A203,Inventory_Table[Stock_Value])</f>
        <v>170</v>
      </c>
      <c r="G203" s="21">
        <f t="shared" si="3"/>
        <v>1</v>
      </c>
    </row>
    <row r="204" spans="1:7" x14ac:dyDescent="0.35">
      <c r="A204" t="str">
        <v>Plajo</v>
      </c>
      <c r="B204">
        <f>COUNTIF(Inventory_Table[Supplier_Name],A204)</f>
        <v>3</v>
      </c>
      <c r="C204">
        <f>COUNTIFS(Inventory_Table[Supplier_Name],A204,Inventory_Table[Status],"Active")</f>
        <v>1</v>
      </c>
      <c r="D204">
        <f>COUNTIFS(Inventory_Table[Supplier_Name],A204,Inventory_Table[Status],"Backordered")</f>
        <v>0</v>
      </c>
      <c r="E204">
        <f>COUNTIFS(Inventory_Table[Supplier_Name],A204,Inventory_Table[Status],"Discontinued")</f>
        <v>2</v>
      </c>
      <c r="F204">
        <f>SUMIF(Inventory_Table[Supplier_Name],A204,Inventory_Table[Stock_Value])</f>
        <v>938</v>
      </c>
      <c r="G204" s="21">
        <f t="shared" si="3"/>
        <v>0.33333333333333337</v>
      </c>
    </row>
    <row r="205" spans="1:7" x14ac:dyDescent="0.35">
      <c r="A205" t="str">
        <v>Podcat</v>
      </c>
      <c r="B205">
        <f>COUNTIF(Inventory_Table[Supplier_Name],A205)</f>
        <v>1</v>
      </c>
      <c r="C205">
        <f>COUNTIFS(Inventory_Table[Supplier_Name],A205,Inventory_Table[Status],"Active")</f>
        <v>1</v>
      </c>
      <c r="D205">
        <f>COUNTIFS(Inventory_Table[Supplier_Name],A205,Inventory_Table[Status],"Backordered")</f>
        <v>0</v>
      </c>
      <c r="E205">
        <f>COUNTIFS(Inventory_Table[Supplier_Name],A205,Inventory_Table[Status],"Discontinued")</f>
        <v>0</v>
      </c>
      <c r="F205">
        <f>SUMIF(Inventory_Table[Supplier_Name],A205,Inventory_Table[Stock_Value])</f>
        <v>399.75</v>
      </c>
      <c r="G205" s="21">
        <f t="shared" si="3"/>
        <v>1</v>
      </c>
    </row>
    <row r="206" spans="1:7" x14ac:dyDescent="0.35">
      <c r="A206" t="str">
        <v>Quamba</v>
      </c>
      <c r="B206">
        <f>COUNTIF(Inventory_Table[Supplier_Name],A206)</f>
        <v>3</v>
      </c>
      <c r="C206">
        <f>COUNTIFS(Inventory_Table[Supplier_Name],A206,Inventory_Table[Status],"Active")</f>
        <v>1</v>
      </c>
      <c r="D206">
        <f>COUNTIFS(Inventory_Table[Supplier_Name],A206,Inventory_Table[Status],"Backordered")</f>
        <v>2</v>
      </c>
      <c r="E206">
        <f>COUNTIFS(Inventory_Table[Supplier_Name],A206,Inventory_Table[Status],"Discontinued")</f>
        <v>0</v>
      </c>
      <c r="F206">
        <f>SUMIF(Inventory_Table[Supplier_Name],A206,Inventory_Table[Stock_Value])</f>
        <v>831</v>
      </c>
      <c r="G206" s="21">
        <f t="shared" si="3"/>
        <v>0.33333333333333337</v>
      </c>
    </row>
    <row r="207" spans="1:7" x14ac:dyDescent="0.35">
      <c r="A207" t="str">
        <v>Quatz</v>
      </c>
      <c r="B207">
        <f>COUNTIF(Inventory_Table[Supplier_Name],A207)</f>
        <v>9</v>
      </c>
      <c r="C207">
        <f>COUNTIFS(Inventory_Table[Supplier_Name],A207,Inventory_Table[Status],"Active")</f>
        <v>4</v>
      </c>
      <c r="D207">
        <f>COUNTIFS(Inventory_Table[Supplier_Name],A207,Inventory_Table[Status],"Backordered")</f>
        <v>3</v>
      </c>
      <c r="E207">
        <f>COUNTIFS(Inventory_Table[Supplier_Name],A207,Inventory_Table[Status],"Discontinued")</f>
        <v>2</v>
      </c>
      <c r="F207">
        <f>SUMIF(Inventory_Table[Supplier_Name],A207,Inventory_Table[Stock_Value])</f>
        <v>2466</v>
      </c>
      <c r="G207" s="21">
        <f t="shared" si="3"/>
        <v>0.44444444444444442</v>
      </c>
    </row>
    <row r="208" spans="1:7" x14ac:dyDescent="0.35">
      <c r="A208" t="str">
        <v>Quaxo</v>
      </c>
      <c r="B208">
        <f>COUNTIF(Inventory_Table[Supplier_Name],A208)</f>
        <v>3</v>
      </c>
      <c r="C208">
        <f>COUNTIFS(Inventory_Table[Supplier_Name],A208,Inventory_Table[Status],"Active")</f>
        <v>1</v>
      </c>
      <c r="D208">
        <f>COUNTIFS(Inventory_Table[Supplier_Name],A208,Inventory_Table[Status],"Backordered")</f>
        <v>1</v>
      </c>
      <c r="E208">
        <f>COUNTIFS(Inventory_Table[Supplier_Name],A208,Inventory_Table[Status],"Discontinued")</f>
        <v>1</v>
      </c>
      <c r="F208">
        <f>SUMIF(Inventory_Table[Supplier_Name],A208,Inventory_Table[Stock_Value])</f>
        <v>2153.2399999999998</v>
      </c>
      <c r="G208" s="21">
        <f t="shared" si="3"/>
        <v>0.33333333333333337</v>
      </c>
    </row>
    <row r="209" spans="1:7" x14ac:dyDescent="0.35">
      <c r="A209" t="str">
        <v>Quimm</v>
      </c>
      <c r="B209">
        <f>COUNTIF(Inventory_Table[Supplier_Name],A209)</f>
        <v>1</v>
      </c>
      <c r="C209">
        <f>COUNTIFS(Inventory_Table[Supplier_Name],A209,Inventory_Table[Status],"Active")</f>
        <v>0</v>
      </c>
      <c r="D209">
        <f>COUNTIFS(Inventory_Table[Supplier_Name],A209,Inventory_Table[Status],"Backordered")</f>
        <v>1</v>
      </c>
      <c r="E209">
        <f>COUNTIFS(Inventory_Table[Supplier_Name],A209,Inventory_Table[Status],"Discontinued")</f>
        <v>0</v>
      </c>
      <c r="F209">
        <f>SUMIF(Inventory_Table[Supplier_Name],A209,Inventory_Table[Stock_Value])</f>
        <v>222.5</v>
      </c>
      <c r="G209" s="21">
        <f t="shared" si="3"/>
        <v>0</v>
      </c>
    </row>
    <row r="210" spans="1:7" x14ac:dyDescent="0.35">
      <c r="A210" t="str">
        <v>Quinu</v>
      </c>
      <c r="B210">
        <f>COUNTIF(Inventory_Table[Supplier_Name],A210)</f>
        <v>7</v>
      </c>
      <c r="C210">
        <f>COUNTIFS(Inventory_Table[Supplier_Name],A210,Inventory_Table[Status],"Active")</f>
        <v>4</v>
      </c>
      <c r="D210">
        <f>COUNTIFS(Inventory_Table[Supplier_Name],A210,Inventory_Table[Status],"Backordered")</f>
        <v>2</v>
      </c>
      <c r="E210">
        <f>COUNTIFS(Inventory_Table[Supplier_Name],A210,Inventory_Table[Status],"Discontinued")</f>
        <v>1</v>
      </c>
      <c r="F210">
        <f>SUMIF(Inventory_Table[Supplier_Name],A210,Inventory_Table[Stock_Value])</f>
        <v>1541</v>
      </c>
      <c r="G210" s="21">
        <f t="shared" si="3"/>
        <v>0.5714285714285714</v>
      </c>
    </row>
    <row r="211" spans="1:7" x14ac:dyDescent="0.35">
      <c r="A211" t="str">
        <v>Quire</v>
      </c>
      <c r="B211">
        <f>COUNTIF(Inventory_Table[Supplier_Name],A211)</f>
        <v>3</v>
      </c>
      <c r="C211">
        <f>COUNTIFS(Inventory_Table[Supplier_Name],A211,Inventory_Table[Status],"Active")</f>
        <v>1</v>
      </c>
      <c r="D211">
        <f>COUNTIFS(Inventory_Table[Supplier_Name],A211,Inventory_Table[Status],"Backordered")</f>
        <v>2</v>
      </c>
      <c r="E211">
        <f>COUNTIFS(Inventory_Table[Supplier_Name],A211,Inventory_Table[Status],"Discontinued")</f>
        <v>0</v>
      </c>
      <c r="F211">
        <f>SUMIF(Inventory_Table[Supplier_Name],A211,Inventory_Table[Stock_Value])</f>
        <v>845.8</v>
      </c>
      <c r="G211" s="21">
        <f t="shared" si="3"/>
        <v>0.33333333333333337</v>
      </c>
    </row>
    <row r="212" spans="1:7" x14ac:dyDescent="0.35">
      <c r="A212" t="str">
        <v>Realblab</v>
      </c>
      <c r="B212">
        <f>COUNTIF(Inventory_Table[Supplier_Name],A212)</f>
        <v>4</v>
      </c>
      <c r="C212">
        <f>COUNTIFS(Inventory_Table[Supplier_Name],A212,Inventory_Table[Status],"Active")</f>
        <v>0</v>
      </c>
      <c r="D212">
        <f>COUNTIFS(Inventory_Table[Supplier_Name],A212,Inventory_Table[Status],"Backordered")</f>
        <v>2</v>
      </c>
      <c r="E212">
        <f>COUNTIFS(Inventory_Table[Supplier_Name],A212,Inventory_Table[Status],"Discontinued")</f>
        <v>2</v>
      </c>
      <c r="F212">
        <f>SUMIF(Inventory_Table[Supplier_Name],A212,Inventory_Table[Stock_Value])</f>
        <v>876.4</v>
      </c>
      <c r="G212" s="21">
        <f t="shared" si="3"/>
        <v>0</v>
      </c>
    </row>
    <row r="213" spans="1:7" x14ac:dyDescent="0.35">
      <c r="A213" t="str">
        <v>Realbridge</v>
      </c>
      <c r="B213">
        <f>COUNTIF(Inventory_Table[Supplier_Name],A213)</f>
        <v>1</v>
      </c>
      <c r="C213">
        <f>COUNTIFS(Inventory_Table[Supplier_Name],A213,Inventory_Table[Status],"Active")</f>
        <v>0</v>
      </c>
      <c r="D213">
        <f>COUNTIFS(Inventory_Table[Supplier_Name],A213,Inventory_Table[Status],"Backordered")</f>
        <v>0</v>
      </c>
      <c r="E213">
        <f>COUNTIFS(Inventory_Table[Supplier_Name],A213,Inventory_Table[Status],"Discontinued")</f>
        <v>1</v>
      </c>
      <c r="F213">
        <f>SUMIF(Inventory_Table[Supplier_Name],A213,Inventory_Table[Stock_Value])</f>
        <v>1044</v>
      </c>
      <c r="G213" s="21">
        <f t="shared" si="3"/>
        <v>0</v>
      </c>
    </row>
    <row r="214" spans="1:7" x14ac:dyDescent="0.35">
      <c r="A214" t="str">
        <v>Realcube</v>
      </c>
      <c r="B214">
        <f>COUNTIF(Inventory_Table[Supplier_Name],A214)</f>
        <v>3</v>
      </c>
      <c r="C214">
        <f>COUNTIFS(Inventory_Table[Supplier_Name],A214,Inventory_Table[Status],"Active")</f>
        <v>1</v>
      </c>
      <c r="D214">
        <f>COUNTIFS(Inventory_Table[Supplier_Name],A214,Inventory_Table[Status],"Backordered")</f>
        <v>0</v>
      </c>
      <c r="E214">
        <f>COUNTIFS(Inventory_Table[Supplier_Name],A214,Inventory_Table[Status],"Discontinued")</f>
        <v>2</v>
      </c>
      <c r="F214">
        <f>SUMIF(Inventory_Table[Supplier_Name],A214,Inventory_Table[Stock_Value])</f>
        <v>676.8</v>
      </c>
      <c r="G214" s="21">
        <f t="shared" si="3"/>
        <v>0.33333333333333337</v>
      </c>
    </row>
    <row r="215" spans="1:7" x14ac:dyDescent="0.35">
      <c r="A215" t="str">
        <v>Realfire</v>
      </c>
      <c r="B215">
        <f>COUNTIF(Inventory_Table[Supplier_Name],A215)</f>
        <v>1</v>
      </c>
      <c r="C215">
        <f>COUNTIFS(Inventory_Table[Supplier_Name],A215,Inventory_Table[Status],"Active")</f>
        <v>0</v>
      </c>
      <c r="D215">
        <f>COUNTIFS(Inventory_Table[Supplier_Name],A215,Inventory_Table[Status],"Backordered")</f>
        <v>1</v>
      </c>
      <c r="E215">
        <f>COUNTIFS(Inventory_Table[Supplier_Name],A215,Inventory_Table[Status],"Discontinued")</f>
        <v>0</v>
      </c>
      <c r="F215">
        <f>SUMIF(Inventory_Table[Supplier_Name],A215,Inventory_Table[Stock_Value])</f>
        <v>2</v>
      </c>
      <c r="G215" s="21">
        <f t="shared" si="3"/>
        <v>0</v>
      </c>
    </row>
    <row r="216" spans="1:7" x14ac:dyDescent="0.35">
      <c r="A216" t="str">
        <v>Reallinks</v>
      </c>
      <c r="B216">
        <f>COUNTIF(Inventory_Table[Supplier_Name],A216)</f>
        <v>2</v>
      </c>
      <c r="C216">
        <f>COUNTIFS(Inventory_Table[Supplier_Name],A216,Inventory_Table[Status],"Active")</f>
        <v>0</v>
      </c>
      <c r="D216">
        <f>COUNTIFS(Inventory_Table[Supplier_Name],A216,Inventory_Table[Status],"Backordered")</f>
        <v>0</v>
      </c>
      <c r="E216">
        <f>COUNTIFS(Inventory_Table[Supplier_Name],A216,Inventory_Table[Status],"Discontinued")</f>
        <v>2</v>
      </c>
      <c r="F216">
        <f>SUMIF(Inventory_Table[Supplier_Name],A216,Inventory_Table[Stock_Value])</f>
        <v>800</v>
      </c>
      <c r="G216" s="21">
        <f t="shared" si="3"/>
        <v>0</v>
      </c>
    </row>
    <row r="217" spans="1:7" x14ac:dyDescent="0.35">
      <c r="A217" t="str">
        <v>Realmix</v>
      </c>
      <c r="B217">
        <f>COUNTIF(Inventory_Table[Supplier_Name],A217)</f>
        <v>3</v>
      </c>
      <c r="C217">
        <f>COUNTIFS(Inventory_Table[Supplier_Name],A217,Inventory_Table[Status],"Active")</f>
        <v>0</v>
      </c>
      <c r="D217">
        <f>COUNTIFS(Inventory_Table[Supplier_Name],A217,Inventory_Table[Status],"Backordered")</f>
        <v>1</v>
      </c>
      <c r="E217">
        <f>COUNTIFS(Inventory_Table[Supplier_Name],A217,Inventory_Table[Status],"Discontinued")</f>
        <v>2</v>
      </c>
      <c r="F217">
        <f>SUMIF(Inventory_Table[Supplier_Name],A217,Inventory_Table[Stock_Value])</f>
        <v>2086</v>
      </c>
      <c r="G217" s="21">
        <f t="shared" si="3"/>
        <v>0</v>
      </c>
    </row>
    <row r="218" spans="1:7" x14ac:dyDescent="0.35">
      <c r="A218" t="str">
        <v>Realpoint</v>
      </c>
      <c r="B218">
        <f>COUNTIF(Inventory_Table[Supplier_Name],A218)</f>
        <v>3</v>
      </c>
      <c r="C218">
        <f>COUNTIFS(Inventory_Table[Supplier_Name],A218,Inventory_Table[Status],"Active")</f>
        <v>0</v>
      </c>
      <c r="D218">
        <f>COUNTIFS(Inventory_Table[Supplier_Name],A218,Inventory_Table[Status],"Backordered")</f>
        <v>1</v>
      </c>
      <c r="E218">
        <f>COUNTIFS(Inventory_Table[Supplier_Name],A218,Inventory_Table[Status],"Discontinued")</f>
        <v>2</v>
      </c>
      <c r="F218">
        <f>SUMIF(Inventory_Table[Supplier_Name],A218,Inventory_Table[Stock_Value])</f>
        <v>1460</v>
      </c>
      <c r="G218" s="21">
        <f t="shared" si="3"/>
        <v>0</v>
      </c>
    </row>
    <row r="219" spans="1:7" x14ac:dyDescent="0.35">
      <c r="A219" t="str">
        <v>Rhybox</v>
      </c>
      <c r="B219">
        <f>COUNTIF(Inventory_Table[Supplier_Name],A219)</f>
        <v>2</v>
      </c>
      <c r="C219">
        <f>COUNTIFS(Inventory_Table[Supplier_Name],A219,Inventory_Table[Status],"Active")</f>
        <v>1</v>
      </c>
      <c r="D219">
        <f>COUNTIFS(Inventory_Table[Supplier_Name],A219,Inventory_Table[Status],"Backordered")</f>
        <v>0</v>
      </c>
      <c r="E219">
        <f>COUNTIFS(Inventory_Table[Supplier_Name],A219,Inventory_Table[Status],"Discontinued")</f>
        <v>1</v>
      </c>
      <c r="F219">
        <f>SUMIF(Inventory_Table[Supplier_Name],A219,Inventory_Table[Stock_Value])</f>
        <v>1053</v>
      </c>
      <c r="G219" s="21">
        <f t="shared" si="3"/>
        <v>0.5</v>
      </c>
    </row>
    <row r="220" spans="1:7" x14ac:dyDescent="0.35">
      <c r="A220" t="str">
        <v>Rhycero</v>
      </c>
      <c r="B220">
        <f>COUNTIF(Inventory_Table[Supplier_Name],A220)</f>
        <v>3</v>
      </c>
      <c r="C220">
        <f>COUNTIFS(Inventory_Table[Supplier_Name],A220,Inventory_Table[Status],"Active")</f>
        <v>2</v>
      </c>
      <c r="D220">
        <f>COUNTIFS(Inventory_Table[Supplier_Name],A220,Inventory_Table[Status],"Backordered")</f>
        <v>0</v>
      </c>
      <c r="E220">
        <f>COUNTIFS(Inventory_Table[Supplier_Name],A220,Inventory_Table[Status],"Discontinued")</f>
        <v>1</v>
      </c>
      <c r="F220">
        <f>SUMIF(Inventory_Table[Supplier_Name],A220,Inventory_Table[Stock_Value])</f>
        <v>2970.5</v>
      </c>
      <c r="G220" s="21">
        <f t="shared" si="3"/>
        <v>0.66666666666666674</v>
      </c>
    </row>
    <row r="221" spans="1:7" x14ac:dyDescent="0.35">
      <c r="A221" t="str">
        <v>Rhyloo</v>
      </c>
      <c r="B221">
        <f>COUNTIF(Inventory_Table[Supplier_Name],A221)</f>
        <v>5</v>
      </c>
      <c r="C221">
        <f>COUNTIFS(Inventory_Table[Supplier_Name],A221,Inventory_Table[Status],"Active")</f>
        <v>4</v>
      </c>
      <c r="D221">
        <f>COUNTIFS(Inventory_Table[Supplier_Name],A221,Inventory_Table[Status],"Backordered")</f>
        <v>1</v>
      </c>
      <c r="E221">
        <f>COUNTIFS(Inventory_Table[Supplier_Name],A221,Inventory_Table[Status],"Discontinued")</f>
        <v>0</v>
      </c>
      <c r="F221">
        <f>SUMIF(Inventory_Table[Supplier_Name],A221,Inventory_Table[Stock_Value])</f>
        <v>2067.3000000000002</v>
      </c>
      <c r="G221" s="21">
        <f t="shared" si="3"/>
        <v>0.8</v>
      </c>
    </row>
    <row r="222" spans="1:7" x14ac:dyDescent="0.35">
      <c r="A222" t="str">
        <v>Rhynoodle</v>
      </c>
      <c r="B222">
        <f>COUNTIF(Inventory_Table[Supplier_Name],A222)</f>
        <v>2</v>
      </c>
      <c r="C222">
        <f>COUNTIFS(Inventory_Table[Supplier_Name],A222,Inventory_Table[Status],"Active")</f>
        <v>0</v>
      </c>
      <c r="D222">
        <f>COUNTIFS(Inventory_Table[Supplier_Name],A222,Inventory_Table[Status],"Backordered")</f>
        <v>1</v>
      </c>
      <c r="E222">
        <f>COUNTIFS(Inventory_Table[Supplier_Name],A222,Inventory_Table[Status],"Discontinued")</f>
        <v>1</v>
      </c>
      <c r="F222">
        <f>SUMIF(Inventory_Table[Supplier_Name],A222,Inventory_Table[Stock_Value])</f>
        <v>1519</v>
      </c>
      <c r="G222" s="21">
        <f t="shared" si="3"/>
        <v>0</v>
      </c>
    </row>
    <row r="223" spans="1:7" x14ac:dyDescent="0.35">
      <c r="A223" t="str">
        <v>Rhynyx</v>
      </c>
      <c r="B223">
        <f>COUNTIF(Inventory_Table[Supplier_Name],A223)</f>
        <v>2</v>
      </c>
      <c r="C223">
        <f>COUNTIFS(Inventory_Table[Supplier_Name],A223,Inventory_Table[Status],"Active")</f>
        <v>0</v>
      </c>
      <c r="D223">
        <f>COUNTIFS(Inventory_Table[Supplier_Name],A223,Inventory_Table[Status],"Backordered")</f>
        <v>1</v>
      </c>
      <c r="E223">
        <f>COUNTIFS(Inventory_Table[Supplier_Name],A223,Inventory_Table[Status],"Discontinued")</f>
        <v>1</v>
      </c>
      <c r="F223">
        <f>SUMIF(Inventory_Table[Supplier_Name],A223,Inventory_Table[Stock_Value])</f>
        <v>757.5</v>
      </c>
      <c r="G223" s="21">
        <f t="shared" si="3"/>
        <v>0</v>
      </c>
    </row>
    <row r="224" spans="1:7" x14ac:dyDescent="0.35">
      <c r="A224" t="str">
        <v>Rhyzio</v>
      </c>
      <c r="B224">
        <f>COUNTIF(Inventory_Table[Supplier_Name],A224)</f>
        <v>3</v>
      </c>
      <c r="C224">
        <f>COUNTIFS(Inventory_Table[Supplier_Name],A224,Inventory_Table[Status],"Active")</f>
        <v>2</v>
      </c>
      <c r="D224">
        <f>COUNTIFS(Inventory_Table[Supplier_Name],A224,Inventory_Table[Status],"Backordered")</f>
        <v>1</v>
      </c>
      <c r="E224">
        <f>COUNTIFS(Inventory_Table[Supplier_Name],A224,Inventory_Table[Status],"Discontinued")</f>
        <v>0</v>
      </c>
      <c r="F224">
        <f>SUMIF(Inventory_Table[Supplier_Name],A224,Inventory_Table[Stock_Value])</f>
        <v>1718.4</v>
      </c>
      <c r="G224" s="21">
        <f t="shared" si="3"/>
        <v>0.66666666666666674</v>
      </c>
    </row>
    <row r="225" spans="1:7" x14ac:dyDescent="0.35">
      <c r="A225" t="str">
        <v>Riffpedia</v>
      </c>
      <c r="B225">
        <f>COUNTIF(Inventory_Table[Supplier_Name],A225)</f>
        <v>1</v>
      </c>
      <c r="C225">
        <f>COUNTIFS(Inventory_Table[Supplier_Name],A225,Inventory_Table[Status],"Active")</f>
        <v>1</v>
      </c>
      <c r="D225">
        <f>COUNTIFS(Inventory_Table[Supplier_Name],A225,Inventory_Table[Status],"Backordered")</f>
        <v>0</v>
      </c>
      <c r="E225">
        <f>COUNTIFS(Inventory_Table[Supplier_Name],A225,Inventory_Table[Status],"Discontinued")</f>
        <v>0</v>
      </c>
      <c r="F225">
        <f>SUMIF(Inventory_Table[Supplier_Name],A225,Inventory_Table[Stock_Value])</f>
        <v>196.79999999999998</v>
      </c>
      <c r="G225" s="21">
        <f t="shared" si="3"/>
        <v>1</v>
      </c>
    </row>
    <row r="226" spans="1:7" x14ac:dyDescent="0.35">
      <c r="A226" t="str">
        <v>Riffwire</v>
      </c>
      <c r="B226">
        <f>COUNTIF(Inventory_Table[Supplier_Name],A226)</f>
        <v>3</v>
      </c>
      <c r="C226">
        <f>COUNTIFS(Inventory_Table[Supplier_Name],A226,Inventory_Table[Status],"Active")</f>
        <v>2</v>
      </c>
      <c r="D226">
        <f>COUNTIFS(Inventory_Table[Supplier_Name],A226,Inventory_Table[Status],"Backordered")</f>
        <v>0</v>
      </c>
      <c r="E226">
        <f>COUNTIFS(Inventory_Table[Supplier_Name],A226,Inventory_Table[Status],"Discontinued")</f>
        <v>1</v>
      </c>
      <c r="F226">
        <f>SUMIF(Inventory_Table[Supplier_Name],A226,Inventory_Table[Stock_Value])</f>
        <v>529.5</v>
      </c>
      <c r="G226" s="21">
        <f t="shared" si="3"/>
        <v>0.66666666666666674</v>
      </c>
    </row>
    <row r="227" spans="1:7" x14ac:dyDescent="0.35">
      <c r="A227" t="str">
        <v>Roodel</v>
      </c>
      <c r="B227">
        <f>COUNTIF(Inventory_Table[Supplier_Name],A227)</f>
        <v>2</v>
      </c>
      <c r="C227">
        <f>COUNTIFS(Inventory_Table[Supplier_Name],A227,Inventory_Table[Status],"Active")</f>
        <v>0</v>
      </c>
      <c r="D227">
        <f>COUNTIFS(Inventory_Table[Supplier_Name],A227,Inventory_Table[Status],"Backordered")</f>
        <v>0</v>
      </c>
      <c r="E227">
        <f>COUNTIFS(Inventory_Table[Supplier_Name],A227,Inventory_Table[Status],"Discontinued")</f>
        <v>2</v>
      </c>
      <c r="F227">
        <f>SUMIF(Inventory_Table[Supplier_Name],A227,Inventory_Table[Stock_Value])</f>
        <v>751.5</v>
      </c>
      <c r="G227" s="21">
        <f t="shared" si="3"/>
        <v>0</v>
      </c>
    </row>
    <row r="228" spans="1:7" x14ac:dyDescent="0.35">
      <c r="A228" t="str">
        <v>Roombo</v>
      </c>
      <c r="B228">
        <f>COUNTIF(Inventory_Table[Supplier_Name],A228)</f>
        <v>3</v>
      </c>
      <c r="C228">
        <f>COUNTIFS(Inventory_Table[Supplier_Name],A228,Inventory_Table[Status],"Active")</f>
        <v>1</v>
      </c>
      <c r="D228">
        <f>COUNTIFS(Inventory_Table[Supplier_Name],A228,Inventory_Table[Status],"Backordered")</f>
        <v>1</v>
      </c>
      <c r="E228">
        <f>COUNTIFS(Inventory_Table[Supplier_Name],A228,Inventory_Table[Status],"Discontinued")</f>
        <v>1</v>
      </c>
      <c r="F228">
        <f>SUMIF(Inventory_Table[Supplier_Name],A228,Inventory_Table[Stock_Value])</f>
        <v>888.5</v>
      </c>
      <c r="G228" s="21">
        <f t="shared" si="3"/>
        <v>0.33333333333333337</v>
      </c>
    </row>
    <row r="229" spans="1:7" x14ac:dyDescent="0.35">
      <c r="A229" t="str">
        <v>Roomm</v>
      </c>
      <c r="B229">
        <f>COUNTIF(Inventory_Table[Supplier_Name],A229)</f>
        <v>3</v>
      </c>
      <c r="C229">
        <f>COUNTIFS(Inventory_Table[Supplier_Name],A229,Inventory_Table[Status],"Active")</f>
        <v>0</v>
      </c>
      <c r="D229">
        <f>COUNTIFS(Inventory_Table[Supplier_Name],A229,Inventory_Table[Status],"Backordered")</f>
        <v>2</v>
      </c>
      <c r="E229">
        <f>COUNTIFS(Inventory_Table[Supplier_Name],A229,Inventory_Table[Status],"Discontinued")</f>
        <v>1</v>
      </c>
      <c r="F229">
        <f>SUMIF(Inventory_Table[Supplier_Name],A229,Inventory_Table[Stock_Value])</f>
        <v>1011.5</v>
      </c>
      <c r="G229" s="21">
        <f t="shared" si="3"/>
        <v>0</v>
      </c>
    </row>
    <row r="230" spans="1:7" x14ac:dyDescent="0.35">
      <c r="A230" t="str">
        <v>Rooxo</v>
      </c>
      <c r="B230">
        <f>COUNTIF(Inventory_Table[Supplier_Name],A230)</f>
        <v>3</v>
      </c>
      <c r="C230">
        <f>COUNTIFS(Inventory_Table[Supplier_Name],A230,Inventory_Table[Status],"Active")</f>
        <v>1</v>
      </c>
      <c r="D230">
        <f>COUNTIFS(Inventory_Table[Supplier_Name],A230,Inventory_Table[Status],"Backordered")</f>
        <v>0</v>
      </c>
      <c r="E230">
        <f>COUNTIFS(Inventory_Table[Supplier_Name],A230,Inventory_Table[Status],"Discontinued")</f>
        <v>2</v>
      </c>
      <c r="F230">
        <f>SUMIF(Inventory_Table[Supplier_Name],A230,Inventory_Table[Stock_Value])</f>
        <v>5076.95</v>
      </c>
      <c r="G230" s="21">
        <f t="shared" si="3"/>
        <v>0.33333333333333337</v>
      </c>
    </row>
    <row r="231" spans="1:7" x14ac:dyDescent="0.35">
      <c r="A231" t="str">
        <v>Shufflebeat</v>
      </c>
      <c r="B231">
        <f>COUNTIF(Inventory_Table[Supplier_Name],A231)</f>
        <v>2</v>
      </c>
      <c r="C231">
        <f>COUNTIFS(Inventory_Table[Supplier_Name],A231,Inventory_Table[Status],"Active")</f>
        <v>1</v>
      </c>
      <c r="D231">
        <f>COUNTIFS(Inventory_Table[Supplier_Name],A231,Inventory_Table[Status],"Backordered")</f>
        <v>0</v>
      </c>
      <c r="E231">
        <f>COUNTIFS(Inventory_Table[Supplier_Name],A231,Inventory_Table[Status],"Discontinued")</f>
        <v>1</v>
      </c>
      <c r="F231">
        <f>SUMIF(Inventory_Table[Supplier_Name],A231,Inventory_Table[Stock_Value])</f>
        <v>456</v>
      </c>
      <c r="G231" s="21">
        <f t="shared" si="3"/>
        <v>0.5</v>
      </c>
    </row>
    <row r="232" spans="1:7" x14ac:dyDescent="0.35">
      <c r="A232" t="str">
        <v>Shuffledrive</v>
      </c>
      <c r="B232">
        <f>COUNTIF(Inventory_Table[Supplier_Name],A232)</f>
        <v>6</v>
      </c>
      <c r="C232">
        <f>COUNTIFS(Inventory_Table[Supplier_Name],A232,Inventory_Table[Status],"Active")</f>
        <v>4</v>
      </c>
      <c r="D232">
        <f>COUNTIFS(Inventory_Table[Supplier_Name],A232,Inventory_Table[Status],"Backordered")</f>
        <v>1</v>
      </c>
      <c r="E232">
        <f>COUNTIFS(Inventory_Table[Supplier_Name],A232,Inventory_Table[Status],"Discontinued")</f>
        <v>1</v>
      </c>
      <c r="F232">
        <f>SUMIF(Inventory_Table[Supplier_Name],A232,Inventory_Table[Stock_Value])</f>
        <v>1726.5</v>
      </c>
      <c r="G232" s="21">
        <f t="shared" si="3"/>
        <v>0.66666666666666674</v>
      </c>
    </row>
    <row r="233" spans="1:7" x14ac:dyDescent="0.35">
      <c r="A233" t="str">
        <v>Shufflester</v>
      </c>
      <c r="B233">
        <f>COUNTIF(Inventory_Table[Supplier_Name],A233)</f>
        <v>4</v>
      </c>
      <c r="C233">
        <f>COUNTIFS(Inventory_Table[Supplier_Name],A233,Inventory_Table[Status],"Active")</f>
        <v>1</v>
      </c>
      <c r="D233">
        <f>COUNTIFS(Inventory_Table[Supplier_Name],A233,Inventory_Table[Status],"Backordered")</f>
        <v>2</v>
      </c>
      <c r="E233">
        <f>COUNTIFS(Inventory_Table[Supplier_Name],A233,Inventory_Table[Status],"Discontinued")</f>
        <v>1</v>
      </c>
      <c r="F233">
        <f>SUMIF(Inventory_Table[Supplier_Name],A233,Inventory_Table[Stock_Value])</f>
        <v>977</v>
      </c>
      <c r="G233" s="21">
        <f t="shared" si="3"/>
        <v>0.25</v>
      </c>
    </row>
    <row r="234" spans="1:7" x14ac:dyDescent="0.35">
      <c r="A234" t="str">
        <v>Shuffletag</v>
      </c>
      <c r="B234">
        <f>COUNTIF(Inventory_Table[Supplier_Name],A234)</f>
        <v>3</v>
      </c>
      <c r="C234">
        <f>COUNTIFS(Inventory_Table[Supplier_Name],A234,Inventory_Table[Status],"Active")</f>
        <v>0</v>
      </c>
      <c r="D234">
        <f>COUNTIFS(Inventory_Table[Supplier_Name],A234,Inventory_Table[Status],"Backordered")</f>
        <v>2</v>
      </c>
      <c r="E234">
        <f>COUNTIFS(Inventory_Table[Supplier_Name],A234,Inventory_Table[Status],"Discontinued")</f>
        <v>1</v>
      </c>
      <c r="F234">
        <f>SUMIF(Inventory_Table[Supplier_Name],A234,Inventory_Table[Stock_Value])</f>
        <v>598.15</v>
      </c>
      <c r="G234" s="21">
        <f t="shared" si="3"/>
        <v>0</v>
      </c>
    </row>
    <row r="235" spans="1:7" x14ac:dyDescent="0.35">
      <c r="A235" t="str">
        <v>Skaboo</v>
      </c>
      <c r="B235">
        <f>COUNTIF(Inventory_Table[Supplier_Name],A235)</f>
        <v>3</v>
      </c>
      <c r="C235">
        <f>COUNTIFS(Inventory_Table[Supplier_Name],A235,Inventory_Table[Status],"Active")</f>
        <v>0</v>
      </c>
      <c r="D235">
        <f>COUNTIFS(Inventory_Table[Supplier_Name],A235,Inventory_Table[Status],"Backordered")</f>
        <v>1</v>
      </c>
      <c r="E235">
        <f>COUNTIFS(Inventory_Table[Supplier_Name],A235,Inventory_Table[Status],"Discontinued")</f>
        <v>2</v>
      </c>
      <c r="F235">
        <f>SUMIF(Inventory_Table[Supplier_Name],A235,Inventory_Table[Stock_Value])</f>
        <v>1208</v>
      </c>
      <c r="G235" s="21">
        <f t="shared" si="3"/>
        <v>0</v>
      </c>
    </row>
    <row r="236" spans="1:7" x14ac:dyDescent="0.35">
      <c r="A236" t="str">
        <v>Skajo</v>
      </c>
      <c r="B236">
        <f>COUNTIF(Inventory_Table[Supplier_Name],A236)</f>
        <v>3</v>
      </c>
      <c r="C236">
        <f>COUNTIFS(Inventory_Table[Supplier_Name],A236,Inventory_Table[Status],"Active")</f>
        <v>0</v>
      </c>
      <c r="D236">
        <f>COUNTIFS(Inventory_Table[Supplier_Name],A236,Inventory_Table[Status],"Backordered")</f>
        <v>2</v>
      </c>
      <c r="E236">
        <f>COUNTIFS(Inventory_Table[Supplier_Name],A236,Inventory_Table[Status],"Discontinued")</f>
        <v>1</v>
      </c>
      <c r="F236">
        <f>SUMIF(Inventory_Table[Supplier_Name],A236,Inventory_Table[Stock_Value])</f>
        <v>1172.9000000000001</v>
      </c>
      <c r="G236" s="21">
        <f t="shared" si="3"/>
        <v>0</v>
      </c>
    </row>
    <row r="237" spans="1:7" x14ac:dyDescent="0.35">
      <c r="A237" t="str">
        <v>Skalith</v>
      </c>
      <c r="B237">
        <f>COUNTIF(Inventory_Table[Supplier_Name],A237)</f>
        <v>4</v>
      </c>
      <c r="C237">
        <f>COUNTIFS(Inventory_Table[Supplier_Name],A237,Inventory_Table[Status],"Active")</f>
        <v>1</v>
      </c>
      <c r="D237">
        <f>COUNTIFS(Inventory_Table[Supplier_Name],A237,Inventory_Table[Status],"Backordered")</f>
        <v>1</v>
      </c>
      <c r="E237">
        <f>COUNTIFS(Inventory_Table[Supplier_Name],A237,Inventory_Table[Status],"Discontinued")</f>
        <v>2</v>
      </c>
      <c r="F237">
        <f>SUMIF(Inventory_Table[Supplier_Name],A237,Inventory_Table[Stock_Value])</f>
        <v>1044.9000000000001</v>
      </c>
      <c r="G237" s="21">
        <f t="shared" si="3"/>
        <v>0.25</v>
      </c>
    </row>
    <row r="238" spans="1:7" x14ac:dyDescent="0.35">
      <c r="A238" t="str">
        <v>Skiba</v>
      </c>
      <c r="B238">
        <f>COUNTIF(Inventory_Table[Supplier_Name],A238)</f>
        <v>1</v>
      </c>
      <c r="C238">
        <f>COUNTIFS(Inventory_Table[Supplier_Name],A238,Inventory_Table[Status],"Active")</f>
        <v>1</v>
      </c>
      <c r="D238">
        <f>COUNTIFS(Inventory_Table[Supplier_Name],A238,Inventory_Table[Status],"Backordered")</f>
        <v>0</v>
      </c>
      <c r="E238">
        <f>COUNTIFS(Inventory_Table[Supplier_Name],A238,Inventory_Table[Status],"Discontinued")</f>
        <v>0</v>
      </c>
      <c r="F238">
        <f>SUMIF(Inventory_Table[Supplier_Name],A238,Inventory_Table[Stock_Value])</f>
        <v>70</v>
      </c>
      <c r="G238" s="21">
        <f t="shared" si="3"/>
        <v>1</v>
      </c>
    </row>
    <row r="239" spans="1:7" x14ac:dyDescent="0.35">
      <c r="A239" t="str">
        <v>Skibox</v>
      </c>
      <c r="B239">
        <f>COUNTIF(Inventory_Table[Supplier_Name],A239)</f>
        <v>4</v>
      </c>
      <c r="C239">
        <f>COUNTIFS(Inventory_Table[Supplier_Name],A239,Inventory_Table[Status],"Active")</f>
        <v>1</v>
      </c>
      <c r="D239">
        <f>COUNTIFS(Inventory_Table[Supplier_Name],A239,Inventory_Table[Status],"Backordered")</f>
        <v>2</v>
      </c>
      <c r="E239">
        <f>COUNTIFS(Inventory_Table[Supplier_Name],A239,Inventory_Table[Status],"Discontinued")</f>
        <v>1</v>
      </c>
      <c r="F239">
        <f>SUMIF(Inventory_Table[Supplier_Name],A239,Inventory_Table[Stock_Value])</f>
        <v>417</v>
      </c>
      <c r="G239" s="21">
        <f t="shared" si="3"/>
        <v>0.25</v>
      </c>
    </row>
    <row r="240" spans="1:7" x14ac:dyDescent="0.35">
      <c r="A240" t="str">
        <v>Skidoo</v>
      </c>
      <c r="B240">
        <f>COUNTIF(Inventory_Table[Supplier_Name],A240)</f>
        <v>6</v>
      </c>
      <c r="C240">
        <f>COUNTIFS(Inventory_Table[Supplier_Name],A240,Inventory_Table[Status],"Active")</f>
        <v>2</v>
      </c>
      <c r="D240">
        <f>COUNTIFS(Inventory_Table[Supplier_Name],A240,Inventory_Table[Status],"Backordered")</f>
        <v>2</v>
      </c>
      <c r="E240">
        <f>COUNTIFS(Inventory_Table[Supplier_Name],A240,Inventory_Table[Status],"Discontinued")</f>
        <v>2</v>
      </c>
      <c r="F240">
        <f>SUMIF(Inventory_Table[Supplier_Name],A240,Inventory_Table[Stock_Value])</f>
        <v>2838.9</v>
      </c>
      <c r="G240" s="21">
        <f t="shared" si="3"/>
        <v>0.33333333333333337</v>
      </c>
    </row>
    <row r="241" spans="1:7" x14ac:dyDescent="0.35">
      <c r="A241" t="str">
        <v>Skilith</v>
      </c>
      <c r="B241">
        <f>COUNTIF(Inventory_Table[Supplier_Name],A241)</f>
        <v>2</v>
      </c>
      <c r="C241">
        <f>COUNTIFS(Inventory_Table[Supplier_Name],A241,Inventory_Table[Status],"Active")</f>
        <v>1</v>
      </c>
      <c r="D241">
        <f>COUNTIFS(Inventory_Table[Supplier_Name],A241,Inventory_Table[Status],"Backordered")</f>
        <v>0</v>
      </c>
      <c r="E241">
        <f>COUNTIFS(Inventory_Table[Supplier_Name],A241,Inventory_Table[Status],"Discontinued")</f>
        <v>1</v>
      </c>
      <c r="F241">
        <f>SUMIF(Inventory_Table[Supplier_Name],A241,Inventory_Table[Stock_Value])</f>
        <v>770</v>
      </c>
      <c r="G241" s="21">
        <f t="shared" si="3"/>
        <v>0.5</v>
      </c>
    </row>
    <row r="242" spans="1:7" x14ac:dyDescent="0.35">
      <c r="A242" t="str">
        <v>Skimia</v>
      </c>
      <c r="B242">
        <f>COUNTIF(Inventory_Table[Supplier_Name],A242)</f>
        <v>6</v>
      </c>
      <c r="C242">
        <f>COUNTIFS(Inventory_Table[Supplier_Name],A242,Inventory_Table[Status],"Active")</f>
        <v>1</v>
      </c>
      <c r="D242">
        <f>COUNTIFS(Inventory_Table[Supplier_Name],A242,Inventory_Table[Status],"Backordered")</f>
        <v>3</v>
      </c>
      <c r="E242">
        <f>COUNTIFS(Inventory_Table[Supplier_Name],A242,Inventory_Table[Status],"Discontinued")</f>
        <v>2</v>
      </c>
      <c r="F242">
        <f>SUMIF(Inventory_Table[Supplier_Name],A242,Inventory_Table[Stock_Value])</f>
        <v>1641.95</v>
      </c>
      <c r="G242" s="21">
        <f t="shared" si="3"/>
        <v>0.16666666666666663</v>
      </c>
    </row>
    <row r="243" spans="1:7" x14ac:dyDescent="0.35">
      <c r="A243" t="str">
        <v>Skinix</v>
      </c>
      <c r="B243">
        <f>COUNTIF(Inventory_Table[Supplier_Name],A243)</f>
        <v>4</v>
      </c>
      <c r="C243">
        <f>COUNTIFS(Inventory_Table[Supplier_Name],A243,Inventory_Table[Status],"Active")</f>
        <v>0</v>
      </c>
      <c r="D243">
        <f>COUNTIFS(Inventory_Table[Supplier_Name],A243,Inventory_Table[Status],"Backordered")</f>
        <v>4</v>
      </c>
      <c r="E243">
        <f>COUNTIFS(Inventory_Table[Supplier_Name],A243,Inventory_Table[Status],"Discontinued")</f>
        <v>0</v>
      </c>
      <c r="F243">
        <f>SUMIF(Inventory_Table[Supplier_Name],A243,Inventory_Table[Stock_Value])</f>
        <v>2114.42</v>
      </c>
      <c r="G243" s="21">
        <f t="shared" si="3"/>
        <v>0</v>
      </c>
    </row>
    <row r="244" spans="1:7" x14ac:dyDescent="0.35">
      <c r="A244" t="str">
        <v>Skinte</v>
      </c>
      <c r="B244">
        <f>COUNTIF(Inventory_Table[Supplier_Name],A244)</f>
        <v>2</v>
      </c>
      <c r="C244">
        <f>COUNTIFS(Inventory_Table[Supplier_Name],A244,Inventory_Table[Status],"Active")</f>
        <v>0</v>
      </c>
      <c r="D244">
        <f>COUNTIFS(Inventory_Table[Supplier_Name],A244,Inventory_Table[Status],"Backordered")</f>
        <v>1</v>
      </c>
      <c r="E244">
        <f>COUNTIFS(Inventory_Table[Supplier_Name],A244,Inventory_Table[Status],"Discontinued")</f>
        <v>1</v>
      </c>
      <c r="F244">
        <f>SUMIF(Inventory_Table[Supplier_Name],A244,Inventory_Table[Stock_Value])</f>
        <v>301.75</v>
      </c>
      <c r="G244" s="21">
        <f t="shared" si="3"/>
        <v>0</v>
      </c>
    </row>
    <row r="245" spans="1:7" x14ac:dyDescent="0.35">
      <c r="A245" t="str">
        <v>Skipfire</v>
      </c>
      <c r="B245">
        <f>COUNTIF(Inventory_Table[Supplier_Name],A245)</f>
        <v>6</v>
      </c>
      <c r="C245">
        <f>COUNTIFS(Inventory_Table[Supplier_Name],A245,Inventory_Table[Status],"Active")</f>
        <v>1</v>
      </c>
      <c r="D245">
        <f>COUNTIFS(Inventory_Table[Supplier_Name],A245,Inventory_Table[Status],"Backordered")</f>
        <v>0</v>
      </c>
      <c r="E245">
        <f>COUNTIFS(Inventory_Table[Supplier_Name],A245,Inventory_Table[Status],"Discontinued")</f>
        <v>5</v>
      </c>
      <c r="F245">
        <f>SUMIF(Inventory_Table[Supplier_Name],A245,Inventory_Table[Stock_Value])</f>
        <v>1343</v>
      </c>
      <c r="G245" s="21">
        <f t="shared" si="3"/>
        <v>0.16666666666666663</v>
      </c>
    </row>
    <row r="246" spans="1:7" x14ac:dyDescent="0.35">
      <c r="A246" t="str">
        <v>Skippad</v>
      </c>
      <c r="B246">
        <f>COUNTIF(Inventory_Table[Supplier_Name],A246)</f>
        <v>2</v>
      </c>
      <c r="C246">
        <f>COUNTIFS(Inventory_Table[Supplier_Name],A246,Inventory_Table[Status],"Active")</f>
        <v>1</v>
      </c>
      <c r="D246">
        <f>COUNTIFS(Inventory_Table[Supplier_Name],A246,Inventory_Table[Status],"Backordered")</f>
        <v>0</v>
      </c>
      <c r="E246">
        <f>COUNTIFS(Inventory_Table[Supplier_Name],A246,Inventory_Table[Status],"Discontinued")</f>
        <v>1</v>
      </c>
      <c r="F246">
        <f>SUMIF(Inventory_Table[Supplier_Name],A246,Inventory_Table[Stock_Value])</f>
        <v>896.8</v>
      </c>
      <c r="G246" s="21">
        <f t="shared" si="3"/>
        <v>0.5</v>
      </c>
    </row>
    <row r="247" spans="1:7" x14ac:dyDescent="0.35">
      <c r="A247" t="str">
        <v>Skipstorm</v>
      </c>
      <c r="B247">
        <f>COUNTIF(Inventory_Table[Supplier_Name],A247)</f>
        <v>2</v>
      </c>
      <c r="C247">
        <f>COUNTIFS(Inventory_Table[Supplier_Name],A247,Inventory_Table[Status],"Active")</f>
        <v>2</v>
      </c>
      <c r="D247">
        <f>COUNTIFS(Inventory_Table[Supplier_Name],A247,Inventory_Table[Status],"Backordered")</f>
        <v>0</v>
      </c>
      <c r="E247">
        <f>COUNTIFS(Inventory_Table[Supplier_Name],A247,Inventory_Table[Status],"Discontinued")</f>
        <v>0</v>
      </c>
      <c r="F247">
        <f>SUMIF(Inventory_Table[Supplier_Name],A247,Inventory_Table[Stock_Value])</f>
        <v>2595.6</v>
      </c>
      <c r="G247" s="21">
        <f t="shared" si="3"/>
        <v>1</v>
      </c>
    </row>
    <row r="248" spans="1:7" x14ac:dyDescent="0.35">
      <c r="A248" t="str">
        <v>Skiptube</v>
      </c>
      <c r="B248">
        <f>COUNTIF(Inventory_Table[Supplier_Name],A248)</f>
        <v>2</v>
      </c>
      <c r="C248">
        <f>COUNTIFS(Inventory_Table[Supplier_Name],A248,Inventory_Table[Status],"Active")</f>
        <v>0</v>
      </c>
      <c r="D248">
        <f>COUNTIFS(Inventory_Table[Supplier_Name],A248,Inventory_Table[Status],"Backordered")</f>
        <v>0</v>
      </c>
      <c r="E248">
        <f>COUNTIFS(Inventory_Table[Supplier_Name],A248,Inventory_Table[Status],"Discontinued")</f>
        <v>2</v>
      </c>
      <c r="F248">
        <f>SUMIF(Inventory_Table[Supplier_Name],A248,Inventory_Table[Stock_Value])</f>
        <v>880</v>
      </c>
      <c r="G248" s="21">
        <f t="shared" si="3"/>
        <v>0</v>
      </c>
    </row>
    <row r="249" spans="1:7" x14ac:dyDescent="0.35">
      <c r="A249" t="str">
        <v>Skivee</v>
      </c>
      <c r="B249">
        <f>COUNTIF(Inventory_Table[Supplier_Name],A249)</f>
        <v>3</v>
      </c>
      <c r="C249">
        <f>COUNTIFS(Inventory_Table[Supplier_Name],A249,Inventory_Table[Status],"Active")</f>
        <v>2</v>
      </c>
      <c r="D249">
        <f>COUNTIFS(Inventory_Table[Supplier_Name],A249,Inventory_Table[Status],"Backordered")</f>
        <v>0</v>
      </c>
      <c r="E249">
        <f>COUNTIFS(Inventory_Table[Supplier_Name],A249,Inventory_Table[Status],"Discontinued")</f>
        <v>1</v>
      </c>
      <c r="F249">
        <f>SUMIF(Inventory_Table[Supplier_Name],A249,Inventory_Table[Stock_Value])</f>
        <v>1342</v>
      </c>
      <c r="G249" s="21">
        <f t="shared" si="3"/>
        <v>0.66666666666666674</v>
      </c>
    </row>
    <row r="250" spans="1:7" x14ac:dyDescent="0.35">
      <c r="A250" t="str">
        <v>Skyba</v>
      </c>
      <c r="B250">
        <f>COUNTIF(Inventory_Table[Supplier_Name],A250)</f>
        <v>2</v>
      </c>
      <c r="C250">
        <f>COUNTIFS(Inventory_Table[Supplier_Name],A250,Inventory_Table[Status],"Active")</f>
        <v>1</v>
      </c>
      <c r="D250">
        <f>COUNTIFS(Inventory_Table[Supplier_Name],A250,Inventory_Table[Status],"Backordered")</f>
        <v>0</v>
      </c>
      <c r="E250">
        <f>COUNTIFS(Inventory_Table[Supplier_Name],A250,Inventory_Table[Status],"Discontinued")</f>
        <v>1</v>
      </c>
      <c r="F250">
        <f>SUMIF(Inventory_Table[Supplier_Name],A250,Inventory_Table[Stock_Value])</f>
        <v>322.5</v>
      </c>
      <c r="G250" s="21">
        <f t="shared" si="3"/>
        <v>0.5</v>
      </c>
    </row>
    <row r="251" spans="1:7" x14ac:dyDescent="0.35">
      <c r="A251" t="str">
        <v>Skyble</v>
      </c>
      <c r="B251">
        <f>COUNTIF(Inventory_Table[Supplier_Name],A251)</f>
        <v>3</v>
      </c>
      <c r="C251">
        <f>COUNTIFS(Inventory_Table[Supplier_Name],A251,Inventory_Table[Status],"Active")</f>
        <v>2</v>
      </c>
      <c r="D251">
        <f>COUNTIFS(Inventory_Table[Supplier_Name],A251,Inventory_Table[Status],"Backordered")</f>
        <v>1</v>
      </c>
      <c r="E251">
        <f>COUNTIFS(Inventory_Table[Supplier_Name],A251,Inventory_Table[Status],"Discontinued")</f>
        <v>0</v>
      </c>
      <c r="F251">
        <f>SUMIF(Inventory_Table[Supplier_Name],A251,Inventory_Table[Stock_Value])</f>
        <v>480.79999999999995</v>
      </c>
      <c r="G251" s="21">
        <f t="shared" si="3"/>
        <v>0.66666666666666674</v>
      </c>
    </row>
    <row r="252" spans="1:7" x14ac:dyDescent="0.35">
      <c r="A252" t="str">
        <v>Skyndu</v>
      </c>
      <c r="B252">
        <f>COUNTIF(Inventory_Table[Supplier_Name],A252)</f>
        <v>5</v>
      </c>
      <c r="C252">
        <f>COUNTIFS(Inventory_Table[Supplier_Name],A252,Inventory_Table[Status],"Active")</f>
        <v>2</v>
      </c>
      <c r="D252">
        <f>COUNTIFS(Inventory_Table[Supplier_Name],A252,Inventory_Table[Status],"Backordered")</f>
        <v>1</v>
      </c>
      <c r="E252">
        <f>COUNTIFS(Inventory_Table[Supplier_Name],A252,Inventory_Table[Status],"Discontinued")</f>
        <v>2</v>
      </c>
      <c r="F252">
        <f>SUMIF(Inventory_Table[Supplier_Name],A252,Inventory_Table[Stock_Value])</f>
        <v>2179</v>
      </c>
      <c r="G252" s="21">
        <f t="shared" si="3"/>
        <v>0.4</v>
      </c>
    </row>
    <row r="253" spans="1:7" x14ac:dyDescent="0.35">
      <c r="A253" t="str">
        <v>Skynoodle</v>
      </c>
      <c r="B253">
        <f>COUNTIF(Inventory_Table[Supplier_Name],A253)</f>
        <v>4</v>
      </c>
      <c r="C253">
        <f>COUNTIFS(Inventory_Table[Supplier_Name],A253,Inventory_Table[Status],"Active")</f>
        <v>1</v>
      </c>
      <c r="D253">
        <f>COUNTIFS(Inventory_Table[Supplier_Name],A253,Inventory_Table[Status],"Backordered")</f>
        <v>2</v>
      </c>
      <c r="E253">
        <f>COUNTIFS(Inventory_Table[Supplier_Name],A253,Inventory_Table[Status],"Discontinued")</f>
        <v>1</v>
      </c>
      <c r="F253">
        <f>SUMIF(Inventory_Table[Supplier_Name],A253,Inventory_Table[Stock_Value])</f>
        <v>1014.5</v>
      </c>
      <c r="G253" s="21">
        <f t="shared" si="3"/>
        <v>0.25</v>
      </c>
    </row>
    <row r="254" spans="1:7" x14ac:dyDescent="0.35">
      <c r="A254" t="str">
        <v>Skyvu</v>
      </c>
      <c r="B254">
        <f>COUNTIF(Inventory_Table[Supplier_Name],A254)</f>
        <v>1</v>
      </c>
      <c r="C254">
        <f>COUNTIFS(Inventory_Table[Supplier_Name],A254,Inventory_Table[Status],"Active")</f>
        <v>1</v>
      </c>
      <c r="D254">
        <f>COUNTIFS(Inventory_Table[Supplier_Name],A254,Inventory_Table[Status],"Backordered")</f>
        <v>0</v>
      </c>
      <c r="E254">
        <f>COUNTIFS(Inventory_Table[Supplier_Name],A254,Inventory_Table[Status],"Discontinued")</f>
        <v>0</v>
      </c>
      <c r="F254">
        <f>SUMIF(Inventory_Table[Supplier_Name],A254,Inventory_Table[Stock_Value])</f>
        <v>44</v>
      </c>
      <c r="G254" s="21">
        <f t="shared" si="3"/>
        <v>1</v>
      </c>
    </row>
    <row r="255" spans="1:7" x14ac:dyDescent="0.35">
      <c r="A255" t="str">
        <v>Snaptags</v>
      </c>
      <c r="B255">
        <f>COUNTIF(Inventory_Table[Supplier_Name],A255)</f>
        <v>2</v>
      </c>
      <c r="C255">
        <f>COUNTIFS(Inventory_Table[Supplier_Name],A255,Inventory_Table[Status],"Active")</f>
        <v>0</v>
      </c>
      <c r="D255">
        <f>COUNTIFS(Inventory_Table[Supplier_Name],A255,Inventory_Table[Status],"Backordered")</f>
        <v>0</v>
      </c>
      <c r="E255">
        <f>COUNTIFS(Inventory_Table[Supplier_Name],A255,Inventory_Table[Status],"Discontinued")</f>
        <v>2</v>
      </c>
      <c r="F255">
        <f>SUMIF(Inventory_Table[Supplier_Name],A255,Inventory_Table[Stock_Value])</f>
        <v>891</v>
      </c>
      <c r="G255" s="21">
        <f t="shared" si="3"/>
        <v>0</v>
      </c>
    </row>
    <row r="256" spans="1:7" x14ac:dyDescent="0.35">
      <c r="A256" t="str">
        <v>Tagcat</v>
      </c>
      <c r="B256">
        <f>COUNTIF(Inventory_Table[Supplier_Name],A256)</f>
        <v>3</v>
      </c>
      <c r="C256">
        <f>COUNTIFS(Inventory_Table[Supplier_Name],A256,Inventory_Table[Status],"Active")</f>
        <v>0</v>
      </c>
      <c r="D256">
        <f>COUNTIFS(Inventory_Table[Supplier_Name],A256,Inventory_Table[Status],"Backordered")</f>
        <v>1</v>
      </c>
      <c r="E256">
        <f>COUNTIFS(Inventory_Table[Supplier_Name],A256,Inventory_Table[Status],"Discontinued")</f>
        <v>2</v>
      </c>
      <c r="F256">
        <f>SUMIF(Inventory_Table[Supplier_Name],A256,Inventory_Table[Stock_Value])</f>
        <v>527</v>
      </c>
      <c r="G256" s="21">
        <f t="shared" si="3"/>
        <v>0</v>
      </c>
    </row>
    <row r="257" spans="1:7" x14ac:dyDescent="0.35">
      <c r="A257" t="str">
        <v>Tagchat</v>
      </c>
      <c r="B257">
        <f>COUNTIF(Inventory_Table[Supplier_Name],A257)</f>
        <v>2</v>
      </c>
      <c r="C257">
        <f>COUNTIFS(Inventory_Table[Supplier_Name],A257,Inventory_Table[Status],"Active")</f>
        <v>1</v>
      </c>
      <c r="D257">
        <f>COUNTIFS(Inventory_Table[Supplier_Name],A257,Inventory_Table[Status],"Backordered")</f>
        <v>0</v>
      </c>
      <c r="E257">
        <f>COUNTIFS(Inventory_Table[Supplier_Name],A257,Inventory_Table[Status],"Discontinued")</f>
        <v>1</v>
      </c>
      <c r="F257">
        <f>SUMIF(Inventory_Table[Supplier_Name],A257,Inventory_Table[Stock_Value])</f>
        <v>380</v>
      </c>
      <c r="G257" s="21">
        <f t="shared" si="3"/>
        <v>0.5</v>
      </c>
    </row>
    <row r="258" spans="1:7" x14ac:dyDescent="0.35">
      <c r="A258" t="str">
        <v>Tagfeed</v>
      </c>
      <c r="B258">
        <f>COUNTIF(Inventory_Table[Supplier_Name],A258)</f>
        <v>2</v>
      </c>
      <c r="C258">
        <f>COUNTIFS(Inventory_Table[Supplier_Name],A258,Inventory_Table[Status],"Active")</f>
        <v>2</v>
      </c>
      <c r="D258">
        <f>COUNTIFS(Inventory_Table[Supplier_Name],A258,Inventory_Table[Status],"Backordered")</f>
        <v>0</v>
      </c>
      <c r="E258">
        <f>COUNTIFS(Inventory_Table[Supplier_Name],A258,Inventory_Table[Status],"Discontinued")</f>
        <v>0</v>
      </c>
      <c r="F258">
        <f>SUMIF(Inventory_Table[Supplier_Name],A258,Inventory_Table[Stock_Value])</f>
        <v>315</v>
      </c>
      <c r="G258" s="21">
        <f t="shared" si="3"/>
        <v>1</v>
      </c>
    </row>
    <row r="259" spans="1:7" x14ac:dyDescent="0.35">
      <c r="A259" t="str">
        <v>Tagopia</v>
      </c>
      <c r="B259">
        <f>COUNTIF(Inventory_Table[Supplier_Name],A259)</f>
        <v>4</v>
      </c>
      <c r="C259">
        <f>COUNTIFS(Inventory_Table[Supplier_Name],A259,Inventory_Table[Status],"Active")</f>
        <v>1</v>
      </c>
      <c r="D259">
        <f>COUNTIFS(Inventory_Table[Supplier_Name],A259,Inventory_Table[Status],"Backordered")</f>
        <v>2</v>
      </c>
      <c r="E259">
        <f>COUNTIFS(Inventory_Table[Supplier_Name],A259,Inventory_Table[Status],"Discontinued")</f>
        <v>1</v>
      </c>
      <c r="F259">
        <f>SUMIF(Inventory_Table[Supplier_Name],A259,Inventory_Table[Stock_Value])</f>
        <v>455.9</v>
      </c>
      <c r="G259" s="21">
        <f t="shared" ref="G259:G322" si="4">1-(D259+E259)/B259</f>
        <v>0.25</v>
      </c>
    </row>
    <row r="260" spans="1:7" x14ac:dyDescent="0.35">
      <c r="A260" t="str">
        <v>Tagpad</v>
      </c>
      <c r="B260">
        <f>COUNTIF(Inventory_Table[Supplier_Name],A260)</f>
        <v>3</v>
      </c>
      <c r="C260">
        <f>COUNTIFS(Inventory_Table[Supplier_Name],A260,Inventory_Table[Status],"Active")</f>
        <v>1</v>
      </c>
      <c r="D260">
        <f>COUNTIFS(Inventory_Table[Supplier_Name],A260,Inventory_Table[Status],"Backordered")</f>
        <v>2</v>
      </c>
      <c r="E260">
        <f>COUNTIFS(Inventory_Table[Supplier_Name],A260,Inventory_Table[Status],"Discontinued")</f>
        <v>0</v>
      </c>
      <c r="F260">
        <f>SUMIF(Inventory_Table[Supplier_Name],A260,Inventory_Table[Stock_Value])</f>
        <v>2598.6999999999998</v>
      </c>
      <c r="G260" s="21">
        <f t="shared" si="4"/>
        <v>0.33333333333333337</v>
      </c>
    </row>
    <row r="261" spans="1:7" x14ac:dyDescent="0.35">
      <c r="A261" t="str">
        <v>Tagtune</v>
      </c>
      <c r="B261">
        <f>COUNTIF(Inventory_Table[Supplier_Name],A261)</f>
        <v>3</v>
      </c>
      <c r="C261">
        <f>COUNTIFS(Inventory_Table[Supplier_Name],A261,Inventory_Table[Status],"Active")</f>
        <v>2</v>
      </c>
      <c r="D261">
        <f>COUNTIFS(Inventory_Table[Supplier_Name],A261,Inventory_Table[Status],"Backordered")</f>
        <v>1</v>
      </c>
      <c r="E261">
        <f>COUNTIFS(Inventory_Table[Supplier_Name],A261,Inventory_Table[Status],"Discontinued")</f>
        <v>0</v>
      </c>
      <c r="F261">
        <f>SUMIF(Inventory_Table[Supplier_Name],A261,Inventory_Table[Stock_Value])</f>
        <v>542.80000000000007</v>
      </c>
      <c r="G261" s="21">
        <f t="shared" si="4"/>
        <v>0.66666666666666674</v>
      </c>
    </row>
    <row r="262" spans="1:7" x14ac:dyDescent="0.35">
      <c r="A262" t="str">
        <v>Talane</v>
      </c>
      <c r="B262">
        <f>COUNTIF(Inventory_Table[Supplier_Name],A262)</f>
        <v>4</v>
      </c>
      <c r="C262">
        <f>COUNTIFS(Inventory_Table[Supplier_Name],A262,Inventory_Table[Status],"Active")</f>
        <v>0</v>
      </c>
      <c r="D262">
        <f>COUNTIFS(Inventory_Table[Supplier_Name],A262,Inventory_Table[Status],"Backordered")</f>
        <v>1</v>
      </c>
      <c r="E262">
        <f>COUNTIFS(Inventory_Table[Supplier_Name],A262,Inventory_Table[Status],"Discontinued")</f>
        <v>3</v>
      </c>
      <c r="F262">
        <f>SUMIF(Inventory_Table[Supplier_Name],A262,Inventory_Table[Stock_Value])</f>
        <v>1136</v>
      </c>
      <c r="G262" s="21">
        <f t="shared" si="4"/>
        <v>0</v>
      </c>
    </row>
    <row r="263" spans="1:7" x14ac:dyDescent="0.35">
      <c r="A263" t="str">
        <v>Tambee</v>
      </c>
      <c r="B263">
        <f>COUNTIF(Inventory_Table[Supplier_Name],A263)</f>
        <v>1</v>
      </c>
      <c r="C263">
        <f>COUNTIFS(Inventory_Table[Supplier_Name],A263,Inventory_Table[Status],"Active")</f>
        <v>1</v>
      </c>
      <c r="D263">
        <f>COUNTIFS(Inventory_Table[Supplier_Name],A263,Inventory_Table[Status],"Backordered")</f>
        <v>0</v>
      </c>
      <c r="E263">
        <f>COUNTIFS(Inventory_Table[Supplier_Name],A263,Inventory_Table[Status],"Discontinued")</f>
        <v>0</v>
      </c>
      <c r="F263">
        <f>SUMIF(Inventory_Table[Supplier_Name],A263,Inventory_Table[Stock_Value])</f>
        <v>340</v>
      </c>
      <c r="G263" s="21">
        <f t="shared" si="4"/>
        <v>1</v>
      </c>
    </row>
    <row r="264" spans="1:7" x14ac:dyDescent="0.35">
      <c r="A264" t="str">
        <v>Tanoodle</v>
      </c>
      <c r="B264">
        <f>COUNTIF(Inventory_Table[Supplier_Name],A264)</f>
        <v>5</v>
      </c>
      <c r="C264">
        <f>COUNTIFS(Inventory_Table[Supplier_Name],A264,Inventory_Table[Status],"Active")</f>
        <v>2</v>
      </c>
      <c r="D264">
        <f>COUNTIFS(Inventory_Table[Supplier_Name],A264,Inventory_Table[Status],"Backordered")</f>
        <v>3</v>
      </c>
      <c r="E264">
        <f>COUNTIFS(Inventory_Table[Supplier_Name],A264,Inventory_Table[Status],"Discontinued")</f>
        <v>0</v>
      </c>
      <c r="F264">
        <f>SUMIF(Inventory_Table[Supplier_Name],A264,Inventory_Table[Stock_Value])</f>
        <v>799.9</v>
      </c>
      <c r="G264" s="21">
        <f t="shared" si="4"/>
        <v>0.4</v>
      </c>
    </row>
    <row r="265" spans="1:7" x14ac:dyDescent="0.35">
      <c r="A265" t="str">
        <v>Tavu</v>
      </c>
      <c r="B265">
        <f>COUNTIF(Inventory_Table[Supplier_Name],A265)</f>
        <v>2</v>
      </c>
      <c r="C265">
        <f>COUNTIFS(Inventory_Table[Supplier_Name],A265,Inventory_Table[Status],"Active")</f>
        <v>1</v>
      </c>
      <c r="D265">
        <f>COUNTIFS(Inventory_Table[Supplier_Name],A265,Inventory_Table[Status],"Backordered")</f>
        <v>0</v>
      </c>
      <c r="E265">
        <f>COUNTIFS(Inventory_Table[Supplier_Name],A265,Inventory_Table[Status],"Discontinued")</f>
        <v>1</v>
      </c>
      <c r="F265">
        <f>SUMIF(Inventory_Table[Supplier_Name],A265,Inventory_Table[Stock_Value])</f>
        <v>610</v>
      </c>
      <c r="G265" s="21">
        <f t="shared" si="4"/>
        <v>0.5</v>
      </c>
    </row>
    <row r="266" spans="1:7" x14ac:dyDescent="0.35">
      <c r="A266" t="str">
        <v>Tazz</v>
      </c>
      <c r="B266">
        <f>COUNTIF(Inventory_Table[Supplier_Name],A266)</f>
        <v>3</v>
      </c>
      <c r="C266">
        <f>COUNTIFS(Inventory_Table[Supplier_Name],A266,Inventory_Table[Status],"Active")</f>
        <v>1</v>
      </c>
      <c r="D266">
        <f>COUNTIFS(Inventory_Table[Supplier_Name],A266,Inventory_Table[Status],"Backordered")</f>
        <v>1</v>
      </c>
      <c r="E266">
        <f>COUNTIFS(Inventory_Table[Supplier_Name],A266,Inventory_Table[Status],"Discontinued")</f>
        <v>1</v>
      </c>
      <c r="F266">
        <f>SUMIF(Inventory_Table[Supplier_Name],A266,Inventory_Table[Stock_Value])</f>
        <v>804.5</v>
      </c>
      <c r="G266" s="21">
        <f t="shared" si="4"/>
        <v>0.33333333333333337</v>
      </c>
    </row>
    <row r="267" spans="1:7" x14ac:dyDescent="0.35">
      <c r="A267" t="str">
        <v>Tekfly</v>
      </c>
      <c r="B267">
        <f>COUNTIF(Inventory_Table[Supplier_Name],A267)</f>
        <v>1</v>
      </c>
      <c r="C267">
        <f>COUNTIFS(Inventory_Table[Supplier_Name],A267,Inventory_Table[Status],"Active")</f>
        <v>1</v>
      </c>
      <c r="D267">
        <f>COUNTIFS(Inventory_Table[Supplier_Name],A267,Inventory_Table[Status],"Backordered")</f>
        <v>0</v>
      </c>
      <c r="E267">
        <f>COUNTIFS(Inventory_Table[Supplier_Name],A267,Inventory_Table[Status],"Discontinued")</f>
        <v>0</v>
      </c>
      <c r="F267">
        <f>SUMIF(Inventory_Table[Supplier_Name],A267,Inventory_Table[Stock_Value])</f>
        <v>93.5</v>
      </c>
      <c r="G267" s="21">
        <f t="shared" si="4"/>
        <v>1</v>
      </c>
    </row>
    <row r="268" spans="1:7" x14ac:dyDescent="0.35">
      <c r="A268" t="str">
        <v>Teklist</v>
      </c>
      <c r="B268">
        <f>COUNTIF(Inventory_Table[Supplier_Name],A268)</f>
        <v>1</v>
      </c>
      <c r="C268">
        <f>COUNTIFS(Inventory_Table[Supplier_Name],A268,Inventory_Table[Status],"Active")</f>
        <v>1</v>
      </c>
      <c r="D268">
        <f>COUNTIFS(Inventory_Table[Supplier_Name],A268,Inventory_Table[Status],"Backordered")</f>
        <v>0</v>
      </c>
      <c r="E268">
        <f>COUNTIFS(Inventory_Table[Supplier_Name],A268,Inventory_Table[Status],"Discontinued")</f>
        <v>0</v>
      </c>
      <c r="F268">
        <f>SUMIF(Inventory_Table[Supplier_Name],A268,Inventory_Table[Stock_Value])</f>
        <v>102</v>
      </c>
      <c r="G268" s="21">
        <f t="shared" si="4"/>
        <v>1</v>
      </c>
    </row>
    <row r="269" spans="1:7" x14ac:dyDescent="0.35">
      <c r="A269" t="str">
        <v>Thoughtbeat</v>
      </c>
      <c r="B269">
        <f>COUNTIF(Inventory_Table[Supplier_Name],A269)</f>
        <v>4</v>
      </c>
      <c r="C269">
        <f>COUNTIFS(Inventory_Table[Supplier_Name],A269,Inventory_Table[Status],"Active")</f>
        <v>1</v>
      </c>
      <c r="D269">
        <f>COUNTIFS(Inventory_Table[Supplier_Name],A269,Inventory_Table[Status],"Backordered")</f>
        <v>1</v>
      </c>
      <c r="E269">
        <f>COUNTIFS(Inventory_Table[Supplier_Name],A269,Inventory_Table[Status],"Discontinued")</f>
        <v>2</v>
      </c>
      <c r="F269">
        <f>SUMIF(Inventory_Table[Supplier_Name],A269,Inventory_Table[Stock_Value])</f>
        <v>2404.5</v>
      </c>
      <c r="G269" s="21">
        <f t="shared" si="4"/>
        <v>0.25</v>
      </c>
    </row>
    <row r="270" spans="1:7" x14ac:dyDescent="0.35">
      <c r="A270" t="str">
        <v>Thoughtblab</v>
      </c>
      <c r="B270">
        <f>COUNTIF(Inventory_Table[Supplier_Name],A270)</f>
        <v>5</v>
      </c>
      <c r="C270">
        <f>COUNTIFS(Inventory_Table[Supplier_Name],A270,Inventory_Table[Status],"Active")</f>
        <v>1</v>
      </c>
      <c r="D270">
        <f>COUNTIFS(Inventory_Table[Supplier_Name],A270,Inventory_Table[Status],"Backordered")</f>
        <v>3</v>
      </c>
      <c r="E270">
        <f>COUNTIFS(Inventory_Table[Supplier_Name],A270,Inventory_Table[Status],"Discontinued")</f>
        <v>1</v>
      </c>
      <c r="F270">
        <f>SUMIF(Inventory_Table[Supplier_Name],A270,Inventory_Table[Stock_Value])</f>
        <v>2180</v>
      </c>
      <c r="G270" s="21">
        <f t="shared" si="4"/>
        <v>0.19999999999999996</v>
      </c>
    </row>
    <row r="271" spans="1:7" x14ac:dyDescent="0.35">
      <c r="A271" t="str">
        <v>Thoughtbridge</v>
      </c>
      <c r="B271">
        <f>COUNTIF(Inventory_Table[Supplier_Name],A271)</f>
        <v>1</v>
      </c>
      <c r="C271">
        <f>COUNTIFS(Inventory_Table[Supplier_Name],A271,Inventory_Table[Status],"Active")</f>
        <v>1</v>
      </c>
      <c r="D271">
        <f>COUNTIFS(Inventory_Table[Supplier_Name],A271,Inventory_Table[Status],"Backordered")</f>
        <v>0</v>
      </c>
      <c r="E271">
        <f>COUNTIFS(Inventory_Table[Supplier_Name],A271,Inventory_Table[Status],"Discontinued")</f>
        <v>0</v>
      </c>
      <c r="F271">
        <f>SUMIF(Inventory_Table[Supplier_Name],A271,Inventory_Table[Stock_Value])</f>
        <v>31.2</v>
      </c>
      <c r="G271" s="21">
        <f t="shared" si="4"/>
        <v>1</v>
      </c>
    </row>
    <row r="272" spans="1:7" x14ac:dyDescent="0.35">
      <c r="A272" t="str">
        <v>Thoughtmix</v>
      </c>
      <c r="B272">
        <f>COUNTIF(Inventory_Table[Supplier_Name],A272)</f>
        <v>2</v>
      </c>
      <c r="C272">
        <f>COUNTIFS(Inventory_Table[Supplier_Name],A272,Inventory_Table[Status],"Active")</f>
        <v>1</v>
      </c>
      <c r="D272">
        <f>COUNTIFS(Inventory_Table[Supplier_Name],A272,Inventory_Table[Status],"Backordered")</f>
        <v>0</v>
      </c>
      <c r="E272">
        <f>COUNTIFS(Inventory_Table[Supplier_Name],A272,Inventory_Table[Status],"Discontinued")</f>
        <v>1</v>
      </c>
      <c r="F272">
        <f>SUMIF(Inventory_Table[Supplier_Name],A272,Inventory_Table[Stock_Value])</f>
        <v>547.6</v>
      </c>
      <c r="G272" s="21">
        <f t="shared" si="4"/>
        <v>0.5</v>
      </c>
    </row>
    <row r="273" spans="1:7" x14ac:dyDescent="0.35">
      <c r="A273" t="str">
        <v>Thoughtsphere</v>
      </c>
      <c r="B273">
        <f>COUNTIF(Inventory_Table[Supplier_Name],A273)</f>
        <v>2</v>
      </c>
      <c r="C273">
        <f>COUNTIFS(Inventory_Table[Supplier_Name],A273,Inventory_Table[Status],"Active")</f>
        <v>0</v>
      </c>
      <c r="D273">
        <f>COUNTIFS(Inventory_Table[Supplier_Name],A273,Inventory_Table[Status],"Backordered")</f>
        <v>0</v>
      </c>
      <c r="E273">
        <f>COUNTIFS(Inventory_Table[Supplier_Name],A273,Inventory_Table[Status],"Discontinued")</f>
        <v>2</v>
      </c>
      <c r="F273">
        <f>SUMIF(Inventory_Table[Supplier_Name],A273,Inventory_Table[Stock_Value])</f>
        <v>747</v>
      </c>
      <c r="G273" s="21">
        <f t="shared" si="4"/>
        <v>0</v>
      </c>
    </row>
    <row r="274" spans="1:7" x14ac:dyDescent="0.35">
      <c r="A274" t="str">
        <v>Thoughtstorm</v>
      </c>
      <c r="B274">
        <f>COUNTIF(Inventory_Table[Supplier_Name],A274)</f>
        <v>4</v>
      </c>
      <c r="C274">
        <f>COUNTIFS(Inventory_Table[Supplier_Name],A274,Inventory_Table[Status],"Active")</f>
        <v>2</v>
      </c>
      <c r="D274">
        <f>COUNTIFS(Inventory_Table[Supplier_Name],A274,Inventory_Table[Status],"Backordered")</f>
        <v>0</v>
      </c>
      <c r="E274">
        <f>COUNTIFS(Inventory_Table[Supplier_Name],A274,Inventory_Table[Status],"Discontinued")</f>
        <v>2</v>
      </c>
      <c r="F274">
        <f>SUMIF(Inventory_Table[Supplier_Name],A274,Inventory_Table[Stock_Value])</f>
        <v>1376</v>
      </c>
      <c r="G274" s="21">
        <f t="shared" si="4"/>
        <v>0.5</v>
      </c>
    </row>
    <row r="275" spans="1:7" x14ac:dyDescent="0.35">
      <c r="A275" t="str">
        <v>Thoughtworks</v>
      </c>
      <c r="B275">
        <f>COUNTIF(Inventory_Table[Supplier_Name],A275)</f>
        <v>1</v>
      </c>
      <c r="C275">
        <f>COUNTIFS(Inventory_Table[Supplier_Name],A275,Inventory_Table[Status],"Active")</f>
        <v>0</v>
      </c>
      <c r="D275">
        <f>COUNTIFS(Inventory_Table[Supplier_Name],A275,Inventory_Table[Status],"Backordered")</f>
        <v>1</v>
      </c>
      <c r="E275">
        <f>COUNTIFS(Inventory_Table[Supplier_Name],A275,Inventory_Table[Status],"Discontinued")</f>
        <v>0</v>
      </c>
      <c r="F275">
        <f>SUMIF(Inventory_Table[Supplier_Name],A275,Inventory_Table[Stock_Value])</f>
        <v>140</v>
      </c>
      <c r="G275" s="21">
        <f t="shared" si="4"/>
        <v>0</v>
      </c>
    </row>
    <row r="276" spans="1:7" x14ac:dyDescent="0.35">
      <c r="A276" t="str">
        <v>Topdrive</v>
      </c>
      <c r="B276">
        <f>COUNTIF(Inventory_Table[Supplier_Name],A276)</f>
        <v>4</v>
      </c>
      <c r="C276">
        <f>COUNTIFS(Inventory_Table[Supplier_Name],A276,Inventory_Table[Status],"Active")</f>
        <v>1</v>
      </c>
      <c r="D276">
        <f>COUNTIFS(Inventory_Table[Supplier_Name],A276,Inventory_Table[Status],"Backordered")</f>
        <v>0</v>
      </c>
      <c r="E276">
        <f>COUNTIFS(Inventory_Table[Supplier_Name],A276,Inventory_Table[Status],"Discontinued")</f>
        <v>3</v>
      </c>
      <c r="F276">
        <f>SUMIF(Inventory_Table[Supplier_Name],A276,Inventory_Table[Stock_Value])</f>
        <v>511.35</v>
      </c>
      <c r="G276" s="21">
        <f t="shared" si="4"/>
        <v>0.25</v>
      </c>
    </row>
    <row r="277" spans="1:7" x14ac:dyDescent="0.35">
      <c r="A277" t="str">
        <v>Topicblab</v>
      </c>
      <c r="B277">
        <f>COUNTIF(Inventory_Table[Supplier_Name],A277)</f>
        <v>4</v>
      </c>
      <c r="C277">
        <f>COUNTIFS(Inventory_Table[Supplier_Name],A277,Inventory_Table[Status],"Active")</f>
        <v>3</v>
      </c>
      <c r="D277">
        <f>COUNTIFS(Inventory_Table[Supplier_Name],A277,Inventory_Table[Status],"Backordered")</f>
        <v>0</v>
      </c>
      <c r="E277">
        <f>COUNTIFS(Inventory_Table[Supplier_Name],A277,Inventory_Table[Status],"Discontinued")</f>
        <v>1</v>
      </c>
      <c r="F277">
        <f>SUMIF(Inventory_Table[Supplier_Name],A277,Inventory_Table[Stock_Value])</f>
        <v>1274.1999999999998</v>
      </c>
      <c r="G277" s="21">
        <f t="shared" si="4"/>
        <v>0.75</v>
      </c>
    </row>
    <row r="278" spans="1:7" x14ac:dyDescent="0.35">
      <c r="A278" t="str">
        <v>Topiclounge</v>
      </c>
      <c r="B278">
        <f>COUNTIF(Inventory_Table[Supplier_Name],A278)</f>
        <v>3</v>
      </c>
      <c r="C278">
        <f>COUNTIFS(Inventory_Table[Supplier_Name],A278,Inventory_Table[Status],"Active")</f>
        <v>1</v>
      </c>
      <c r="D278">
        <f>COUNTIFS(Inventory_Table[Supplier_Name],A278,Inventory_Table[Status],"Backordered")</f>
        <v>0</v>
      </c>
      <c r="E278">
        <f>COUNTIFS(Inventory_Table[Supplier_Name],A278,Inventory_Table[Status],"Discontinued")</f>
        <v>2</v>
      </c>
      <c r="F278">
        <f>SUMIF(Inventory_Table[Supplier_Name],A278,Inventory_Table[Stock_Value])</f>
        <v>359.4</v>
      </c>
      <c r="G278" s="21">
        <f t="shared" si="4"/>
        <v>0.33333333333333337</v>
      </c>
    </row>
    <row r="279" spans="1:7" x14ac:dyDescent="0.35">
      <c r="A279" t="str">
        <v>Topicshots</v>
      </c>
      <c r="B279">
        <f>COUNTIF(Inventory_Table[Supplier_Name],A279)</f>
        <v>3</v>
      </c>
      <c r="C279">
        <f>COUNTIFS(Inventory_Table[Supplier_Name],A279,Inventory_Table[Status],"Active")</f>
        <v>2</v>
      </c>
      <c r="D279">
        <f>COUNTIFS(Inventory_Table[Supplier_Name],A279,Inventory_Table[Status],"Backordered")</f>
        <v>1</v>
      </c>
      <c r="E279">
        <f>COUNTIFS(Inventory_Table[Supplier_Name],A279,Inventory_Table[Status],"Discontinued")</f>
        <v>0</v>
      </c>
      <c r="F279">
        <f>SUMIF(Inventory_Table[Supplier_Name],A279,Inventory_Table[Stock_Value])</f>
        <v>373.4</v>
      </c>
      <c r="G279" s="21">
        <f t="shared" si="4"/>
        <v>0.66666666666666674</v>
      </c>
    </row>
    <row r="280" spans="1:7" x14ac:dyDescent="0.35">
      <c r="A280" t="str">
        <v>Topicstorm</v>
      </c>
      <c r="B280">
        <f>COUNTIF(Inventory_Table[Supplier_Name],A280)</f>
        <v>4</v>
      </c>
      <c r="C280">
        <f>COUNTIFS(Inventory_Table[Supplier_Name],A280,Inventory_Table[Status],"Active")</f>
        <v>1</v>
      </c>
      <c r="D280">
        <f>COUNTIFS(Inventory_Table[Supplier_Name],A280,Inventory_Table[Status],"Backordered")</f>
        <v>2</v>
      </c>
      <c r="E280">
        <f>COUNTIFS(Inventory_Table[Supplier_Name],A280,Inventory_Table[Status],"Discontinued")</f>
        <v>1</v>
      </c>
      <c r="F280">
        <f>SUMIF(Inventory_Table[Supplier_Name],A280,Inventory_Table[Stock_Value])</f>
        <v>683.25</v>
      </c>
      <c r="G280" s="21">
        <f t="shared" si="4"/>
        <v>0.25</v>
      </c>
    </row>
    <row r="281" spans="1:7" x14ac:dyDescent="0.35">
      <c r="A281" t="str">
        <v>Topicware</v>
      </c>
      <c r="B281">
        <f>COUNTIF(Inventory_Table[Supplier_Name],A281)</f>
        <v>2</v>
      </c>
      <c r="C281">
        <f>COUNTIFS(Inventory_Table[Supplier_Name],A281,Inventory_Table[Status],"Active")</f>
        <v>2</v>
      </c>
      <c r="D281">
        <f>COUNTIFS(Inventory_Table[Supplier_Name],A281,Inventory_Table[Status],"Backordered")</f>
        <v>0</v>
      </c>
      <c r="E281">
        <f>COUNTIFS(Inventory_Table[Supplier_Name],A281,Inventory_Table[Status],"Discontinued")</f>
        <v>0</v>
      </c>
      <c r="F281">
        <f>SUMIF(Inventory_Table[Supplier_Name],A281,Inventory_Table[Stock_Value])</f>
        <v>530.15000000000009</v>
      </c>
      <c r="G281" s="21">
        <f t="shared" si="4"/>
        <v>1</v>
      </c>
    </row>
    <row r="282" spans="1:7" x14ac:dyDescent="0.35">
      <c r="A282" t="str">
        <v>Topiczoom</v>
      </c>
      <c r="B282">
        <f>COUNTIF(Inventory_Table[Supplier_Name],A282)</f>
        <v>1</v>
      </c>
      <c r="C282">
        <f>COUNTIFS(Inventory_Table[Supplier_Name],A282,Inventory_Table[Status],"Active")</f>
        <v>0</v>
      </c>
      <c r="D282">
        <f>COUNTIFS(Inventory_Table[Supplier_Name],A282,Inventory_Table[Status],"Backordered")</f>
        <v>0</v>
      </c>
      <c r="E282">
        <f>COUNTIFS(Inventory_Table[Supplier_Name],A282,Inventory_Table[Status],"Discontinued")</f>
        <v>1</v>
      </c>
      <c r="F282">
        <f>SUMIF(Inventory_Table[Supplier_Name],A282,Inventory_Table[Stock_Value])</f>
        <v>365</v>
      </c>
      <c r="G282" s="21">
        <f t="shared" si="4"/>
        <v>0</v>
      </c>
    </row>
    <row r="283" spans="1:7" x14ac:dyDescent="0.35">
      <c r="A283" t="str">
        <v>Trilia</v>
      </c>
      <c r="B283">
        <f>COUNTIF(Inventory_Table[Supplier_Name],A283)</f>
        <v>3</v>
      </c>
      <c r="C283">
        <f>COUNTIFS(Inventory_Table[Supplier_Name],A283,Inventory_Table[Status],"Active")</f>
        <v>2</v>
      </c>
      <c r="D283">
        <f>COUNTIFS(Inventory_Table[Supplier_Name],A283,Inventory_Table[Status],"Backordered")</f>
        <v>1</v>
      </c>
      <c r="E283">
        <f>COUNTIFS(Inventory_Table[Supplier_Name],A283,Inventory_Table[Status],"Discontinued")</f>
        <v>0</v>
      </c>
      <c r="F283">
        <f>SUMIF(Inventory_Table[Supplier_Name],A283,Inventory_Table[Stock_Value])</f>
        <v>750.5</v>
      </c>
      <c r="G283" s="21">
        <f t="shared" si="4"/>
        <v>0.66666666666666674</v>
      </c>
    </row>
    <row r="284" spans="1:7" x14ac:dyDescent="0.35">
      <c r="A284" t="str">
        <v>Trilith</v>
      </c>
      <c r="B284">
        <f>COUNTIF(Inventory_Table[Supplier_Name],A284)</f>
        <v>1</v>
      </c>
      <c r="C284">
        <f>COUNTIFS(Inventory_Table[Supplier_Name],A284,Inventory_Table[Status],"Active")</f>
        <v>0</v>
      </c>
      <c r="D284">
        <f>COUNTIFS(Inventory_Table[Supplier_Name],A284,Inventory_Table[Status],"Backordered")</f>
        <v>0</v>
      </c>
      <c r="E284">
        <f>COUNTIFS(Inventory_Table[Supplier_Name],A284,Inventory_Table[Status],"Discontinued")</f>
        <v>1</v>
      </c>
      <c r="F284">
        <f>SUMIF(Inventory_Table[Supplier_Name],A284,Inventory_Table[Stock_Value])</f>
        <v>155</v>
      </c>
      <c r="G284" s="21">
        <f t="shared" si="4"/>
        <v>0</v>
      </c>
    </row>
    <row r="285" spans="1:7" x14ac:dyDescent="0.35">
      <c r="A285" t="str">
        <v>Trudeo</v>
      </c>
      <c r="B285">
        <f>COUNTIF(Inventory_Table[Supplier_Name],A285)</f>
        <v>2</v>
      </c>
      <c r="C285">
        <f>COUNTIFS(Inventory_Table[Supplier_Name],A285,Inventory_Table[Status],"Active")</f>
        <v>0</v>
      </c>
      <c r="D285">
        <f>COUNTIFS(Inventory_Table[Supplier_Name],A285,Inventory_Table[Status],"Backordered")</f>
        <v>1</v>
      </c>
      <c r="E285">
        <f>COUNTIFS(Inventory_Table[Supplier_Name],A285,Inventory_Table[Status],"Discontinued")</f>
        <v>1</v>
      </c>
      <c r="F285">
        <f>SUMIF(Inventory_Table[Supplier_Name],A285,Inventory_Table[Stock_Value])</f>
        <v>244</v>
      </c>
      <c r="G285" s="21">
        <f t="shared" si="4"/>
        <v>0</v>
      </c>
    </row>
    <row r="286" spans="1:7" x14ac:dyDescent="0.35">
      <c r="A286" t="str">
        <v>Trudoo</v>
      </c>
      <c r="B286">
        <f>COUNTIF(Inventory_Table[Supplier_Name],A286)</f>
        <v>1</v>
      </c>
      <c r="C286">
        <f>COUNTIFS(Inventory_Table[Supplier_Name],A286,Inventory_Table[Status],"Active")</f>
        <v>1</v>
      </c>
      <c r="D286">
        <f>COUNTIFS(Inventory_Table[Supplier_Name],A286,Inventory_Table[Status],"Backordered")</f>
        <v>0</v>
      </c>
      <c r="E286">
        <f>COUNTIFS(Inventory_Table[Supplier_Name],A286,Inventory_Table[Status],"Discontinued")</f>
        <v>0</v>
      </c>
      <c r="F286">
        <f>SUMIF(Inventory_Table[Supplier_Name],A286,Inventory_Table[Stock_Value])</f>
        <v>722</v>
      </c>
      <c r="G286" s="21">
        <f t="shared" si="4"/>
        <v>1</v>
      </c>
    </row>
    <row r="287" spans="1:7" x14ac:dyDescent="0.35">
      <c r="A287" t="str">
        <v>Trunyx</v>
      </c>
      <c r="B287">
        <f>COUNTIF(Inventory_Table[Supplier_Name],A287)</f>
        <v>3</v>
      </c>
      <c r="C287">
        <f>COUNTIFS(Inventory_Table[Supplier_Name],A287,Inventory_Table[Status],"Active")</f>
        <v>3</v>
      </c>
      <c r="D287">
        <f>COUNTIFS(Inventory_Table[Supplier_Name],A287,Inventory_Table[Status],"Backordered")</f>
        <v>0</v>
      </c>
      <c r="E287">
        <f>COUNTIFS(Inventory_Table[Supplier_Name],A287,Inventory_Table[Status],"Discontinued")</f>
        <v>0</v>
      </c>
      <c r="F287">
        <f>SUMIF(Inventory_Table[Supplier_Name],A287,Inventory_Table[Stock_Value])</f>
        <v>965.2</v>
      </c>
      <c r="G287" s="21">
        <f t="shared" si="4"/>
        <v>1</v>
      </c>
    </row>
    <row r="288" spans="1:7" x14ac:dyDescent="0.35">
      <c r="A288" t="str">
        <v>Trupe</v>
      </c>
      <c r="B288">
        <f>COUNTIF(Inventory_Table[Supplier_Name],A288)</f>
        <v>2</v>
      </c>
      <c r="C288">
        <f>COUNTIFS(Inventory_Table[Supplier_Name],A288,Inventory_Table[Status],"Active")</f>
        <v>1</v>
      </c>
      <c r="D288">
        <f>COUNTIFS(Inventory_Table[Supplier_Name],A288,Inventory_Table[Status],"Backordered")</f>
        <v>1</v>
      </c>
      <c r="E288">
        <f>COUNTIFS(Inventory_Table[Supplier_Name],A288,Inventory_Table[Status],"Discontinued")</f>
        <v>0</v>
      </c>
      <c r="F288">
        <f>SUMIF(Inventory_Table[Supplier_Name],A288,Inventory_Table[Stock_Value])</f>
        <v>368</v>
      </c>
      <c r="G288" s="21">
        <f t="shared" si="4"/>
        <v>0.5</v>
      </c>
    </row>
    <row r="289" spans="1:7" x14ac:dyDescent="0.35">
      <c r="A289" t="str">
        <v>Twimm</v>
      </c>
      <c r="B289">
        <f>COUNTIF(Inventory_Table[Supplier_Name],A289)</f>
        <v>2</v>
      </c>
      <c r="C289">
        <f>COUNTIFS(Inventory_Table[Supplier_Name],A289,Inventory_Table[Status],"Active")</f>
        <v>2</v>
      </c>
      <c r="D289">
        <f>COUNTIFS(Inventory_Table[Supplier_Name],A289,Inventory_Table[Status],"Backordered")</f>
        <v>0</v>
      </c>
      <c r="E289">
        <f>COUNTIFS(Inventory_Table[Supplier_Name],A289,Inventory_Table[Status],"Discontinued")</f>
        <v>0</v>
      </c>
      <c r="F289">
        <f>SUMIF(Inventory_Table[Supplier_Name],A289,Inventory_Table[Stock_Value])</f>
        <v>293</v>
      </c>
      <c r="G289" s="21">
        <f t="shared" si="4"/>
        <v>1</v>
      </c>
    </row>
    <row r="290" spans="1:7" x14ac:dyDescent="0.35">
      <c r="A290" t="str">
        <v>Twinte</v>
      </c>
      <c r="B290">
        <f>COUNTIF(Inventory_Table[Supplier_Name],A290)</f>
        <v>1</v>
      </c>
      <c r="C290">
        <f>COUNTIFS(Inventory_Table[Supplier_Name],A290,Inventory_Table[Status],"Active")</f>
        <v>1</v>
      </c>
      <c r="D290">
        <f>COUNTIFS(Inventory_Table[Supplier_Name],A290,Inventory_Table[Status],"Backordered")</f>
        <v>0</v>
      </c>
      <c r="E290">
        <f>COUNTIFS(Inventory_Table[Supplier_Name],A290,Inventory_Table[Status],"Discontinued")</f>
        <v>0</v>
      </c>
      <c r="F290">
        <f>SUMIF(Inventory_Table[Supplier_Name],A290,Inventory_Table[Stock_Value])</f>
        <v>175</v>
      </c>
      <c r="G290" s="21">
        <f t="shared" si="4"/>
        <v>1</v>
      </c>
    </row>
    <row r="291" spans="1:7" x14ac:dyDescent="0.35">
      <c r="A291" t="str">
        <v>Twitterbeat</v>
      </c>
      <c r="B291">
        <f>COUNTIF(Inventory_Table[Supplier_Name],A291)</f>
        <v>4</v>
      </c>
      <c r="C291">
        <f>COUNTIFS(Inventory_Table[Supplier_Name],A291,Inventory_Table[Status],"Active")</f>
        <v>2</v>
      </c>
      <c r="D291">
        <f>COUNTIFS(Inventory_Table[Supplier_Name],A291,Inventory_Table[Status],"Backordered")</f>
        <v>1</v>
      </c>
      <c r="E291">
        <f>COUNTIFS(Inventory_Table[Supplier_Name],A291,Inventory_Table[Status],"Discontinued")</f>
        <v>1</v>
      </c>
      <c r="F291">
        <f>SUMIF(Inventory_Table[Supplier_Name],A291,Inventory_Table[Stock_Value])</f>
        <v>1043.8</v>
      </c>
      <c r="G291" s="21">
        <f t="shared" si="4"/>
        <v>0.5</v>
      </c>
    </row>
    <row r="292" spans="1:7" x14ac:dyDescent="0.35">
      <c r="A292" t="str">
        <v>Twitterbridge</v>
      </c>
      <c r="B292">
        <f>COUNTIF(Inventory_Table[Supplier_Name],A292)</f>
        <v>2</v>
      </c>
      <c r="C292">
        <f>COUNTIFS(Inventory_Table[Supplier_Name],A292,Inventory_Table[Status],"Active")</f>
        <v>0</v>
      </c>
      <c r="D292">
        <f>COUNTIFS(Inventory_Table[Supplier_Name],A292,Inventory_Table[Status],"Backordered")</f>
        <v>2</v>
      </c>
      <c r="E292">
        <f>COUNTIFS(Inventory_Table[Supplier_Name],A292,Inventory_Table[Status],"Discontinued")</f>
        <v>0</v>
      </c>
      <c r="F292">
        <f>SUMIF(Inventory_Table[Supplier_Name],A292,Inventory_Table[Stock_Value])</f>
        <v>742.5</v>
      </c>
      <c r="G292" s="21">
        <f t="shared" si="4"/>
        <v>0</v>
      </c>
    </row>
    <row r="293" spans="1:7" x14ac:dyDescent="0.35">
      <c r="A293" t="str">
        <v>Twitterlist</v>
      </c>
      <c r="B293">
        <f>COUNTIF(Inventory_Table[Supplier_Name],A293)</f>
        <v>1</v>
      </c>
      <c r="C293">
        <f>COUNTIFS(Inventory_Table[Supplier_Name],A293,Inventory_Table[Status],"Active")</f>
        <v>0</v>
      </c>
      <c r="D293">
        <f>COUNTIFS(Inventory_Table[Supplier_Name],A293,Inventory_Table[Status],"Backordered")</f>
        <v>0</v>
      </c>
      <c r="E293">
        <f>COUNTIFS(Inventory_Table[Supplier_Name],A293,Inventory_Table[Status],"Discontinued")</f>
        <v>1</v>
      </c>
      <c r="F293">
        <f>SUMIF(Inventory_Table[Supplier_Name],A293,Inventory_Table[Stock_Value])</f>
        <v>175.95</v>
      </c>
      <c r="G293" s="21">
        <f t="shared" si="4"/>
        <v>0</v>
      </c>
    </row>
    <row r="294" spans="1:7" x14ac:dyDescent="0.35">
      <c r="A294" t="str">
        <v>Twitternation</v>
      </c>
      <c r="B294">
        <f>COUNTIF(Inventory_Table[Supplier_Name],A294)</f>
        <v>2</v>
      </c>
      <c r="C294">
        <f>COUNTIFS(Inventory_Table[Supplier_Name],A294,Inventory_Table[Status],"Active")</f>
        <v>0</v>
      </c>
      <c r="D294">
        <f>COUNTIFS(Inventory_Table[Supplier_Name],A294,Inventory_Table[Status],"Backordered")</f>
        <v>1</v>
      </c>
      <c r="E294">
        <f>COUNTIFS(Inventory_Table[Supplier_Name],A294,Inventory_Table[Status],"Discontinued")</f>
        <v>1</v>
      </c>
      <c r="F294">
        <f>SUMIF(Inventory_Table[Supplier_Name],A294,Inventory_Table[Stock_Value])</f>
        <v>203</v>
      </c>
      <c r="G294" s="21">
        <f t="shared" si="4"/>
        <v>0</v>
      </c>
    </row>
    <row r="295" spans="1:7" x14ac:dyDescent="0.35">
      <c r="A295" t="str">
        <v>Twitterwire</v>
      </c>
      <c r="B295">
        <f>COUNTIF(Inventory_Table[Supplier_Name],A295)</f>
        <v>7</v>
      </c>
      <c r="C295">
        <f>COUNTIFS(Inventory_Table[Supplier_Name],A295,Inventory_Table[Status],"Active")</f>
        <v>2</v>
      </c>
      <c r="D295">
        <f>COUNTIFS(Inventory_Table[Supplier_Name],A295,Inventory_Table[Status],"Backordered")</f>
        <v>2</v>
      </c>
      <c r="E295">
        <f>COUNTIFS(Inventory_Table[Supplier_Name],A295,Inventory_Table[Status],"Discontinued")</f>
        <v>3</v>
      </c>
      <c r="F295">
        <f>SUMIF(Inventory_Table[Supplier_Name],A295,Inventory_Table[Stock_Value])</f>
        <v>2189.6999999999998</v>
      </c>
      <c r="G295" s="21">
        <f t="shared" si="4"/>
        <v>0.2857142857142857</v>
      </c>
    </row>
    <row r="296" spans="1:7" x14ac:dyDescent="0.35">
      <c r="A296" t="str">
        <v>Twitterworks</v>
      </c>
      <c r="B296">
        <f>COUNTIF(Inventory_Table[Supplier_Name],A296)</f>
        <v>1</v>
      </c>
      <c r="C296">
        <f>COUNTIFS(Inventory_Table[Supplier_Name],A296,Inventory_Table[Status],"Active")</f>
        <v>0</v>
      </c>
      <c r="D296">
        <f>COUNTIFS(Inventory_Table[Supplier_Name],A296,Inventory_Table[Status],"Backordered")</f>
        <v>1</v>
      </c>
      <c r="E296">
        <f>COUNTIFS(Inventory_Table[Supplier_Name],A296,Inventory_Table[Status],"Discontinued")</f>
        <v>0</v>
      </c>
      <c r="F296">
        <f>SUMIF(Inventory_Table[Supplier_Name],A296,Inventory_Table[Stock_Value])</f>
        <v>225</v>
      </c>
      <c r="G296" s="21">
        <f t="shared" si="4"/>
        <v>0</v>
      </c>
    </row>
    <row r="297" spans="1:7" x14ac:dyDescent="0.35">
      <c r="A297" t="str">
        <v>Twiyo</v>
      </c>
      <c r="B297">
        <f>COUNTIF(Inventory_Table[Supplier_Name],A297)</f>
        <v>1</v>
      </c>
      <c r="C297">
        <f>COUNTIFS(Inventory_Table[Supplier_Name],A297,Inventory_Table[Status],"Active")</f>
        <v>1</v>
      </c>
      <c r="D297">
        <f>COUNTIFS(Inventory_Table[Supplier_Name],A297,Inventory_Table[Status],"Backordered")</f>
        <v>0</v>
      </c>
      <c r="E297">
        <f>COUNTIFS(Inventory_Table[Supplier_Name],A297,Inventory_Table[Status],"Discontinued")</f>
        <v>0</v>
      </c>
      <c r="F297">
        <f>SUMIF(Inventory_Table[Supplier_Name],A297,Inventory_Table[Stock_Value])</f>
        <v>301</v>
      </c>
      <c r="G297" s="21">
        <f t="shared" si="4"/>
        <v>1</v>
      </c>
    </row>
    <row r="298" spans="1:7" x14ac:dyDescent="0.35">
      <c r="A298" t="str">
        <v>Vidoo</v>
      </c>
      <c r="B298">
        <f>COUNTIF(Inventory_Table[Supplier_Name],A298)</f>
        <v>4</v>
      </c>
      <c r="C298">
        <f>COUNTIFS(Inventory_Table[Supplier_Name],A298,Inventory_Table[Status],"Active")</f>
        <v>2</v>
      </c>
      <c r="D298">
        <f>COUNTIFS(Inventory_Table[Supplier_Name],A298,Inventory_Table[Status],"Backordered")</f>
        <v>0</v>
      </c>
      <c r="E298">
        <f>COUNTIFS(Inventory_Table[Supplier_Name],A298,Inventory_Table[Status],"Discontinued")</f>
        <v>2</v>
      </c>
      <c r="F298">
        <f>SUMIF(Inventory_Table[Supplier_Name],A298,Inventory_Table[Stock_Value])</f>
        <v>1277</v>
      </c>
      <c r="G298" s="21">
        <f t="shared" si="4"/>
        <v>0.5</v>
      </c>
    </row>
    <row r="299" spans="1:7" x14ac:dyDescent="0.35">
      <c r="A299" t="str">
        <v>Vimbo</v>
      </c>
      <c r="B299">
        <f>COUNTIF(Inventory_Table[Supplier_Name],A299)</f>
        <v>4</v>
      </c>
      <c r="C299">
        <f>COUNTIFS(Inventory_Table[Supplier_Name],A299,Inventory_Table[Status],"Active")</f>
        <v>1</v>
      </c>
      <c r="D299">
        <f>COUNTIFS(Inventory_Table[Supplier_Name],A299,Inventory_Table[Status],"Backordered")</f>
        <v>1</v>
      </c>
      <c r="E299">
        <f>COUNTIFS(Inventory_Table[Supplier_Name],A299,Inventory_Table[Status],"Discontinued")</f>
        <v>2</v>
      </c>
      <c r="F299">
        <f>SUMIF(Inventory_Table[Supplier_Name],A299,Inventory_Table[Stock_Value])</f>
        <v>623.4</v>
      </c>
      <c r="G299" s="21">
        <f t="shared" si="4"/>
        <v>0.25</v>
      </c>
    </row>
    <row r="300" spans="1:7" x14ac:dyDescent="0.35">
      <c r="A300" t="str">
        <v>Vinder</v>
      </c>
      <c r="B300">
        <f>COUNTIF(Inventory_Table[Supplier_Name],A300)</f>
        <v>7</v>
      </c>
      <c r="C300">
        <f>COUNTIFS(Inventory_Table[Supplier_Name],A300,Inventory_Table[Status],"Active")</f>
        <v>2</v>
      </c>
      <c r="D300">
        <f>COUNTIFS(Inventory_Table[Supplier_Name],A300,Inventory_Table[Status],"Backordered")</f>
        <v>4</v>
      </c>
      <c r="E300">
        <f>COUNTIFS(Inventory_Table[Supplier_Name],A300,Inventory_Table[Status],"Discontinued")</f>
        <v>1</v>
      </c>
      <c r="F300">
        <f>SUMIF(Inventory_Table[Supplier_Name],A300,Inventory_Table[Stock_Value])</f>
        <v>6285.08</v>
      </c>
      <c r="G300" s="21">
        <f t="shared" si="4"/>
        <v>0.2857142857142857</v>
      </c>
    </row>
    <row r="301" spans="1:7" x14ac:dyDescent="0.35">
      <c r="A301" t="str">
        <v>Vinte</v>
      </c>
      <c r="B301">
        <f>COUNTIF(Inventory_Table[Supplier_Name],A301)</f>
        <v>2</v>
      </c>
      <c r="C301">
        <f>COUNTIFS(Inventory_Table[Supplier_Name],A301,Inventory_Table[Status],"Active")</f>
        <v>1</v>
      </c>
      <c r="D301">
        <f>COUNTIFS(Inventory_Table[Supplier_Name],A301,Inventory_Table[Status],"Backordered")</f>
        <v>0</v>
      </c>
      <c r="E301">
        <f>COUNTIFS(Inventory_Table[Supplier_Name],A301,Inventory_Table[Status],"Discontinued")</f>
        <v>1</v>
      </c>
      <c r="F301">
        <f>SUMIF(Inventory_Table[Supplier_Name],A301,Inventory_Table[Stock_Value])</f>
        <v>288.7</v>
      </c>
      <c r="G301" s="21">
        <f t="shared" si="4"/>
        <v>0.5</v>
      </c>
    </row>
    <row r="302" spans="1:7" x14ac:dyDescent="0.35">
      <c r="A302" t="str">
        <v>Vipe</v>
      </c>
      <c r="B302">
        <f>COUNTIF(Inventory_Table[Supplier_Name],A302)</f>
        <v>2</v>
      </c>
      <c r="C302">
        <f>COUNTIFS(Inventory_Table[Supplier_Name],A302,Inventory_Table[Status],"Active")</f>
        <v>0</v>
      </c>
      <c r="D302">
        <f>COUNTIFS(Inventory_Table[Supplier_Name],A302,Inventory_Table[Status],"Backordered")</f>
        <v>1</v>
      </c>
      <c r="E302">
        <f>COUNTIFS(Inventory_Table[Supplier_Name],A302,Inventory_Table[Status],"Discontinued")</f>
        <v>1</v>
      </c>
      <c r="F302">
        <f>SUMIF(Inventory_Table[Supplier_Name],A302,Inventory_Table[Stock_Value])</f>
        <v>767.5</v>
      </c>
      <c r="G302" s="21">
        <f t="shared" si="4"/>
        <v>0</v>
      </c>
    </row>
    <row r="303" spans="1:7" x14ac:dyDescent="0.35">
      <c r="A303" t="str">
        <v>Vitz</v>
      </c>
      <c r="B303">
        <f>COUNTIF(Inventory_Table[Supplier_Name],A303)</f>
        <v>3</v>
      </c>
      <c r="C303">
        <f>COUNTIFS(Inventory_Table[Supplier_Name],A303,Inventory_Table[Status],"Active")</f>
        <v>0</v>
      </c>
      <c r="D303">
        <f>COUNTIFS(Inventory_Table[Supplier_Name],A303,Inventory_Table[Status],"Backordered")</f>
        <v>0</v>
      </c>
      <c r="E303">
        <f>COUNTIFS(Inventory_Table[Supplier_Name],A303,Inventory_Table[Status],"Discontinued")</f>
        <v>3</v>
      </c>
      <c r="F303">
        <f>SUMIF(Inventory_Table[Supplier_Name],A303,Inventory_Table[Stock_Value])</f>
        <v>613.4</v>
      </c>
      <c r="G303" s="21">
        <f t="shared" si="4"/>
        <v>0</v>
      </c>
    </row>
    <row r="304" spans="1:7" x14ac:dyDescent="0.35">
      <c r="A304" t="str">
        <v>Viva</v>
      </c>
      <c r="B304">
        <f>COUNTIF(Inventory_Table[Supplier_Name],A304)</f>
        <v>4</v>
      </c>
      <c r="C304">
        <f>COUNTIFS(Inventory_Table[Supplier_Name],A304,Inventory_Table[Status],"Active")</f>
        <v>1</v>
      </c>
      <c r="D304">
        <f>COUNTIFS(Inventory_Table[Supplier_Name],A304,Inventory_Table[Status],"Backordered")</f>
        <v>0</v>
      </c>
      <c r="E304">
        <f>COUNTIFS(Inventory_Table[Supplier_Name],A304,Inventory_Table[Status],"Discontinued")</f>
        <v>3</v>
      </c>
      <c r="F304">
        <f>SUMIF(Inventory_Table[Supplier_Name],A304,Inventory_Table[Stock_Value])</f>
        <v>3301.5</v>
      </c>
      <c r="G304" s="21">
        <f t="shared" si="4"/>
        <v>0.25</v>
      </c>
    </row>
    <row r="305" spans="1:7" x14ac:dyDescent="0.35">
      <c r="A305" t="str">
        <v>Voolia</v>
      </c>
      <c r="B305">
        <f>COUNTIF(Inventory_Table[Supplier_Name],A305)</f>
        <v>3</v>
      </c>
      <c r="C305">
        <f>COUNTIFS(Inventory_Table[Supplier_Name],A305,Inventory_Table[Status],"Active")</f>
        <v>1</v>
      </c>
      <c r="D305">
        <f>COUNTIFS(Inventory_Table[Supplier_Name],A305,Inventory_Table[Status],"Backordered")</f>
        <v>1</v>
      </c>
      <c r="E305">
        <f>COUNTIFS(Inventory_Table[Supplier_Name],A305,Inventory_Table[Status],"Discontinued")</f>
        <v>1</v>
      </c>
      <c r="F305">
        <f>SUMIF(Inventory_Table[Supplier_Name],A305,Inventory_Table[Stock_Value])</f>
        <v>1590</v>
      </c>
      <c r="G305" s="21">
        <f t="shared" si="4"/>
        <v>0.33333333333333337</v>
      </c>
    </row>
    <row r="306" spans="1:7" x14ac:dyDescent="0.35">
      <c r="A306" t="str">
        <v>Voolith</v>
      </c>
      <c r="B306">
        <f>COUNTIF(Inventory_Table[Supplier_Name],A306)</f>
        <v>4</v>
      </c>
      <c r="C306">
        <f>COUNTIFS(Inventory_Table[Supplier_Name],A306,Inventory_Table[Status],"Active")</f>
        <v>1</v>
      </c>
      <c r="D306">
        <f>COUNTIFS(Inventory_Table[Supplier_Name],A306,Inventory_Table[Status],"Backordered")</f>
        <v>1</v>
      </c>
      <c r="E306">
        <f>COUNTIFS(Inventory_Table[Supplier_Name],A306,Inventory_Table[Status],"Discontinued")</f>
        <v>2</v>
      </c>
      <c r="F306">
        <f>SUMIF(Inventory_Table[Supplier_Name],A306,Inventory_Table[Stock_Value])</f>
        <v>1389.5</v>
      </c>
      <c r="G306" s="21">
        <f t="shared" si="4"/>
        <v>0.25</v>
      </c>
    </row>
    <row r="307" spans="1:7" x14ac:dyDescent="0.35">
      <c r="A307" t="str">
        <v>Voomm</v>
      </c>
      <c r="B307">
        <f>COUNTIF(Inventory_Table[Supplier_Name],A307)</f>
        <v>4</v>
      </c>
      <c r="C307">
        <f>COUNTIFS(Inventory_Table[Supplier_Name],A307,Inventory_Table[Status],"Active")</f>
        <v>1</v>
      </c>
      <c r="D307">
        <f>COUNTIFS(Inventory_Table[Supplier_Name],A307,Inventory_Table[Status],"Backordered")</f>
        <v>1</v>
      </c>
      <c r="E307">
        <f>COUNTIFS(Inventory_Table[Supplier_Name],A307,Inventory_Table[Status],"Discontinued")</f>
        <v>2</v>
      </c>
      <c r="F307">
        <f>SUMIF(Inventory_Table[Supplier_Name],A307,Inventory_Table[Stock_Value])</f>
        <v>2404.5</v>
      </c>
      <c r="G307" s="21">
        <f t="shared" si="4"/>
        <v>0.25</v>
      </c>
    </row>
    <row r="308" spans="1:7" x14ac:dyDescent="0.35">
      <c r="A308" t="str">
        <v>Voonder</v>
      </c>
      <c r="B308">
        <f>COUNTIF(Inventory_Table[Supplier_Name],A308)</f>
        <v>3</v>
      </c>
      <c r="C308">
        <f>COUNTIFS(Inventory_Table[Supplier_Name],A308,Inventory_Table[Status],"Active")</f>
        <v>1</v>
      </c>
      <c r="D308">
        <f>COUNTIFS(Inventory_Table[Supplier_Name],A308,Inventory_Table[Status],"Backordered")</f>
        <v>2</v>
      </c>
      <c r="E308">
        <f>COUNTIFS(Inventory_Table[Supplier_Name],A308,Inventory_Table[Status],"Discontinued")</f>
        <v>0</v>
      </c>
      <c r="F308">
        <f>SUMIF(Inventory_Table[Supplier_Name],A308,Inventory_Table[Stock_Value])</f>
        <v>590.6</v>
      </c>
      <c r="G308" s="21">
        <f t="shared" si="4"/>
        <v>0.33333333333333337</v>
      </c>
    </row>
    <row r="309" spans="1:7" x14ac:dyDescent="0.35">
      <c r="A309" t="str">
        <v>Voonix</v>
      </c>
      <c r="B309">
        <f>COUNTIF(Inventory_Table[Supplier_Name],A309)</f>
        <v>1</v>
      </c>
      <c r="C309">
        <f>COUNTIFS(Inventory_Table[Supplier_Name],A309,Inventory_Table[Status],"Active")</f>
        <v>0</v>
      </c>
      <c r="D309">
        <f>COUNTIFS(Inventory_Table[Supplier_Name],A309,Inventory_Table[Status],"Backordered")</f>
        <v>1</v>
      </c>
      <c r="E309">
        <f>COUNTIFS(Inventory_Table[Supplier_Name],A309,Inventory_Table[Status],"Discontinued")</f>
        <v>0</v>
      </c>
      <c r="F309">
        <f>SUMIF(Inventory_Table[Supplier_Name],A309,Inventory_Table[Stock_Value])</f>
        <v>364.90000000000003</v>
      </c>
      <c r="G309" s="21">
        <f t="shared" si="4"/>
        <v>0</v>
      </c>
    </row>
    <row r="310" spans="1:7" x14ac:dyDescent="0.35">
      <c r="A310" t="str">
        <v>Voonte</v>
      </c>
      <c r="B310">
        <f>COUNTIF(Inventory_Table[Supplier_Name],A310)</f>
        <v>1</v>
      </c>
      <c r="C310">
        <f>COUNTIFS(Inventory_Table[Supplier_Name],A310,Inventory_Table[Status],"Active")</f>
        <v>0</v>
      </c>
      <c r="D310">
        <f>COUNTIFS(Inventory_Table[Supplier_Name],A310,Inventory_Table[Status],"Backordered")</f>
        <v>0</v>
      </c>
      <c r="E310">
        <f>COUNTIFS(Inventory_Table[Supplier_Name],A310,Inventory_Table[Status],"Discontinued")</f>
        <v>1</v>
      </c>
      <c r="F310">
        <f>SUMIF(Inventory_Table[Supplier_Name],A310,Inventory_Table[Stock_Value])</f>
        <v>750.5</v>
      </c>
      <c r="G310" s="21">
        <f t="shared" si="4"/>
        <v>0</v>
      </c>
    </row>
    <row r="311" spans="1:7" x14ac:dyDescent="0.35">
      <c r="A311" t="str">
        <v>Voonyx</v>
      </c>
      <c r="B311">
        <f>COUNTIF(Inventory_Table[Supplier_Name],A311)</f>
        <v>2</v>
      </c>
      <c r="C311">
        <f>COUNTIFS(Inventory_Table[Supplier_Name],A311,Inventory_Table[Status],"Active")</f>
        <v>0</v>
      </c>
      <c r="D311">
        <f>COUNTIFS(Inventory_Table[Supplier_Name],A311,Inventory_Table[Status],"Backordered")</f>
        <v>1</v>
      </c>
      <c r="E311">
        <f>COUNTIFS(Inventory_Table[Supplier_Name],A311,Inventory_Table[Status],"Discontinued")</f>
        <v>1</v>
      </c>
      <c r="F311">
        <f>SUMIF(Inventory_Table[Supplier_Name],A311,Inventory_Table[Stock_Value])</f>
        <v>560.5</v>
      </c>
      <c r="G311" s="21">
        <f t="shared" si="4"/>
        <v>0</v>
      </c>
    </row>
    <row r="312" spans="1:7" x14ac:dyDescent="0.35">
      <c r="A312" t="str">
        <v>Wikibox</v>
      </c>
      <c r="B312">
        <f>COUNTIF(Inventory_Table[Supplier_Name],A312)</f>
        <v>3</v>
      </c>
      <c r="C312">
        <f>COUNTIFS(Inventory_Table[Supplier_Name],A312,Inventory_Table[Status],"Active")</f>
        <v>1</v>
      </c>
      <c r="D312">
        <f>COUNTIFS(Inventory_Table[Supplier_Name],A312,Inventory_Table[Status],"Backordered")</f>
        <v>1</v>
      </c>
      <c r="E312">
        <f>COUNTIFS(Inventory_Table[Supplier_Name],A312,Inventory_Table[Status],"Discontinued")</f>
        <v>1</v>
      </c>
      <c r="F312">
        <f>SUMIF(Inventory_Table[Supplier_Name],A312,Inventory_Table[Stock_Value])</f>
        <v>1131.7</v>
      </c>
      <c r="G312" s="21">
        <f t="shared" si="4"/>
        <v>0.33333333333333337</v>
      </c>
    </row>
    <row r="313" spans="1:7" x14ac:dyDescent="0.35">
      <c r="A313" t="str">
        <v>Wikido</v>
      </c>
      <c r="B313">
        <f>COUNTIF(Inventory_Table[Supplier_Name],A313)</f>
        <v>3</v>
      </c>
      <c r="C313">
        <f>COUNTIFS(Inventory_Table[Supplier_Name],A313,Inventory_Table[Status],"Active")</f>
        <v>1</v>
      </c>
      <c r="D313">
        <f>COUNTIFS(Inventory_Table[Supplier_Name],A313,Inventory_Table[Status],"Backordered")</f>
        <v>0</v>
      </c>
      <c r="E313">
        <f>COUNTIFS(Inventory_Table[Supplier_Name],A313,Inventory_Table[Status],"Discontinued")</f>
        <v>2</v>
      </c>
      <c r="F313">
        <f>SUMIF(Inventory_Table[Supplier_Name],A313,Inventory_Table[Stock_Value])</f>
        <v>2227</v>
      </c>
      <c r="G313" s="21">
        <f t="shared" si="4"/>
        <v>0.33333333333333337</v>
      </c>
    </row>
    <row r="314" spans="1:7" x14ac:dyDescent="0.35">
      <c r="A314" t="str">
        <v>Wikivu</v>
      </c>
      <c r="B314">
        <f>COUNTIF(Inventory_Table[Supplier_Name],A314)</f>
        <v>1</v>
      </c>
      <c r="C314">
        <f>COUNTIFS(Inventory_Table[Supplier_Name],A314,Inventory_Table[Status],"Active")</f>
        <v>1</v>
      </c>
      <c r="D314">
        <f>COUNTIFS(Inventory_Table[Supplier_Name],A314,Inventory_Table[Status],"Backordered")</f>
        <v>0</v>
      </c>
      <c r="E314">
        <f>COUNTIFS(Inventory_Table[Supplier_Name],A314,Inventory_Table[Status],"Discontinued")</f>
        <v>0</v>
      </c>
      <c r="F314">
        <f>SUMIF(Inventory_Table[Supplier_Name],A314,Inventory_Table[Stock_Value])</f>
        <v>524.6</v>
      </c>
      <c r="G314" s="21">
        <f t="shared" si="4"/>
        <v>1</v>
      </c>
    </row>
    <row r="315" spans="1:7" x14ac:dyDescent="0.35">
      <c r="A315" t="str">
        <v>Wikizz</v>
      </c>
      <c r="B315">
        <f>COUNTIF(Inventory_Table[Supplier_Name],A315)</f>
        <v>3</v>
      </c>
      <c r="C315">
        <f>COUNTIFS(Inventory_Table[Supplier_Name],A315,Inventory_Table[Status],"Active")</f>
        <v>1</v>
      </c>
      <c r="D315">
        <f>COUNTIFS(Inventory_Table[Supplier_Name],A315,Inventory_Table[Status],"Backordered")</f>
        <v>1</v>
      </c>
      <c r="E315">
        <f>COUNTIFS(Inventory_Table[Supplier_Name],A315,Inventory_Table[Status],"Discontinued")</f>
        <v>1</v>
      </c>
      <c r="F315">
        <f>SUMIF(Inventory_Table[Supplier_Name],A315,Inventory_Table[Stock_Value])</f>
        <v>480</v>
      </c>
      <c r="G315" s="21">
        <f t="shared" si="4"/>
        <v>0.33333333333333337</v>
      </c>
    </row>
    <row r="316" spans="1:7" x14ac:dyDescent="0.35">
      <c r="A316" t="str">
        <v>Wordify</v>
      </c>
      <c r="B316">
        <f>COUNTIF(Inventory_Table[Supplier_Name],A316)</f>
        <v>2</v>
      </c>
      <c r="C316">
        <f>COUNTIFS(Inventory_Table[Supplier_Name],A316,Inventory_Table[Status],"Active")</f>
        <v>1</v>
      </c>
      <c r="D316">
        <f>COUNTIFS(Inventory_Table[Supplier_Name],A316,Inventory_Table[Status],"Backordered")</f>
        <v>1</v>
      </c>
      <c r="E316">
        <f>COUNTIFS(Inventory_Table[Supplier_Name],A316,Inventory_Table[Status],"Discontinued")</f>
        <v>0</v>
      </c>
      <c r="F316">
        <f>SUMIF(Inventory_Table[Supplier_Name],A316,Inventory_Table[Stock_Value])</f>
        <v>322</v>
      </c>
      <c r="G316" s="21">
        <f t="shared" si="4"/>
        <v>0.5</v>
      </c>
    </row>
    <row r="317" spans="1:7" x14ac:dyDescent="0.35">
      <c r="A317" t="str">
        <v>Wordpedia</v>
      </c>
      <c r="B317">
        <f>COUNTIF(Inventory_Table[Supplier_Name],A317)</f>
        <v>3</v>
      </c>
      <c r="C317">
        <f>COUNTIFS(Inventory_Table[Supplier_Name],A317,Inventory_Table[Status],"Active")</f>
        <v>1</v>
      </c>
      <c r="D317">
        <f>COUNTIFS(Inventory_Table[Supplier_Name],A317,Inventory_Table[Status],"Backordered")</f>
        <v>1</v>
      </c>
      <c r="E317">
        <f>COUNTIFS(Inventory_Table[Supplier_Name],A317,Inventory_Table[Status],"Discontinued")</f>
        <v>1</v>
      </c>
      <c r="F317">
        <f>SUMIF(Inventory_Table[Supplier_Name],A317,Inventory_Table[Stock_Value])</f>
        <v>456</v>
      </c>
      <c r="G317" s="21">
        <f t="shared" si="4"/>
        <v>0.33333333333333337</v>
      </c>
    </row>
    <row r="318" spans="1:7" x14ac:dyDescent="0.35">
      <c r="A318" t="str">
        <v>Wordtune</v>
      </c>
      <c r="B318">
        <f>COUNTIF(Inventory_Table[Supplier_Name],A318)</f>
        <v>2</v>
      </c>
      <c r="C318">
        <f>COUNTIFS(Inventory_Table[Supplier_Name],A318,Inventory_Table[Status],"Active")</f>
        <v>0</v>
      </c>
      <c r="D318">
        <f>COUNTIFS(Inventory_Table[Supplier_Name],A318,Inventory_Table[Status],"Backordered")</f>
        <v>1</v>
      </c>
      <c r="E318">
        <f>COUNTIFS(Inventory_Table[Supplier_Name],A318,Inventory_Table[Status],"Discontinued")</f>
        <v>1</v>
      </c>
      <c r="F318">
        <f>SUMIF(Inventory_Table[Supplier_Name],A318,Inventory_Table[Stock_Value])</f>
        <v>446</v>
      </c>
      <c r="G318" s="21">
        <f t="shared" si="4"/>
        <v>0</v>
      </c>
    </row>
    <row r="319" spans="1:7" x14ac:dyDescent="0.35">
      <c r="A319" t="str">
        <v>Wordware</v>
      </c>
      <c r="B319">
        <f>COUNTIF(Inventory_Table[Supplier_Name],A319)</f>
        <v>2</v>
      </c>
      <c r="C319">
        <f>COUNTIFS(Inventory_Table[Supplier_Name],A319,Inventory_Table[Status],"Active")</f>
        <v>1</v>
      </c>
      <c r="D319">
        <f>COUNTIFS(Inventory_Table[Supplier_Name],A319,Inventory_Table[Status],"Backordered")</f>
        <v>0</v>
      </c>
      <c r="E319">
        <f>COUNTIFS(Inventory_Table[Supplier_Name],A319,Inventory_Table[Status],"Discontinued")</f>
        <v>1</v>
      </c>
      <c r="F319">
        <f>SUMIF(Inventory_Table[Supplier_Name],A319,Inventory_Table[Stock_Value])</f>
        <v>147.4</v>
      </c>
      <c r="G319" s="21">
        <f t="shared" si="4"/>
        <v>0.5</v>
      </c>
    </row>
    <row r="320" spans="1:7" x14ac:dyDescent="0.35">
      <c r="A320" t="str">
        <v>Yabox</v>
      </c>
      <c r="B320">
        <f>COUNTIF(Inventory_Table[Supplier_Name],A320)</f>
        <v>3</v>
      </c>
      <c r="C320">
        <f>COUNTIFS(Inventory_Table[Supplier_Name],A320,Inventory_Table[Status],"Active")</f>
        <v>0</v>
      </c>
      <c r="D320">
        <f>COUNTIFS(Inventory_Table[Supplier_Name],A320,Inventory_Table[Status],"Backordered")</f>
        <v>1</v>
      </c>
      <c r="E320">
        <f>COUNTIFS(Inventory_Table[Supplier_Name],A320,Inventory_Table[Status],"Discontinued")</f>
        <v>2</v>
      </c>
      <c r="F320">
        <f>SUMIF(Inventory_Table[Supplier_Name],A320,Inventory_Table[Stock_Value])</f>
        <v>1194.4000000000001</v>
      </c>
      <c r="G320" s="21">
        <f t="shared" si="4"/>
        <v>0</v>
      </c>
    </row>
    <row r="321" spans="1:7" x14ac:dyDescent="0.35">
      <c r="A321" t="str">
        <v>Yadel</v>
      </c>
      <c r="B321">
        <f>COUNTIF(Inventory_Table[Supplier_Name],A321)</f>
        <v>3</v>
      </c>
      <c r="C321">
        <f>COUNTIFS(Inventory_Table[Supplier_Name],A321,Inventory_Table[Status],"Active")</f>
        <v>2</v>
      </c>
      <c r="D321">
        <f>COUNTIFS(Inventory_Table[Supplier_Name],A321,Inventory_Table[Status],"Backordered")</f>
        <v>0</v>
      </c>
      <c r="E321">
        <f>COUNTIFS(Inventory_Table[Supplier_Name],A321,Inventory_Table[Status],"Discontinued")</f>
        <v>1</v>
      </c>
      <c r="F321">
        <f>SUMIF(Inventory_Table[Supplier_Name],A321,Inventory_Table[Stock_Value])</f>
        <v>2282.25</v>
      </c>
      <c r="G321" s="21">
        <f t="shared" si="4"/>
        <v>0.66666666666666674</v>
      </c>
    </row>
    <row r="322" spans="1:7" x14ac:dyDescent="0.35">
      <c r="A322" t="str">
        <v>Yakidoo</v>
      </c>
      <c r="B322">
        <f>COUNTIF(Inventory_Table[Supplier_Name],A322)</f>
        <v>1</v>
      </c>
      <c r="C322">
        <f>COUNTIFS(Inventory_Table[Supplier_Name],A322,Inventory_Table[Status],"Active")</f>
        <v>0</v>
      </c>
      <c r="D322">
        <f>COUNTIFS(Inventory_Table[Supplier_Name],A322,Inventory_Table[Status],"Backordered")</f>
        <v>1</v>
      </c>
      <c r="E322">
        <f>COUNTIFS(Inventory_Table[Supplier_Name],A322,Inventory_Table[Status],"Discontinued")</f>
        <v>0</v>
      </c>
      <c r="F322">
        <f>SUMIF(Inventory_Table[Supplier_Name],A322,Inventory_Table[Stock_Value])</f>
        <v>624</v>
      </c>
      <c r="G322" s="21">
        <f t="shared" si="4"/>
        <v>0</v>
      </c>
    </row>
    <row r="323" spans="1:7" x14ac:dyDescent="0.35">
      <c r="A323" t="str">
        <v>Yakijo</v>
      </c>
      <c r="B323">
        <f>COUNTIF(Inventory_Table[Supplier_Name],A323)</f>
        <v>2</v>
      </c>
      <c r="C323">
        <f>COUNTIFS(Inventory_Table[Supplier_Name],A323,Inventory_Table[Status],"Active")</f>
        <v>0</v>
      </c>
      <c r="D323">
        <f>COUNTIFS(Inventory_Table[Supplier_Name],A323,Inventory_Table[Status],"Backordered")</f>
        <v>1</v>
      </c>
      <c r="E323">
        <f>COUNTIFS(Inventory_Table[Supplier_Name],A323,Inventory_Table[Status],"Discontinued")</f>
        <v>1</v>
      </c>
      <c r="F323">
        <f>SUMIF(Inventory_Table[Supplier_Name],A323,Inventory_Table[Stock_Value])</f>
        <v>229.5</v>
      </c>
      <c r="G323" s="21">
        <f t="shared" ref="G323:G351" si="5">1-(D323+E323)/B323</f>
        <v>0</v>
      </c>
    </row>
    <row r="324" spans="1:7" x14ac:dyDescent="0.35">
      <c r="A324" t="str">
        <v>Yakitri</v>
      </c>
      <c r="B324">
        <f>COUNTIF(Inventory_Table[Supplier_Name],A324)</f>
        <v>3</v>
      </c>
      <c r="C324">
        <f>COUNTIFS(Inventory_Table[Supplier_Name],A324,Inventory_Table[Status],"Active")</f>
        <v>1</v>
      </c>
      <c r="D324">
        <f>COUNTIFS(Inventory_Table[Supplier_Name],A324,Inventory_Table[Status],"Backordered")</f>
        <v>1</v>
      </c>
      <c r="E324">
        <f>COUNTIFS(Inventory_Table[Supplier_Name],A324,Inventory_Table[Status],"Discontinued")</f>
        <v>1</v>
      </c>
      <c r="F324">
        <f>SUMIF(Inventory_Table[Supplier_Name],A324,Inventory_Table[Stock_Value])</f>
        <v>501.5</v>
      </c>
      <c r="G324" s="21">
        <f t="shared" si="5"/>
        <v>0.33333333333333337</v>
      </c>
    </row>
    <row r="325" spans="1:7" x14ac:dyDescent="0.35">
      <c r="A325" t="str">
        <v>Yambee</v>
      </c>
      <c r="B325">
        <f>COUNTIF(Inventory_Table[Supplier_Name],A325)</f>
        <v>2</v>
      </c>
      <c r="C325">
        <f>COUNTIFS(Inventory_Table[Supplier_Name],A325,Inventory_Table[Status],"Active")</f>
        <v>1</v>
      </c>
      <c r="D325">
        <f>COUNTIFS(Inventory_Table[Supplier_Name],A325,Inventory_Table[Status],"Backordered")</f>
        <v>0</v>
      </c>
      <c r="E325">
        <f>COUNTIFS(Inventory_Table[Supplier_Name],A325,Inventory_Table[Status],"Discontinued")</f>
        <v>1</v>
      </c>
      <c r="F325">
        <f>SUMIF(Inventory_Table[Supplier_Name],A325,Inventory_Table[Stock_Value])</f>
        <v>120</v>
      </c>
      <c r="G325" s="21">
        <f t="shared" si="5"/>
        <v>0.5</v>
      </c>
    </row>
    <row r="326" spans="1:7" x14ac:dyDescent="0.35">
      <c r="A326" t="str">
        <v>Yamia</v>
      </c>
      <c r="B326">
        <f>COUNTIF(Inventory_Table[Supplier_Name],A326)</f>
        <v>3</v>
      </c>
      <c r="C326">
        <f>COUNTIFS(Inventory_Table[Supplier_Name],A326,Inventory_Table[Status],"Active")</f>
        <v>1</v>
      </c>
      <c r="D326">
        <f>COUNTIFS(Inventory_Table[Supplier_Name],A326,Inventory_Table[Status],"Backordered")</f>
        <v>0</v>
      </c>
      <c r="E326">
        <f>COUNTIFS(Inventory_Table[Supplier_Name],A326,Inventory_Table[Status],"Discontinued")</f>
        <v>2</v>
      </c>
      <c r="F326">
        <f>SUMIF(Inventory_Table[Supplier_Name],A326,Inventory_Table[Stock_Value])</f>
        <v>785.1</v>
      </c>
      <c r="G326" s="21">
        <f t="shared" si="5"/>
        <v>0.33333333333333337</v>
      </c>
    </row>
    <row r="327" spans="1:7" x14ac:dyDescent="0.35">
      <c r="A327" t="str">
        <v>Yata</v>
      </c>
      <c r="B327">
        <f>COUNTIF(Inventory_Table[Supplier_Name],A327)</f>
        <v>3</v>
      </c>
      <c r="C327">
        <f>COUNTIFS(Inventory_Table[Supplier_Name],A327,Inventory_Table[Status],"Active")</f>
        <v>0</v>
      </c>
      <c r="D327">
        <f>COUNTIFS(Inventory_Table[Supplier_Name],A327,Inventory_Table[Status],"Backordered")</f>
        <v>2</v>
      </c>
      <c r="E327">
        <f>COUNTIFS(Inventory_Table[Supplier_Name],A327,Inventory_Table[Status],"Discontinued")</f>
        <v>1</v>
      </c>
      <c r="F327">
        <f>SUMIF(Inventory_Table[Supplier_Name],A327,Inventory_Table[Stock_Value])</f>
        <v>588.9</v>
      </c>
      <c r="G327" s="21">
        <f t="shared" si="5"/>
        <v>0</v>
      </c>
    </row>
    <row r="328" spans="1:7" x14ac:dyDescent="0.35">
      <c r="A328" t="str">
        <v>Yodel</v>
      </c>
      <c r="B328">
        <f>COUNTIF(Inventory_Table[Supplier_Name],A328)</f>
        <v>1</v>
      </c>
      <c r="C328">
        <f>COUNTIFS(Inventory_Table[Supplier_Name],A328,Inventory_Table[Status],"Active")</f>
        <v>0</v>
      </c>
      <c r="D328">
        <f>COUNTIFS(Inventory_Table[Supplier_Name],A328,Inventory_Table[Status],"Backordered")</f>
        <v>1</v>
      </c>
      <c r="E328">
        <f>COUNTIFS(Inventory_Table[Supplier_Name],A328,Inventory_Table[Status],"Discontinued")</f>
        <v>0</v>
      </c>
      <c r="F328">
        <f>SUMIF(Inventory_Table[Supplier_Name],A328,Inventory_Table[Stock_Value])</f>
        <v>90.199999999999989</v>
      </c>
      <c r="G328" s="21">
        <f t="shared" si="5"/>
        <v>0</v>
      </c>
    </row>
    <row r="329" spans="1:7" x14ac:dyDescent="0.35">
      <c r="A329" t="str">
        <v>Yodo</v>
      </c>
      <c r="B329">
        <f>COUNTIF(Inventory_Table[Supplier_Name],A329)</f>
        <v>5</v>
      </c>
      <c r="C329">
        <f>COUNTIFS(Inventory_Table[Supplier_Name],A329,Inventory_Table[Status],"Active")</f>
        <v>2</v>
      </c>
      <c r="D329">
        <f>COUNTIFS(Inventory_Table[Supplier_Name],A329,Inventory_Table[Status],"Backordered")</f>
        <v>0</v>
      </c>
      <c r="E329">
        <f>COUNTIFS(Inventory_Table[Supplier_Name],A329,Inventory_Table[Status],"Discontinued")</f>
        <v>3</v>
      </c>
      <c r="F329">
        <f>SUMIF(Inventory_Table[Supplier_Name],A329,Inventory_Table[Stock_Value])</f>
        <v>1176.2</v>
      </c>
      <c r="G329" s="21">
        <f t="shared" si="5"/>
        <v>0.4</v>
      </c>
    </row>
    <row r="330" spans="1:7" x14ac:dyDescent="0.35">
      <c r="A330" t="str">
        <v>Yodoo</v>
      </c>
      <c r="B330">
        <f>COUNTIF(Inventory_Table[Supplier_Name],A330)</f>
        <v>3</v>
      </c>
      <c r="C330">
        <f>COUNTIFS(Inventory_Table[Supplier_Name],A330,Inventory_Table[Status],"Active")</f>
        <v>1</v>
      </c>
      <c r="D330">
        <f>COUNTIFS(Inventory_Table[Supplier_Name],A330,Inventory_Table[Status],"Backordered")</f>
        <v>1</v>
      </c>
      <c r="E330">
        <f>COUNTIFS(Inventory_Table[Supplier_Name],A330,Inventory_Table[Status],"Discontinued")</f>
        <v>1</v>
      </c>
      <c r="F330">
        <f>SUMIF(Inventory_Table[Supplier_Name],A330,Inventory_Table[Stock_Value])</f>
        <v>1026.5</v>
      </c>
      <c r="G330" s="21">
        <f t="shared" si="5"/>
        <v>0.33333333333333337</v>
      </c>
    </row>
    <row r="331" spans="1:7" x14ac:dyDescent="0.35">
      <c r="A331" t="str">
        <v>Yombu</v>
      </c>
      <c r="B331">
        <f>COUNTIF(Inventory_Table[Supplier_Name],A331)</f>
        <v>3</v>
      </c>
      <c r="C331">
        <f>COUNTIFS(Inventory_Table[Supplier_Name],A331,Inventory_Table[Status],"Active")</f>
        <v>0</v>
      </c>
      <c r="D331">
        <f>COUNTIFS(Inventory_Table[Supplier_Name],A331,Inventory_Table[Status],"Backordered")</f>
        <v>1</v>
      </c>
      <c r="E331">
        <f>COUNTIFS(Inventory_Table[Supplier_Name],A331,Inventory_Table[Status],"Discontinued")</f>
        <v>2</v>
      </c>
      <c r="F331">
        <f>SUMIF(Inventory_Table[Supplier_Name],A331,Inventory_Table[Stock_Value])</f>
        <v>300.60000000000002</v>
      </c>
      <c r="G331" s="21">
        <f t="shared" si="5"/>
        <v>0</v>
      </c>
    </row>
    <row r="332" spans="1:7" x14ac:dyDescent="0.35">
      <c r="A332" t="str">
        <v>Yotz</v>
      </c>
      <c r="B332">
        <f>COUNTIF(Inventory_Table[Supplier_Name],A332)</f>
        <v>3</v>
      </c>
      <c r="C332">
        <f>COUNTIFS(Inventory_Table[Supplier_Name],A332,Inventory_Table[Status],"Active")</f>
        <v>1</v>
      </c>
      <c r="D332">
        <f>COUNTIFS(Inventory_Table[Supplier_Name],A332,Inventory_Table[Status],"Backordered")</f>
        <v>1</v>
      </c>
      <c r="E332">
        <f>COUNTIFS(Inventory_Table[Supplier_Name],A332,Inventory_Table[Status],"Discontinued")</f>
        <v>1</v>
      </c>
      <c r="F332">
        <f>SUMIF(Inventory_Table[Supplier_Name],A332,Inventory_Table[Stock_Value])</f>
        <v>1759</v>
      </c>
      <c r="G332" s="21">
        <f t="shared" si="5"/>
        <v>0.33333333333333337</v>
      </c>
    </row>
    <row r="333" spans="1:7" x14ac:dyDescent="0.35">
      <c r="A333" t="str">
        <v>Youbridge</v>
      </c>
      <c r="B333">
        <f>COUNTIF(Inventory_Table[Supplier_Name],A333)</f>
        <v>5</v>
      </c>
      <c r="C333">
        <f>COUNTIFS(Inventory_Table[Supplier_Name],A333,Inventory_Table[Status],"Active")</f>
        <v>2</v>
      </c>
      <c r="D333">
        <f>COUNTIFS(Inventory_Table[Supplier_Name],A333,Inventory_Table[Status],"Backordered")</f>
        <v>2</v>
      </c>
      <c r="E333">
        <f>COUNTIFS(Inventory_Table[Supplier_Name],A333,Inventory_Table[Status],"Discontinued")</f>
        <v>1</v>
      </c>
      <c r="F333">
        <f>SUMIF(Inventory_Table[Supplier_Name],A333,Inventory_Table[Stock_Value])</f>
        <v>900.82</v>
      </c>
      <c r="G333" s="21">
        <f t="shared" si="5"/>
        <v>0.4</v>
      </c>
    </row>
    <row r="334" spans="1:7" x14ac:dyDescent="0.35">
      <c r="A334" t="str">
        <v>Youfeed</v>
      </c>
      <c r="B334">
        <f>COUNTIF(Inventory_Table[Supplier_Name],A334)</f>
        <v>5</v>
      </c>
      <c r="C334">
        <f>COUNTIFS(Inventory_Table[Supplier_Name],A334,Inventory_Table[Status],"Active")</f>
        <v>2</v>
      </c>
      <c r="D334">
        <f>COUNTIFS(Inventory_Table[Supplier_Name],A334,Inventory_Table[Status],"Backordered")</f>
        <v>2</v>
      </c>
      <c r="E334">
        <f>COUNTIFS(Inventory_Table[Supplier_Name],A334,Inventory_Table[Status],"Discontinued")</f>
        <v>1</v>
      </c>
      <c r="F334">
        <f>SUMIF(Inventory_Table[Supplier_Name],A334,Inventory_Table[Stock_Value])</f>
        <v>6429.9</v>
      </c>
      <c r="G334" s="21">
        <f t="shared" si="5"/>
        <v>0.4</v>
      </c>
    </row>
    <row r="335" spans="1:7" x14ac:dyDescent="0.35">
      <c r="A335" t="str">
        <v>Youopia</v>
      </c>
      <c r="B335">
        <f>COUNTIF(Inventory_Table[Supplier_Name],A335)</f>
        <v>2</v>
      </c>
      <c r="C335">
        <f>COUNTIFS(Inventory_Table[Supplier_Name],A335,Inventory_Table[Status],"Active")</f>
        <v>1</v>
      </c>
      <c r="D335">
        <f>COUNTIFS(Inventory_Table[Supplier_Name],A335,Inventory_Table[Status],"Backordered")</f>
        <v>1</v>
      </c>
      <c r="E335">
        <f>COUNTIFS(Inventory_Table[Supplier_Name],A335,Inventory_Table[Status],"Discontinued")</f>
        <v>0</v>
      </c>
      <c r="F335">
        <f>SUMIF(Inventory_Table[Supplier_Name],A335,Inventory_Table[Stock_Value])</f>
        <v>738</v>
      </c>
      <c r="G335" s="21">
        <f t="shared" si="5"/>
        <v>0.5</v>
      </c>
    </row>
    <row r="336" spans="1:7" x14ac:dyDescent="0.35">
      <c r="A336" t="str">
        <v>Youspan</v>
      </c>
      <c r="B336">
        <f>COUNTIF(Inventory_Table[Supplier_Name],A336)</f>
        <v>3</v>
      </c>
      <c r="C336">
        <f>COUNTIFS(Inventory_Table[Supplier_Name],A336,Inventory_Table[Status],"Active")</f>
        <v>0</v>
      </c>
      <c r="D336">
        <f>COUNTIFS(Inventory_Table[Supplier_Name],A336,Inventory_Table[Status],"Backordered")</f>
        <v>3</v>
      </c>
      <c r="E336">
        <f>COUNTIFS(Inventory_Table[Supplier_Name],A336,Inventory_Table[Status],"Discontinued")</f>
        <v>0</v>
      </c>
      <c r="F336">
        <f>SUMIF(Inventory_Table[Supplier_Name],A336,Inventory_Table[Stock_Value])</f>
        <v>1964</v>
      </c>
      <c r="G336" s="21">
        <f t="shared" si="5"/>
        <v>0</v>
      </c>
    </row>
    <row r="337" spans="1:7" x14ac:dyDescent="0.35">
      <c r="A337" t="str">
        <v>Youtags</v>
      </c>
      <c r="B337">
        <f>COUNTIF(Inventory_Table[Supplier_Name],A337)</f>
        <v>2</v>
      </c>
      <c r="C337">
        <f>COUNTIFS(Inventory_Table[Supplier_Name],A337,Inventory_Table[Status],"Active")</f>
        <v>1</v>
      </c>
      <c r="D337">
        <f>COUNTIFS(Inventory_Table[Supplier_Name],A337,Inventory_Table[Status],"Backordered")</f>
        <v>1</v>
      </c>
      <c r="E337">
        <f>COUNTIFS(Inventory_Table[Supplier_Name],A337,Inventory_Table[Status],"Discontinued")</f>
        <v>0</v>
      </c>
      <c r="F337">
        <f>SUMIF(Inventory_Table[Supplier_Name],A337,Inventory_Table[Stock_Value])</f>
        <v>492.5</v>
      </c>
      <c r="G337" s="21">
        <f t="shared" si="5"/>
        <v>0.5</v>
      </c>
    </row>
    <row r="338" spans="1:7" x14ac:dyDescent="0.35">
      <c r="A338" t="str">
        <v>Yoveo</v>
      </c>
      <c r="B338">
        <f>COUNTIF(Inventory_Table[Supplier_Name],A338)</f>
        <v>3</v>
      </c>
      <c r="C338">
        <f>COUNTIFS(Inventory_Table[Supplier_Name],A338,Inventory_Table[Status],"Active")</f>
        <v>2</v>
      </c>
      <c r="D338">
        <f>COUNTIFS(Inventory_Table[Supplier_Name],A338,Inventory_Table[Status],"Backordered")</f>
        <v>0</v>
      </c>
      <c r="E338">
        <f>COUNTIFS(Inventory_Table[Supplier_Name],A338,Inventory_Table[Status],"Discontinued")</f>
        <v>1</v>
      </c>
      <c r="F338">
        <f>SUMIF(Inventory_Table[Supplier_Name],A338,Inventory_Table[Stock_Value])</f>
        <v>2796</v>
      </c>
      <c r="G338" s="21">
        <f t="shared" si="5"/>
        <v>0.66666666666666674</v>
      </c>
    </row>
    <row r="339" spans="1:7" x14ac:dyDescent="0.35">
      <c r="A339" t="str">
        <v>Yozio</v>
      </c>
      <c r="B339">
        <f>COUNTIF(Inventory_Table[Supplier_Name],A339)</f>
        <v>2</v>
      </c>
      <c r="C339">
        <f>COUNTIFS(Inventory_Table[Supplier_Name],A339,Inventory_Table[Status],"Active")</f>
        <v>1</v>
      </c>
      <c r="D339">
        <f>COUNTIFS(Inventory_Table[Supplier_Name],A339,Inventory_Table[Status],"Backordered")</f>
        <v>1</v>
      </c>
      <c r="E339">
        <f>COUNTIFS(Inventory_Table[Supplier_Name],A339,Inventory_Table[Status],"Discontinued")</f>
        <v>0</v>
      </c>
      <c r="F339">
        <f>SUMIF(Inventory_Table[Supplier_Name],A339,Inventory_Table[Stock_Value])</f>
        <v>1030</v>
      </c>
      <c r="G339" s="21">
        <f t="shared" si="5"/>
        <v>0.5</v>
      </c>
    </row>
    <row r="340" spans="1:7" x14ac:dyDescent="0.35">
      <c r="A340" t="str">
        <v>Zava</v>
      </c>
      <c r="B340">
        <f>COUNTIF(Inventory_Table[Supplier_Name],A340)</f>
        <v>4</v>
      </c>
      <c r="C340">
        <f>COUNTIFS(Inventory_Table[Supplier_Name],A340,Inventory_Table[Status],"Active")</f>
        <v>1</v>
      </c>
      <c r="D340">
        <f>COUNTIFS(Inventory_Table[Supplier_Name],A340,Inventory_Table[Status],"Backordered")</f>
        <v>2</v>
      </c>
      <c r="E340">
        <f>COUNTIFS(Inventory_Table[Supplier_Name],A340,Inventory_Table[Status],"Discontinued")</f>
        <v>1</v>
      </c>
      <c r="F340">
        <f>SUMIF(Inventory_Table[Supplier_Name],A340,Inventory_Table[Stock_Value])</f>
        <v>693</v>
      </c>
      <c r="G340" s="21">
        <f t="shared" si="5"/>
        <v>0.25</v>
      </c>
    </row>
    <row r="341" spans="1:7" x14ac:dyDescent="0.35">
      <c r="A341" t="str">
        <v>Zazio</v>
      </c>
      <c r="B341">
        <f>COUNTIF(Inventory_Table[Supplier_Name],A341)</f>
        <v>2</v>
      </c>
      <c r="C341">
        <f>COUNTIFS(Inventory_Table[Supplier_Name],A341,Inventory_Table[Status],"Active")</f>
        <v>1</v>
      </c>
      <c r="D341">
        <f>COUNTIFS(Inventory_Table[Supplier_Name],A341,Inventory_Table[Status],"Backordered")</f>
        <v>1</v>
      </c>
      <c r="E341">
        <f>COUNTIFS(Inventory_Table[Supplier_Name],A341,Inventory_Table[Status],"Discontinued")</f>
        <v>0</v>
      </c>
      <c r="F341">
        <f>SUMIF(Inventory_Table[Supplier_Name],A341,Inventory_Table[Stock_Value])</f>
        <v>1475</v>
      </c>
      <c r="G341" s="21">
        <f t="shared" si="5"/>
        <v>0.5</v>
      </c>
    </row>
    <row r="342" spans="1:7" x14ac:dyDescent="0.35">
      <c r="A342" t="str">
        <v>Zoombeat</v>
      </c>
      <c r="B342">
        <f>COUNTIF(Inventory_Table[Supplier_Name],A342)</f>
        <v>1</v>
      </c>
      <c r="C342">
        <f>COUNTIFS(Inventory_Table[Supplier_Name],A342,Inventory_Table[Status],"Active")</f>
        <v>1</v>
      </c>
      <c r="D342">
        <f>COUNTIFS(Inventory_Table[Supplier_Name],A342,Inventory_Table[Status],"Backordered")</f>
        <v>0</v>
      </c>
      <c r="E342">
        <f>COUNTIFS(Inventory_Table[Supplier_Name],A342,Inventory_Table[Status],"Discontinued")</f>
        <v>0</v>
      </c>
      <c r="F342">
        <f>SUMIF(Inventory_Table[Supplier_Name],A342,Inventory_Table[Stock_Value])</f>
        <v>225</v>
      </c>
      <c r="G342" s="21">
        <f t="shared" si="5"/>
        <v>1</v>
      </c>
    </row>
    <row r="343" spans="1:7" x14ac:dyDescent="0.35">
      <c r="A343" t="str">
        <v>Zoombox</v>
      </c>
      <c r="B343">
        <f>COUNTIF(Inventory_Table[Supplier_Name],A343)</f>
        <v>3</v>
      </c>
      <c r="C343">
        <f>COUNTIFS(Inventory_Table[Supplier_Name],A343,Inventory_Table[Status],"Active")</f>
        <v>1</v>
      </c>
      <c r="D343">
        <f>COUNTIFS(Inventory_Table[Supplier_Name],A343,Inventory_Table[Status],"Backordered")</f>
        <v>1</v>
      </c>
      <c r="E343">
        <f>COUNTIFS(Inventory_Table[Supplier_Name],A343,Inventory_Table[Status],"Discontinued")</f>
        <v>1</v>
      </c>
      <c r="F343">
        <f>SUMIF(Inventory_Table[Supplier_Name],A343,Inventory_Table[Stock_Value])</f>
        <v>328.80000000000007</v>
      </c>
      <c r="G343" s="21">
        <f t="shared" si="5"/>
        <v>0.33333333333333337</v>
      </c>
    </row>
    <row r="344" spans="1:7" x14ac:dyDescent="0.35">
      <c r="A344" t="str">
        <v>Zoomlounge</v>
      </c>
      <c r="B344">
        <f>COUNTIF(Inventory_Table[Supplier_Name],A344)</f>
        <v>1</v>
      </c>
      <c r="C344">
        <f>COUNTIFS(Inventory_Table[Supplier_Name],A344,Inventory_Table[Status],"Active")</f>
        <v>0</v>
      </c>
      <c r="D344">
        <f>COUNTIFS(Inventory_Table[Supplier_Name],A344,Inventory_Table[Status],"Backordered")</f>
        <v>0</v>
      </c>
      <c r="E344">
        <f>COUNTIFS(Inventory_Table[Supplier_Name],A344,Inventory_Table[Status],"Discontinued")</f>
        <v>1</v>
      </c>
      <c r="F344">
        <f>SUMIF(Inventory_Table[Supplier_Name],A344,Inventory_Table[Stock_Value])</f>
        <v>284</v>
      </c>
      <c r="G344" s="21">
        <f t="shared" si="5"/>
        <v>0</v>
      </c>
    </row>
    <row r="345" spans="1:7" x14ac:dyDescent="0.35">
      <c r="A345" t="str">
        <v>Zoomzone</v>
      </c>
      <c r="B345">
        <f>COUNTIF(Inventory_Table[Supplier_Name],A345)</f>
        <v>1</v>
      </c>
      <c r="C345">
        <f>COUNTIFS(Inventory_Table[Supplier_Name],A345,Inventory_Table[Status],"Active")</f>
        <v>0</v>
      </c>
      <c r="D345">
        <f>COUNTIFS(Inventory_Table[Supplier_Name],A345,Inventory_Table[Status],"Backordered")</f>
        <v>1</v>
      </c>
      <c r="E345">
        <f>COUNTIFS(Inventory_Table[Supplier_Name],A345,Inventory_Table[Status],"Discontinued")</f>
        <v>0</v>
      </c>
      <c r="F345">
        <f>SUMIF(Inventory_Table[Supplier_Name],A345,Inventory_Table[Stock_Value])</f>
        <v>220.79999999999998</v>
      </c>
      <c r="G345" s="21">
        <f t="shared" si="5"/>
        <v>0</v>
      </c>
    </row>
    <row r="346" spans="1:7" x14ac:dyDescent="0.35">
      <c r="A346" t="str">
        <v>Zoonder</v>
      </c>
      <c r="B346">
        <f>COUNTIF(Inventory_Table[Supplier_Name],A346)</f>
        <v>3</v>
      </c>
      <c r="C346">
        <f>COUNTIFS(Inventory_Table[Supplier_Name],A346,Inventory_Table[Status],"Active")</f>
        <v>1</v>
      </c>
      <c r="D346">
        <f>COUNTIFS(Inventory_Table[Supplier_Name],A346,Inventory_Table[Status],"Backordered")</f>
        <v>1</v>
      </c>
      <c r="E346">
        <f>COUNTIFS(Inventory_Table[Supplier_Name],A346,Inventory_Table[Status],"Discontinued")</f>
        <v>1</v>
      </c>
      <c r="F346">
        <f>SUMIF(Inventory_Table[Supplier_Name],A346,Inventory_Table[Stock_Value])</f>
        <v>1376</v>
      </c>
      <c r="G346" s="21">
        <f t="shared" si="5"/>
        <v>0.33333333333333337</v>
      </c>
    </row>
    <row r="347" spans="1:7" x14ac:dyDescent="0.35">
      <c r="A347" t="str">
        <v>Zoonoodle</v>
      </c>
      <c r="B347">
        <f>COUNTIF(Inventory_Table[Supplier_Name],A347)</f>
        <v>1</v>
      </c>
      <c r="C347">
        <f>COUNTIFS(Inventory_Table[Supplier_Name],A347,Inventory_Table[Status],"Active")</f>
        <v>0</v>
      </c>
      <c r="D347">
        <f>COUNTIFS(Inventory_Table[Supplier_Name],A347,Inventory_Table[Status],"Backordered")</f>
        <v>0</v>
      </c>
      <c r="E347">
        <f>COUNTIFS(Inventory_Table[Supplier_Name],A347,Inventory_Table[Status],"Discontinued")</f>
        <v>1</v>
      </c>
      <c r="F347">
        <f>SUMIF(Inventory_Table[Supplier_Name],A347,Inventory_Table[Stock_Value])</f>
        <v>23</v>
      </c>
      <c r="G347" s="21">
        <f t="shared" si="5"/>
        <v>0</v>
      </c>
    </row>
    <row r="348" spans="1:7" x14ac:dyDescent="0.35">
      <c r="A348" t="str">
        <v>Zooveo</v>
      </c>
      <c r="B348">
        <f>COUNTIF(Inventory_Table[Supplier_Name],A348)</f>
        <v>1</v>
      </c>
      <c r="C348">
        <f>COUNTIFS(Inventory_Table[Supplier_Name],A348,Inventory_Table[Status],"Active")</f>
        <v>0</v>
      </c>
      <c r="D348">
        <f>COUNTIFS(Inventory_Table[Supplier_Name],A348,Inventory_Table[Status],"Backordered")</f>
        <v>0</v>
      </c>
      <c r="E348">
        <f>COUNTIFS(Inventory_Table[Supplier_Name],A348,Inventory_Table[Status],"Discontinued")</f>
        <v>1</v>
      </c>
      <c r="F348">
        <f>SUMIF(Inventory_Table[Supplier_Name],A348,Inventory_Table[Stock_Value])</f>
        <v>222</v>
      </c>
      <c r="G348" s="21">
        <f t="shared" si="5"/>
        <v>0</v>
      </c>
    </row>
    <row r="349" spans="1:7" x14ac:dyDescent="0.35">
      <c r="A349" t="str">
        <v>Zoovu</v>
      </c>
      <c r="B349">
        <f>COUNTIF(Inventory_Table[Supplier_Name],A349)</f>
        <v>4</v>
      </c>
      <c r="C349">
        <f>COUNTIFS(Inventory_Table[Supplier_Name],A349,Inventory_Table[Status],"Active")</f>
        <v>3</v>
      </c>
      <c r="D349">
        <f>COUNTIFS(Inventory_Table[Supplier_Name],A349,Inventory_Table[Status],"Backordered")</f>
        <v>1</v>
      </c>
      <c r="E349">
        <f>COUNTIFS(Inventory_Table[Supplier_Name],A349,Inventory_Table[Status],"Discontinued")</f>
        <v>0</v>
      </c>
      <c r="F349">
        <f>SUMIF(Inventory_Table[Supplier_Name],A349,Inventory_Table[Stock_Value])</f>
        <v>1753</v>
      </c>
      <c r="G349" s="21">
        <f t="shared" si="5"/>
        <v>0.75</v>
      </c>
    </row>
    <row r="350" spans="1:7" x14ac:dyDescent="0.35">
      <c r="A350" t="str">
        <v>Zooxo</v>
      </c>
      <c r="B350">
        <f>COUNTIF(Inventory_Table[Supplier_Name],A350)</f>
        <v>2</v>
      </c>
      <c r="C350">
        <f>COUNTIFS(Inventory_Table[Supplier_Name],A350,Inventory_Table[Status],"Active")</f>
        <v>0</v>
      </c>
      <c r="D350">
        <f>COUNTIFS(Inventory_Table[Supplier_Name],A350,Inventory_Table[Status],"Backordered")</f>
        <v>1</v>
      </c>
      <c r="E350">
        <f>COUNTIFS(Inventory_Table[Supplier_Name],A350,Inventory_Table[Status],"Discontinued")</f>
        <v>1</v>
      </c>
      <c r="F350">
        <f>SUMIF(Inventory_Table[Supplier_Name],A350,Inventory_Table[Stock_Value])</f>
        <v>259.39999999999998</v>
      </c>
      <c r="G350" s="21">
        <f t="shared" si="5"/>
        <v>0</v>
      </c>
    </row>
    <row r="351" spans="1:7" x14ac:dyDescent="0.35">
      <c r="A351" t="str">
        <v>Zoozzy</v>
      </c>
      <c r="B351">
        <f>COUNTIF(Inventory_Table[Supplier_Name],A351)</f>
        <v>1</v>
      </c>
      <c r="C351">
        <f>COUNTIFS(Inventory_Table[Supplier_Name],A351,Inventory_Table[Status],"Active")</f>
        <v>1</v>
      </c>
      <c r="D351">
        <f>COUNTIFS(Inventory_Table[Supplier_Name],A351,Inventory_Table[Status],"Backordered")</f>
        <v>0</v>
      </c>
      <c r="E351">
        <f>COUNTIFS(Inventory_Table[Supplier_Name],A351,Inventory_Table[Status],"Discontinued")</f>
        <v>0</v>
      </c>
      <c r="F351">
        <f>SUMIF(Inventory_Table[Supplier_Name],A351,Inventory_Table[Stock_Value])</f>
        <v>1599</v>
      </c>
      <c r="G351" s="21">
        <f t="shared" si="5"/>
        <v>1</v>
      </c>
    </row>
    <row r="352" spans="1:7" x14ac:dyDescent="0.35">
      <c r="A352" s="4" t="s">
        <v>3871</v>
      </c>
      <c r="B352" s="4">
        <f>SUM(B2:B351)</f>
        <v>990</v>
      </c>
      <c r="C352" s="4">
        <f t="shared" ref="C352:F352" si="6">SUM(C2:C351)</f>
        <v>332</v>
      </c>
      <c r="D352" s="4">
        <f t="shared" si="6"/>
        <v>325</v>
      </c>
      <c r="E352" s="4">
        <f t="shared" si="6"/>
        <v>333</v>
      </c>
      <c r="F352" s="4">
        <f t="shared" si="6"/>
        <v>332654.71000000014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2C29-677E-4F90-B10E-9BD1F69278A4}">
  <dimension ref="A1:X466"/>
  <sheetViews>
    <sheetView topLeftCell="Q1" zoomScale="104" zoomScaleNormal="104" workbookViewId="0">
      <pane ySplit="1" topLeftCell="A2" activePane="bottomLeft" state="frozen"/>
      <selection pane="bottomLeft" activeCell="A9" sqref="A9:XFD9"/>
    </sheetView>
  </sheetViews>
  <sheetFormatPr defaultRowHeight="14.5" x14ac:dyDescent="0.35"/>
  <cols>
    <col min="1" max="1" width="17.81640625" bestFit="1" customWidth="1"/>
    <col min="2" max="2" width="16.81640625" bestFit="1" customWidth="1"/>
    <col min="3" max="3" width="13.6328125" bestFit="1" customWidth="1"/>
    <col min="4" max="4" width="28" bestFit="1" customWidth="1"/>
    <col min="5" max="5" width="11.7265625" bestFit="1" customWidth="1"/>
    <col min="6" max="7" width="11.08984375" bestFit="1" customWidth="1"/>
    <col min="8" max="8" width="16.26953125" bestFit="1" customWidth="1"/>
    <col min="9" max="9" width="15.1796875" bestFit="1" customWidth="1"/>
    <col min="10" max="10" width="17.54296875" bestFit="1" customWidth="1"/>
    <col min="11" max="11" width="13.81640625" bestFit="1" customWidth="1"/>
    <col min="12" max="12" width="12.7265625" bestFit="1" customWidth="1"/>
    <col min="13" max="13" width="16" bestFit="1" customWidth="1"/>
    <col min="14" max="14" width="9.453125" bestFit="1" customWidth="1"/>
    <col min="15" max="15" width="12.453125" bestFit="1" customWidth="1"/>
    <col min="16" max="16" width="22.6328125" bestFit="1" customWidth="1"/>
    <col min="17" max="17" width="10.1796875" bestFit="1" customWidth="1"/>
    <col min="18" max="18" width="11.08984375" bestFit="1" customWidth="1"/>
    <col min="19" max="19" width="8" bestFit="1" customWidth="1"/>
    <col min="20" max="20" width="11.81640625" bestFit="1" customWidth="1"/>
    <col min="21" max="21" width="14.26953125" bestFit="1" customWidth="1"/>
    <col min="22" max="22" width="20.54296875" bestFit="1" customWidth="1"/>
    <col min="23" max="23" width="13.1796875" bestFit="1" customWidth="1"/>
    <col min="24" max="24" width="20.08984375" bestFit="1" customWidth="1"/>
  </cols>
  <sheetData>
    <row r="1" spans="1:2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3814</v>
      </c>
      <c r="S1" s="4" t="s">
        <v>3828</v>
      </c>
      <c r="T1" s="4" t="s">
        <v>3830</v>
      </c>
      <c r="U1" s="4" t="s">
        <v>3835</v>
      </c>
      <c r="V1" s="4" t="s">
        <v>3839</v>
      </c>
      <c r="W1" s="22" t="s">
        <v>3878</v>
      </c>
      <c r="X1" s="22" t="s">
        <v>3879</v>
      </c>
    </row>
    <row r="2" spans="1:24" x14ac:dyDescent="0.35">
      <c r="A2" t="s">
        <v>1623</v>
      </c>
      <c r="B2" t="s">
        <v>36</v>
      </c>
      <c r="C2" t="s">
        <v>2172</v>
      </c>
      <c r="D2" t="s">
        <v>2934</v>
      </c>
      <c r="E2" t="s">
        <v>21</v>
      </c>
      <c r="F2" t="s">
        <v>2935</v>
      </c>
      <c r="G2" t="s">
        <v>2936</v>
      </c>
      <c r="H2" s="1">
        <v>46133</v>
      </c>
      <c r="I2" s="6">
        <v>45663</v>
      </c>
      <c r="J2" s="6">
        <v>46199</v>
      </c>
      <c r="K2">
        <v>14</v>
      </c>
      <c r="L2">
        <v>99</v>
      </c>
      <c r="M2">
        <v>97</v>
      </c>
      <c r="N2" s="8">
        <v>4.2</v>
      </c>
      <c r="O2">
        <v>28</v>
      </c>
      <c r="P2">
        <v>45</v>
      </c>
      <c r="Q2" s="3">
        <v>-1.19</v>
      </c>
      <c r="R2">
        <v>58.800000000000004</v>
      </c>
      <c r="S2">
        <v>117.60000000000001</v>
      </c>
      <c r="T2" t="s">
        <v>3877</v>
      </c>
      <c r="U2" t="s">
        <v>3837</v>
      </c>
      <c r="V2" s="14">
        <v>511</v>
      </c>
      <c r="W2">
        <f t="shared" ref="W2:W65" si="0">L2-K2</f>
        <v>85</v>
      </c>
      <c r="X2">
        <f t="shared" ref="X2:X65" si="1">M2*N2</f>
        <v>407.40000000000003</v>
      </c>
    </row>
    <row r="3" spans="1:24" x14ac:dyDescent="0.35">
      <c r="A3" t="s">
        <v>450</v>
      </c>
      <c r="B3" t="s">
        <v>18</v>
      </c>
      <c r="C3" t="s">
        <v>178</v>
      </c>
      <c r="D3" t="s">
        <v>1168</v>
      </c>
      <c r="E3" t="s">
        <v>30</v>
      </c>
      <c r="F3" t="s">
        <v>1169</v>
      </c>
      <c r="G3" t="s">
        <v>1170</v>
      </c>
      <c r="H3" s="1">
        <v>46271</v>
      </c>
      <c r="I3" s="6">
        <v>45456</v>
      </c>
      <c r="J3" s="6">
        <v>46336</v>
      </c>
      <c r="K3">
        <v>12</v>
      </c>
      <c r="L3">
        <v>95</v>
      </c>
      <c r="M3">
        <v>49</v>
      </c>
      <c r="N3" s="8">
        <v>1</v>
      </c>
      <c r="O3">
        <v>25</v>
      </c>
      <c r="P3">
        <v>23</v>
      </c>
      <c r="Q3" s="3">
        <v>-0.12</v>
      </c>
      <c r="R3">
        <v>12</v>
      </c>
      <c r="S3">
        <v>25</v>
      </c>
      <c r="T3" t="s">
        <v>3877</v>
      </c>
      <c r="U3" t="s">
        <v>3836</v>
      </c>
      <c r="V3" s="14">
        <v>718</v>
      </c>
      <c r="W3">
        <f t="shared" si="0"/>
        <v>83</v>
      </c>
      <c r="X3">
        <f t="shared" si="1"/>
        <v>49</v>
      </c>
    </row>
    <row r="4" spans="1:24" x14ac:dyDescent="0.35">
      <c r="A4" t="s">
        <v>228</v>
      </c>
      <c r="B4" t="s">
        <v>18</v>
      </c>
      <c r="C4" t="s">
        <v>102</v>
      </c>
      <c r="D4" t="s">
        <v>2606</v>
      </c>
      <c r="E4" t="s">
        <v>30</v>
      </c>
      <c r="F4" t="s">
        <v>2607</v>
      </c>
      <c r="G4" t="s">
        <v>2608</v>
      </c>
      <c r="H4" s="1">
        <v>46438</v>
      </c>
      <c r="I4" s="6">
        <v>45632</v>
      </c>
      <c r="J4" s="6">
        <v>46249</v>
      </c>
      <c r="K4">
        <v>12</v>
      </c>
      <c r="L4">
        <v>93</v>
      </c>
      <c r="M4">
        <v>29</v>
      </c>
      <c r="N4" s="8">
        <v>1.75</v>
      </c>
      <c r="O4">
        <v>45</v>
      </c>
      <c r="P4">
        <v>12</v>
      </c>
      <c r="Q4" s="3">
        <v>-0.12</v>
      </c>
      <c r="R4">
        <v>21</v>
      </c>
      <c r="S4">
        <v>78.75</v>
      </c>
      <c r="T4" t="s">
        <v>3877</v>
      </c>
      <c r="U4" t="s">
        <v>3836</v>
      </c>
      <c r="V4" s="14">
        <v>542</v>
      </c>
      <c r="W4">
        <f t="shared" si="0"/>
        <v>81</v>
      </c>
      <c r="X4">
        <f t="shared" si="1"/>
        <v>50.75</v>
      </c>
    </row>
    <row r="5" spans="1:24" x14ac:dyDescent="0.35">
      <c r="A5" t="s">
        <v>135</v>
      </c>
      <c r="B5" t="s">
        <v>36</v>
      </c>
      <c r="C5" t="s">
        <v>1775</v>
      </c>
      <c r="D5" t="s">
        <v>2956</v>
      </c>
      <c r="E5" t="s">
        <v>21</v>
      </c>
      <c r="F5" t="s">
        <v>2957</v>
      </c>
      <c r="G5" t="s">
        <v>2958</v>
      </c>
      <c r="H5" s="1">
        <v>46137</v>
      </c>
      <c r="I5" s="6">
        <v>45494</v>
      </c>
      <c r="J5" s="6">
        <v>46103</v>
      </c>
      <c r="K5">
        <v>19</v>
      </c>
      <c r="L5">
        <v>100</v>
      </c>
      <c r="M5">
        <v>83</v>
      </c>
      <c r="N5" s="8">
        <v>2.5</v>
      </c>
      <c r="O5">
        <v>66</v>
      </c>
      <c r="P5">
        <v>28</v>
      </c>
      <c r="Q5" s="3">
        <v>0.26</v>
      </c>
      <c r="R5">
        <v>47.5</v>
      </c>
      <c r="S5">
        <v>165</v>
      </c>
      <c r="T5" t="s">
        <v>3877</v>
      </c>
      <c r="U5" t="s">
        <v>3838</v>
      </c>
      <c r="V5" s="14">
        <v>680</v>
      </c>
      <c r="W5">
        <f t="shared" si="0"/>
        <v>81</v>
      </c>
      <c r="X5">
        <f t="shared" si="1"/>
        <v>207.5</v>
      </c>
    </row>
    <row r="6" spans="1:24" x14ac:dyDescent="0.35">
      <c r="A6" t="s">
        <v>842</v>
      </c>
      <c r="B6" t="s">
        <v>75</v>
      </c>
      <c r="C6" t="s">
        <v>1991</v>
      </c>
      <c r="D6" t="s">
        <v>2271</v>
      </c>
      <c r="E6" t="s">
        <v>21</v>
      </c>
      <c r="F6" t="s">
        <v>2272</v>
      </c>
      <c r="G6" t="s">
        <v>2273</v>
      </c>
      <c r="H6" s="1">
        <v>46347</v>
      </c>
      <c r="I6" s="6">
        <v>45705</v>
      </c>
      <c r="J6" s="6">
        <v>46386</v>
      </c>
      <c r="K6">
        <v>19</v>
      </c>
      <c r="L6">
        <v>99</v>
      </c>
      <c r="M6">
        <v>78</v>
      </c>
      <c r="N6" s="8">
        <v>9</v>
      </c>
      <c r="O6">
        <v>29</v>
      </c>
      <c r="P6">
        <v>54</v>
      </c>
      <c r="Q6" s="3">
        <v>0.48</v>
      </c>
      <c r="R6">
        <v>171</v>
      </c>
      <c r="S6">
        <v>261</v>
      </c>
      <c r="T6" t="s">
        <v>3877</v>
      </c>
      <c r="U6" t="s">
        <v>3836</v>
      </c>
      <c r="V6" s="14">
        <v>469</v>
      </c>
      <c r="W6">
        <f t="shared" si="0"/>
        <v>80</v>
      </c>
      <c r="X6">
        <f t="shared" si="1"/>
        <v>702</v>
      </c>
    </row>
    <row r="7" spans="1:24" x14ac:dyDescent="0.35">
      <c r="A7" t="s">
        <v>769</v>
      </c>
      <c r="B7" t="s">
        <v>36</v>
      </c>
      <c r="C7" t="s">
        <v>1279</v>
      </c>
      <c r="D7" t="s">
        <v>1280</v>
      </c>
      <c r="E7" t="s">
        <v>21</v>
      </c>
      <c r="F7" t="s">
        <v>1281</v>
      </c>
      <c r="G7" t="s">
        <v>1282</v>
      </c>
      <c r="H7" s="1">
        <v>46300</v>
      </c>
      <c r="I7" s="6">
        <v>45514</v>
      </c>
      <c r="J7" s="6">
        <v>46085</v>
      </c>
      <c r="K7">
        <v>23</v>
      </c>
      <c r="L7">
        <v>100</v>
      </c>
      <c r="M7">
        <v>77</v>
      </c>
      <c r="N7" s="8">
        <v>2</v>
      </c>
      <c r="O7">
        <v>63</v>
      </c>
      <c r="P7">
        <v>26</v>
      </c>
      <c r="Q7" s="3">
        <v>0.12</v>
      </c>
      <c r="R7">
        <v>46</v>
      </c>
      <c r="S7">
        <v>126</v>
      </c>
      <c r="T7" t="s">
        <v>3877</v>
      </c>
      <c r="U7" t="s">
        <v>3838</v>
      </c>
      <c r="V7" s="14">
        <v>660</v>
      </c>
      <c r="W7">
        <f t="shared" si="0"/>
        <v>77</v>
      </c>
      <c r="X7">
        <f t="shared" si="1"/>
        <v>154</v>
      </c>
    </row>
    <row r="8" spans="1:24" x14ac:dyDescent="0.35">
      <c r="A8" t="s">
        <v>769</v>
      </c>
      <c r="B8" t="s">
        <v>36</v>
      </c>
      <c r="C8" t="s">
        <v>241</v>
      </c>
      <c r="D8" t="s">
        <v>1171</v>
      </c>
      <c r="E8" t="s">
        <v>21</v>
      </c>
      <c r="F8" t="s">
        <v>1172</v>
      </c>
      <c r="G8" t="s">
        <v>1173</v>
      </c>
      <c r="H8" s="1">
        <v>46271</v>
      </c>
      <c r="I8" s="6">
        <v>45388</v>
      </c>
      <c r="J8" s="6">
        <v>46122</v>
      </c>
      <c r="K8">
        <v>23</v>
      </c>
      <c r="L8">
        <v>99</v>
      </c>
      <c r="M8">
        <v>97</v>
      </c>
      <c r="N8" s="8">
        <v>2</v>
      </c>
      <c r="O8">
        <v>68</v>
      </c>
      <c r="P8">
        <v>76</v>
      </c>
      <c r="Q8" s="3">
        <v>0.08</v>
      </c>
      <c r="R8">
        <v>46</v>
      </c>
      <c r="S8">
        <v>136</v>
      </c>
      <c r="T8" t="s">
        <v>3877</v>
      </c>
      <c r="U8" t="s">
        <v>3838</v>
      </c>
      <c r="V8" s="14">
        <v>786</v>
      </c>
      <c r="W8">
        <f t="shared" si="0"/>
        <v>76</v>
      </c>
      <c r="X8">
        <f t="shared" si="1"/>
        <v>194</v>
      </c>
    </row>
    <row r="9" spans="1:24" x14ac:dyDescent="0.35">
      <c r="A9" t="s">
        <v>842</v>
      </c>
      <c r="B9" t="s">
        <v>75</v>
      </c>
      <c r="C9" t="s">
        <v>1599</v>
      </c>
      <c r="D9" t="s">
        <v>1600</v>
      </c>
      <c r="E9" t="s">
        <v>68</v>
      </c>
      <c r="F9" t="s">
        <v>1601</v>
      </c>
      <c r="G9" t="s">
        <v>1602</v>
      </c>
      <c r="H9" s="1">
        <v>46419</v>
      </c>
      <c r="I9" s="6">
        <v>45449</v>
      </c>
      <c r="J9" s="6">
        <v>46427</v>
      </c>
      <c r="K9">
        <v>11</v>
      </c>
      <c r="L9">
        <v>87</v>
      </c>
      <c r="M9">
        <v>43</v>
      </c>
      <c r="N9" s="8">
        <v>9</v>
      </c>
      <c r="O9">
        <v>86</v>
      </c>
      <c r="P9">
        <v>91</v>
      </c>
      <c r="Q9" s="3">
        <v>-0.16</v>
      </c>
      <c r="R9">
        <v>99</v>
      </c>
      <c r="S9">
        <v>774</v>
      </c>
      <c r="T9" t="s">
        <v>3877</v>
      </c>
      <c r="U9" t="s">
        <v>3836</v>
      </c>
      <c r="V9" s="14">
        <v>725</v>
      </c>
      <c r="W9">
        <f t="shared" si="0"/>
        <v>76</v>
      </c>
      <c r="X9">
        <f t="shared" si="1"/>
        <v>387</v>
      </c>
    </row>
    <row r="10" spans="1:24" x14ac:dyDescent="0.35">
      <c r="A10" t="s">
        <v>101</v>
      </c>
      <c r="B10" t="s">
        <v>27</v>
      </c>
      <c r="C10" t="s">
        <v>1806</v>
      </c>
      <c r="D10" t="s">
        <v>3288</v>
      </c>
      <c r="E10" t="s">
        <v>30</v>
      </c>
      <c r="F10" t="s">
        <v>3289</v>
      </c>
      <c r="G10" t="s">
        <v>3290</v>
      </c>
      <c r="H10" s="1">
        <v>46202</v>
      </c>
      <c r="I10" s="6">
        <v>45622</v>
      </c>
      <c r="J10" s="6">
        <v>46369</v>
      </c>
      <c r="K10">
        <v>10</v>
      </c>
      <c r="L10">
        <v>86</v>
      </c>
      <c r="M10">
        <v>23</v>
      </c>
      <c r="N10" s="8">
        <v>10</v>
      </c>
      <c r="O10">
        <v>24</v>
      </c>
      <c r="P10">
        <v>52</v>
      </c>
      <c r="Q10" s="3">
        <v>-0.37</v>
      </c>
      <c r="R10">
        <v>100</v>
      </c>
      <c r="S10">
        <v>240</v>
      </c>
      <c r="T10" t="s">
        <v>3877</v>
      </c>
      <c r="U10" t="s">
        <v>3836</v>
      </c>
      <c r="V10" s="14">
        <v>552</v>
      </c>
      <c r="W10">
        <f t="shared" si="0"/>
        <v>76</v>
      </c>
      <c r="X10">
        <f t="shared" si="1"/>
        <v>230</v>
      </c>
    </row>
    <row r="11" spans="1:24" x14ac:dyDescent="0.35">
      <c r="A11" t="s">
        <v>893</v>
      </c>
      <c r="B11" t="s">
        <v>65</v>
      </c>
      <c r="C11" t="s">
        <v>290</v>
      </c>
      <c r="D11" t="s">
        <v>3669</v>
      </c>
      <c r="E11" t="s">
        <v>68</v>
      </c>
      <c r="F11" t="s">
        <v>3670</v>
      </c>
      <c r="G11" t="s">
        <v>3671</v>
      </c>
      <c r="H11" s="1">
        <v>46264</v>
      </c>
      <c r="I11" s="6">
        <v>45451</v>
      </c>
      <c r="J11" s="6">
        <v>46178</v>
      </c>
      <c r="K11">
        <v>11</v>
      </c>
      <c r="L11">
        <v>87</v>
      </c>
      <c r="M11">
        <v>64</v>
      </c>
      <c r="N11" s="8">
        <v>4.5</v>
      </c>
      <c r="O11">
        <v>29</v>
      </c>
      <c r="P11">
        <v>6</v>
      </c>
      <c r="Q11" s="3">
        <v>0.6</v>
      </c>
      <c r="R11">
        <v>49.5</v>
      </c>
      <c r="S11">
        <v>130.5</v>
      </c>
      <c r="T11" t="s">
        <v>3877</v>
      </c>
      <c r="U11" t="s">
        <v>3837</v>
      </c>
      <c r="V11" s="14">
        <v>723</v>
      </c>
      <c r="W11">
        <f t="shared" si="0"/>
        <v>76</v>
      </c>
      <c r="X11">
        <f t="shared" si="1"/>
        <v>288</v>
      </c>
    </row>
    <row r="12" spans="1:24" x14ac:dyDescent="0.35">
      <c r="A12" t="s">
        <v>1440</v>
      </c>
      <c r="B12" t="s">
        <v>18</v>
      </c>
      <c r="C12" t="s">
        <v>155</v>
      </c>
      <c r="D12" t="s">
        <v>2268</v>
      </c>
      <c r="E12" t="s">
        <v>30</v>
      </c>
      <c r="F12" t="s">
        <v>2269</v>
      </c>
      <c r="G12" t="s">
        <v>2270</v>
      </c>
      <c r="H12" s="1">
        <v>46345</v>
      </c>
      <c r="I12" s="6">
        <v>45417</v>
      </c>
      <c r="J12" s="6">
        <v>46370</v>
      </c>
      <c r="K12">
        <v>13</v>
      </c>
      <c r="L12">
        <v>88</v>
      </c>
      <c r="M12">
        <v>11</v>
      </c>
      <c r="N12" s="8">
        <v>3</v>
      </c>
      <c r="O12">
        <v>100</v>
      </c>
      <c r="P12">
        <v>52</v>
      </c>
      <c r="Q12" s="3">
        <v>-0.05</v>
      </c>
      <c r="R12">
        <v>39</v>
      </c>
      <c r="S12">
        <v>300</v>
      </c>
      <c r="T12" t="s">
        <v>3877</v>
      </c>
      <c r="U12" t="s">
        <v>3836</v>
      </c>
      <c r="V12" s="14">
        <v>757</v>
      </c>
      <c r="W12">
        <f t="shared" si="0"/>
        <v>75</v>
      </c>
      <c r="X12">
        <f t="shared" si="1"/>
        <v>33</v>
      </c>
    </row>
    <row r="13" spans="1:24" x14ac:dyDescent="0.35">
      <c r="A13" t="s">
        <v>567</v>
      </c>
      <c r="B13" t="s">
        <v>65</v>
      </c>
      <c r="C13" t="s">
        <v>357</v>
      </c>
      <c r="D13" t="s">
        <v>3457</v>
      </c>
      <c r="E13" t="s">
        <v>30</v>
      </c>
      <c r="F13" t="s">
        <v>3458</v>
      </c>
      <c r="G13" t="s">
        <v>3459</v>
      </c>
      <c r="H13" s="1">
        <v>46231</v>
      </c>
      <c r="I13" s="6">
        <v>45427</v>
      </c>
      <c r="J13" s="6">
        <v>46206</v>
      </c>
      <c r="K13">
        <v>13</v>
      </c>
      <c r="L13">
        <v>88</v>
      </c>
      <c r="M13">
        <v>7</v>
      </c>
      <c r="N13" s="8">
        <v>9.5</v>
      </c>
      <c r="O13">
        <v>24</v>
      </c>
      <c r="P13">
        <v>21</v>
      </c>
      <c r="Q13" s="3">
        <v>-0.51</v>
      </c>
      <c r="R13">
        <v>123.5</v>
      </c>
      <c r="S13">
        <v>228</v>
      </c>
      <c r="T13" t="s">
        <v>3877</v>
      </c>
      <c r="U13" t="s">
        <v>3836</v>
      </c>
      <c r="V13" s="14">
        <v>747</v>
      </c>
      <c r="W13">
        <f t="shared" si="0"/>
        <v>75</v>
      </c>
      <c r="X13">
        <f t="shared" si="1"/>
        <v>66.5</v>
      </c>
    </row>
    <row r="14" spans="1:24" x14ac:dyDescent="0.35">
      <c r="A14" t="s">
        <v>371</v>
      </c>
      <c r="B14" t="s">
        <v>75</v>
      </c>
      <c r="C14" t="s">
        <v>1619</v>
      </c>
      <c r="D14" t="s">
        <v>3589</v>
      </c>
      <c r="E14" t="s">
        <v>21</v>
      </c>
      <c r="F14" t="s">
        <v>3590</v>
      </c>
      <c r="G14" t="s">
        <v>3591</v>
      </c>
      <c r="H14" s="1">
        <v>46256</v>
      </c>
      <c r="I14" s="6">
        <v>45451</v>
      </c>
      <c r="J14" s="6">
        <v>46187</v>
      </c>
      <c r="K14">
        <v>19</v>
      </c>
      <c r="L14">
        <v>94</v>
      </c>
      <c r="M14">
        <v>17</v>
      </c>
      <c r="N14" s="8">
        <v>11.5</v>
      </c>
      <c r="O14">
        <v>96</v>
      </c>
      <c r="P14">
        <v>74</v>
      </c>
      <c r="Q14" s="3">
        <v>-0.3</v>
      </c>
      <c r="R14">
        <v>218.5</v>
      </c>
      <c r="S14">
        <v>1104</v>
      </c>
      <c r="T14" t="s">
        <v>3877</v>
      </c>
      <c r="U14" t="s">
        <v>3837</v>
      </c>
      <c r="V14" s="14">
        <v>723</v>
      </c>
      <c r="W14">
        <f t="shared" si="0"/>
        <v>75</v>
      </c>
      <c r="X14">
        <f t="shared" si="1"/>
        <v>195.5</v>
      </c>
    </row>
    <row r="15" spans="1:24" x14ac:dyDescent="0.35">
      <c r="A15" t="s">
        <v>194</v>
      </c>
      <c r="B15" t="s">
        <v>114</v>
      </c>
      <c r="C15" t="s">
        <v>389</v>
      </c>
      <c r="D15" t="s">
        <v>1325</v>
      </c>
      <c r="E15" t="s">
        <v>21</v>
      </c>
      <c r="F15" t="s">
        <v>1326</v>
      </c>
      <c r="G15" t="s">
        <v>1327</v>
      </c>
      <c r="H15" s="1">
        <v>46305</v>
      </c>
      <c r="I15" s="6">
        <v>45472</v>
      </c>
      <c r="J15" s="6">
        <v>46294</v>
      </c>
      <c r="K15">
        <v>12</v>
      </c>
      <c r="L15">
        <v>86</v>
      </c>
      <c r="M15">
        <v>98</v>
      </c>
      <c r="N15" s="8">
        <v>4</v>
      </c>
      <c r="O15">
        <v>75</v>
      </c>
      <c r="P15">
        <v>86</v>
      </c>
      <c r="Q15" s="3">
        <v>-0.3</v>
      </c>
      <c r="R15">
        <v>48</v>
      </c>
      <c r="S15">
        <v>300</v>
      </c>
      <c r="T15" t="s">
        <v>3877</v>
      </c>
      <c r="U15" t="s">
        <v>3836</v>
      </c>
      <c r="V15" s="14">
        <v>702</v>
      </c>
      <c r="W15">
        <f t="shared" si="0"/>
        <v>74</v>
      </c>
      <c r="X15">
        <f t="shared" si="1"/>
        <v>392</v>
      </c>
    </row>
    <row r="16" spans="1:24" x14ac:dyDescent="0.35">
      <c r="A16" t="s">
        <v>1234</v>
      </c>
      <c r="B16" t="s">
        <v>27</v>
      </c>
      <c r="C16" t="s">
        <v>1810</v>
      </c>
      <c r="D16" t="s">
        <v>2283</v>
      </c>
      <c r="E16" t="s">
        <v>21</v>
      </c>
      <c r="F16" t="s">
        <v>2284</v>
      </c>
      <c r="G16" t="s">
        <v>2285</v>
      </c>
      <c r="H16" s="1">
        <v>46349</v>
      </c>
      <c r="I16" s="6">
        <v>45553</v>
      </c>
      <c r="J16" s="6">
        <v>46394</v>
      </c>
      <c r="K16">
        <v>26</v>
      </c>
      <c r="L16">
        <v>100</v>
      </c>
      <c r="M16">
        <v>13</v>
      </c>
      <c r="N16" s="8">
        <v>2.5</v>
      </c>
      <c r="O16">
        <v>45</v>
      </c>
      <c r="P16">
        <v>45</v>
      </c>
      <c r="Q16" s="3">
        <v>0.76</v>
      </c>
      <c r="R16">
        <v>65</v>
      </c>
      <c r="S16">
        <v>112.5</v>
      </c>
      <c r="T16" t="s">
        <v>3877</v>
      </c>
      <c r="U16" t="s">
        <v>3836</v>
      </c>
      <c r="V16" s="14">
        <v>621</v>
      </c>
      <c r="W16">
        <f t="shared" si="0"/>
        <v>74</v>
      </c>
      <c r="X16">
        <f t="shared" si="1"/>
        <v>32.5</v>
      </c>
    </row>
    <row r="17" spans="1:24" x14ac:dyDescent="0.35">
      <c r="A17" t="s">
        <v>480</v>
      </c>
      <c r="B17" t="s">
        <v>36</v>
      </c>
      <c r="C17" t="s">
        <v>677</v>
      </c>
      <c r="D17" t="s">
        <v>1243</v>
      </c>
      <c r="E17" t="s">
        <v>68</v>
      </c>
      <c r="F17" t="s">
        <v>1244</v>
      </c>
      <c r="G17" t="s">
        <v>1245</v>
      </c>
      <c r="H17" s="1">
        <v>46298</v>
      </c>
      <c r="I17" s="6">
        <v>45607</v>
      </c>
      <c r="J17" s="6">
        <v>46417</v>
      </c>
      <c r="K17">
        <v>14</v>
      </c>
      <c r="L17">
        <v>87</v>
      </c>
      <c r="M17">
        <v>8</v>
      </c>
      <c r="N17" s="8">
        <v>4</v>
      </c>
      <c r="O17">
        <v>90</v>
      </c>
      <c r="P17">
        <v>14</v>
      </c>
      <c r="Q17" s="3">
        <v>-0.35</v>
      </c>
      <c r="R17">
        <v>56</v>
      </c>
      <c r="S17">
        <v>360</v>
      </c>
      <c r="T17" t="s">
        <v>3877</v>
      </c>
      <c r="U17" t="s">
        <v>3836</v>
      </c>
      <c r="V17" s="14">
        <v>567</v>
      </c>
      <c r="W17">
        <f t="shared" si="0"/>
        <v>73</v>
      </c>
      <c r="X17">
        <f t="shared" si="1"/>
        <v>32</v>
      </c>
    </row>
    <row r="18" spans="1:24" x14ac:dyDescent="0.35">
      <c r="A18" t="s">
        <v>975</v>
      </c>
      <c r="B18" t="s">
        <v>18</v>
      </c>
      <c r="C18" t="s">
        <v>37</v>
      </c>
      <c r="D18" t="s">
        <v>1662</v>
      </c>
      <c r="E18" t="s">
        <v>68</v>
      </c>
      <c r="F18" t="s">
        <v>1663</v>
      </c>
      <c r="G18" t="s">
        <v>1664</v>
      </c>
      <c r="H18" s="1">
        <v>46508</v>
      </c>
      <c r="I18" s="6">
        <v>45668</v>
      </c>
      <c r="J18" s="6">
        <v>46308</v>
      </c>
      <c r="K18">
        <v>19</v>
      </c>
      <c r="L18">
        <v>92</v>
      </c>
      <c r="M18">
        <v>41</v>
      </c>
      <c r="N18" s="8">
        <v>2</v>
      </c>
      <c r="O18">
        <v>51</v>
      </c>
      <c r="P18">
        <v>79</v>
      </c>
      <c r="Q18" s="3">
        <v>0.95</v>
      </c>
      <c r="R18">
        <v>38</v>
      </c>
      <c r="S18">
        <v>102</v>
      </c>
      <c r="T18" t="s">
        <v>3877</v>
      </c>
      <c r="U18" t="s">
        <v>3836</v>
      </c>
      <c r="V18" s="14">
        <v>506</v>
      </c>
      <c r="W18">
        <f t="shared" si="0"/>
        <v>73</v>
      </c>
      <c r="X18">
        <f t="shared" si="1"/>
        <v>82</v>
      </c>
    </row>
    <row r="19" spans="1:24" x14ac:dyDescent="0.35">
      <c r="A19" t="s">
        <v>376</v>
      </c>
      <c r="B19" t="s">
        <v>18</v>
      </c>
      <c r="C19" t="s">
        <v>284</v>
      </c>
      <c r="D19" t="s">
        <v>2069</v>
      </c>
      <c r="E19" t="s">
        <v>21</v>
      </c>
      <c r="F19" t="s">
        <v>2070</v>
      </c>
      <c r="G19" t="s">
        <v>2071</v>
      </c>
      <c r="H19" s="1">
        <v>46315</v>
      </c>
      <c r="I19" s="6">
        <v>45358</v>
      </c>
      <c r="J19" s="6">
        <v>46381</v>
      </c>
      <c r="K19">
        <v>20</v>
      </c>
      <c r="L19">
        <v>93</v>
      </c>
      <c r="M19">
        <v>37</v>
      </c>
      <c r="N19" s="8">
        <v>2</v>
      </c>
      <c r="O19">
        <v>23</v>
      </c>
      <c r="P19">
        <v>2</v>
      </c>
      <c r="Q19" s="3">
        <v>0.63</v>
      </c>
      <c r="R19">
        <v>40</v>
      </c>
      <c r="S19">
        <v>46</v>
      </c>
      <c r="T19" t="s">
        <v>3877</v>
      </c>
      <c r="U19" t="s">
        <v>3836</v>
      </c>
      <c r="V19" s="14">
        <v>816</v>
      </c>
      <c r="W19">
        <f t="shared" si="0"/>
        <v>73</v>
      </c>
      <c r="X19">
        <f t="shared" si="1"/>
        <v>74</v>
      </c>
    </row>
    <row r="20" spans="1:24" x14ac:dyDescent="0.35">
      <c r="A20" t="s">
        <v>880</v>
      </c>
      <c r="B20" t="s">
        <v>27</v>
      </c>
      <c r="C20" t="s">
        <v>51</v>
      </c>
      <c r="D20" t="s">
        <v>2089</v>
      </c>
      <c r="E20" t="s">
        <v>21</v>
      </c>
      <c r="F20" t="s">
        <v>2090</v>
      </c>
      <c r="G20" t="s">
        <v>2091</v>
      </c>
      <c r="H20" s="1">
        <v>46317</v>
      </c>
      <c r="I20" s="6">
        <v>45465</v>
      </c>
      <c r="J20" s="6">
        <v>46249</v>
      </c>
      <c r="K20">
        <v>25</v>
      </c>
      <c r="L20">
        <v>97</v>
      </c>
      <c r="M20">
        <v>63</v>
      </c>
      <c r="N20" s="8">
        <v>2.2999999999999998</v>
      </c>
      <c r="O20">
        <v>72</v>
      </c>
      <c r="P20">
        <v>23</v>
      </c>
      <c r="Q20" s="3">
        <v>-0.11</v>
      </c>
      <c r="R20">
        <v>57.499999999999993</v>
      </c>
      <c r="S20">
        <v>165.6</v>
      </c>
      <c r="T20" t="s">
        <v>3877</v>
      </c>
      <c r="U20" t="s">
        <v>3836</v>
      </c>
      <c r="V20" s="14">
        <v>709</v>
      </c>
      <c r="W20">
        <f t="shared" si="0"/>
        <v>72</v>
      </c>
      <c r="X20">
        <f t="shared" si="1"/>
        <v>144.89999999999998</v>
      </c>
    </row>
    <row r="21" spans="1:24" x14ac:dyDescent="0.35">
      <c r="A21" t="s">
        <v>695</v>
      </c>
      <c r="B21" t="s">
        <v>65</v>
      </c>
      <c r="C21" t="s">
        <v>383</v>
      </c>
      <c r="D21" t="s">
        <v>2072</v>
      </c>
      <c r="E21" t="s">
        <v>30</v>
      </c>
      <c r="F21" t="s">
        <v>2073</v>
      </c>
      <c r="G21" t="s">
        <v>2074</v>
      </c>
      <c r="H21" s="1">
        <v>46316</v>
      </c>
      <c r="I21" s="6">
        <v>45707</v>
      </c>
      <c r="J21" s="6">
        <v>46405</v>
      </c>
      <c r="K21">
        <v>17</v>
      </c>
      <c r="L21">
        <v>88</v>
      </c>
      <c r="M21">
        <v>41</v>
      </c>
      <c r="N21" s="8">
        <v>2.5</v>
      </c>
      <c r="O21">
        <v>45</v>
      </c>
      <c r="P21">
        <v>29</v>
      </c>
      <c r="Q21" s="3">
        <v>0.91</v>
      </c>
      <c r="R21">
        <v>42.5</v>
      </c>
      <c r="S21">
        <v>112.5</v>
      </c>
      <c r="T21" t="s">
        <v>3877</v>
      </c>
      <c r="U21" t="s">
        <v>3836</v>
      </c>
      <c r="V21" s="14">
        <v>467</v>
      </c>
      <c r="W21">
        <f t="shared" si="0"/>
        <v>71</v>
      </c>
      <c r="X21">
        <f t="shared" si="1"/>
        <v>102.5</v>
      </c>
    </row>
    <row r="22" spans="1:24" x14ac:dyDescent="0.35">
      <c r="A22" t="s">
        <v>89</v>
      </c>
      <c r="B22" t="s">
        <v>36</v>
      </c>
      <c r="C22" t="s">
        <v>424</v>
      </c>
      <c r="D22" t="s">
        <v>2148</v>
      </c>
      <c r="E22" t="s">
        <v>30</v>
      </c>
      <c r="F22" t="s">
        <v>2149</v>
      </c>
      <c r="G22" t="s">
        <v>2150</v>
      </c>
      <c r="H22" s="1">
        <v>46322</v>
      </c>
      <c r="I22" s="6">
        <v>45471</v>
      </c>
      <c r="J22" s="6">
        <v>46227</v>
      </c>
      <c r="K22">
        <v>12</v>
      </c>
      <c r="L22">
        <v>83</v>
      </c>
      <c r="M22">
        <v>93</v>
      </c>
      <c r="N22" s="8">
        <v>1.75</v>
      </c>
      <c r="O22">
        <v>22</v>
      </c>
      <c r="P22">
        <v>9</v>
      </c>
      <c r="Q22" s="3">
        <v>-0.61</v>
      </c>
      <c r="R22">
        <v>21</v>
      </c>
      <c r="S22">
        <v>38.5</v>
      </c>
      <c r="T22" t="s">
        <v>3877</v>
      </c>
      <c r="U22" t="s">
        <v>3836</v>
      </c>
      <c r="V22" s="14">
        <v>703</v>
      </c>
      <c r="W22">
        <f t="shared" si="0"/>
        <v>71</v>
      </c>
      <c r="X22">
        <f t="shared" si="1"/>
        <v>162.75</v>
      </c>
    </row>
    <row r="23" spans="1:24" x14ac:dyDescent="0.35">
      <c r="A23" t="s">
        <v>1527</v>
      </c>
      <c r="B23" t="s">
        <v>18</v>
      </c>
      <c r="C23" t="s">
        <v>654</v>
      </c>
      <c r="D23" t="s">
        <v>2321</v>
      </c>
      <c r="E23" t="s">
        <v>68</v>
      </c>
      <c r="F23" t="s">
        <v>2322</v>
      </c>
      <c r="G23" t="s">
        <v>2323</v>
      </c>
      <c r="H23" s="1">
        <v>46352</v>
      </c>
      <c r="I23" s="6">
        <v>45639</v>
      </c>
      <c r="J23" s="6">
        <v>46357</v>
      </c>
      <c r="K23">
        <v>20</v>
      </c>
      <c r="L23">
        <v>91</v>
      </c>
      <c r="M23">
        <v>12</v>
      </c>
      <c r="N23" s="8">
        <v>4.5</v>
      </c>
      <c r="O23">
        <v>35</v>
      </c>
      <c r="P23">
        <v>50</v>
      </c>
      <c r="Q23" s="3">
        <v>0.85</v>
      </c>
      <c r="R23">
        <v>90</v>
      </c>
      <c r="S23">
        <v>157.5</v>
      </c>
      <c r="T23" t="s">
        <v>3877</v>
      </c>
      <c r="U23" t="s">
        <v>3836</v>
      </c>
      <c r="V23" s="14">
        <v>535</v>
      </c>
      <c r="W23">
        <f t="shared" si="0"/>
        <v>71</v>
      </c>
      <c r="X23">
        <f t="shared" si="1"/>
        <v>54</v>
      </c>
    </row>
    <row r="24" spans="1:24" x14ac:dyDescent="0.35">
      <c r="A24" t="s">
        <v>1292</v>
      </c>
      <c r="B24" t="s">
        <v>18</v>
      </c>
      <c r="C24" t="s">
        <v>143</v>
      </c>
      <c r="D24" t="s">
        <v>3771</v>
      </c>
      <c r="E24" t="s">
        <v>21</v>
      </c>
      <c r="F24" t="s">
        <v>3772</v>
      </c>
      <c r="G24" t="s">
        <v>3773</v>
      </c>
      <c r="H24" s="1">
        <v>46290</v>
      </c>
      <c r="I24" s="6">
        <v>45624</v>
      </c>
      <c r="J24" s="6">
        <v>46185</v>
      </c>
      <c r="K24">
        <v>26</v>
      </c>
      <c r="L24">
        <v>97</v>
      </c>
      <c r="M24">
        <v>12</v>
      </c>
      <c r="N24" s="8">
        <v>6</v>
      </c>
      <c r="O24">
        <v>94</v>
      </c>
      <c r="P24">
        <v>58</v>
      </c>
      <c r="Q24" s="3">
        <v>-0.26</v>
      </c>
      <c r="R24">
        <v>156</v>
      </c>
      <c r="S24">
        <v>564</v>
      </c>
      <c r="T24" t="s">
        <v>3877</v>
      </c>
      <c r="U24" t="s">
        <v>3837</v>
      </c>
      <c r="V24" s="14">
        <v>550</v>
      </c>
      <c r="W24">
        <f t="shared" si="0"/>
        <v>71</v>
      </c>
      <c r="X24">
        <f t="shared" si="1"/>
        <v>72</v>
      </c>
    </row>
    <row r="25" spans="1:24" x14ac:dyDescent="0.35">
      <c r="A25" t="s">
        <v>308</v>
      </c>
      <c r="B25" t="s">
        <v>27</v>
      </c>
      <c r="C25" t="s">
        <v>207</v>
      </c>
      <c r="D25" t="s">
        <v>1963</v>
      </c>
      <c r="E25" t="s">
        <v>68</v>
      </c>
      <c r="F25" t="s">
        <v>1964</v>
      </c>
      <c r="G25" t="s">
        <v>1965</v>
      </c>
      <c r="H25" s="1">
        <v>46415</v>
      </c>
      <c r="I25" s="6">
        <v>45695</v>
      </c>
      <c r="J25" s="6">
        <v>46368</v>
      </c>
      <c r="K25">
        <v>14</v>
      </c>
      <c r="L25">
        <v>84</v>
      </c>
      <c r="M25">
        <v>15</v>
      </c>
      <c r="N25" s="8">
        <v>6.5</v>
      </c>
      <c r="O25">
        <v>51</v>
      </c>
      <c r="P25">
        <v>73</v>
      </c>
      <c r="Q25" s="3">
        <v>0.57999999999999996</v>
      </c>
      <c r="R25">
        <v>91</v>
      </c>
      <c r="S25">
        <v>331.5</v>
      </c>
      <c r="T25" t="s">
        <v>3877</v>
      </c>
      <c r="U25" t="s">
        <v>3836</v>
      </c>
      <c r="V25" s="14">
        <v>479</v>
      </c>
      <c r="W25">
        <f t="shared" si="0"/>
        <v>70</v>
      </c>
      <c r="X25">
        <f t="shared" si="1"/>
        <v>97.5</v>
      </c>
    </row>
    <row r="26" spans="1:24" x14ac:dyDescent="0.35">
      <c r="A26" t="s">
        <v>253</v>
      </c>
      <c r="B26" t="s">
        <v>65</v>
      </c>
      <c r="C26" t="s">
        <v>1649</v>
      </c>
      <c r="D26" t="s">
        <v>3264</v>
      </c>
      <c r="E26" t="s">
        <v>30</v>
      </c>
      <c r="F26" t="s">
        <v>3265</v>
      </c>
      <c r="G26" t="s">
        <v>3266</v>
      </c>
      <c r="H26" s="1">
        <v>46198</v>
      </c>
      <c r="I26" s="6">
        <v>45482</v>
      </c>
      <c r="J26" s="6">
        <v>46401</v>
      </c>
      <c r="K26">
        <v>25</v>
      </c>
      <c r="L26">
        <v>95</v>
      </c>
      <c r="M26">
        <v>71</v>
      </c>
      <c r="N26" s="8">
        <v>2</v>
      </c>
      <c r="O26">
        <v>24</v>
      </c>
      <c r="P26">
        <v>76</v>
      </c>
      <c r="Q26" s="3">
        <v>-0.1</v>
      </c>
      <c r="R26">
        <v>50</v>
      </c>
      <c r="S26">
        <v>48</v>
      </c>
      <c r="T26" t="s">
        <v>3877</v>
      </c>
      <c r="U26" t="s">
        <v>3836</v>
      </c>
      <c r="V26" s="14">
        <v>692</v>
      </c>
      <c r="W26">
        <f t="shared" si="0"/>
        <v>70</v>
      </c>
      <c r="X26">
        <f t="shared" si="1"/>
        <v>142</v>
      </c>
    </row>
    <row r="27" spans="1:24" x14ac:dyDescent="0.35">
      <c r="A27" t="s">
        <v>129</v>
      </c>
      <c r="B27" t="s">
        <v>18</v>
      </c>
      <c r="C27" t="s">
        <v>66</v>
      </c>
      <c r="D27" t="s">
        <v>3472</v>
      </c>
      <c r="E27" t="s">
        <v>68</v>
      </c>
      <c r="F27" t="s">
        <v>3473</v>
      </c>
      <c r="G27" t="s">
        <v>3474</v>
      </c>
      <c r="H27" s="1">
        <v>46232</v>
      </c>
      <c r="I27" s="6">
        <v>45663</v>
      </c>
      <c r="J27" s="6">
        <v>46428</v>
      </c>
      <c r="K27">
        <v>26</v>
      </c>
      <c r="L27">
        <v>95</v>
      </c>
      <c r="M27">
        <v>36</v>
      </c>
      <c r="N27" s="8">
        <v>4.5</v>
      </c>
      <c r="O27">
        <v>92</v>
      </c>
      <c r="P27">
        <v>14</v>
      </c>
      <c r="Q27" s="3">
        <v>-0.31</v>
      </c>
      <c r="R27">
        <v>117</v>
      </c>
      <c r="S27">
        <v>414</v>
      </c>
      <c r="T27" t="s">
        <v>3877</v>
      </c>
      <c r="U27" t="s">
        <v>3836</v>
      </c>
      <c r="V27" s="14">
        <v>511</v>
      </c>
      <c r="W27">
        <f t="shared" si="0"/>
        <v>69</v>
      </c>
      <c r="X27">
        <f t="shared" si="1"/>
        <v>162</v>
      </c>
    </row>
    <row r="28" spans="1:24" x14ac:dyDescent="0.35">
      <c r="A28" t="s">
        <v>64</v>
      </c>
      <c r="B28" t="s">
        <v>65</v>
      </c>
      <c r="C28" t="s">
        <v>66</v>
      </c>
      <c r="D28" t="s">
        <v>67</v>
      </c>
      <c r="E28" t="s">
        <v>68</v>
      </c>
      <c r="F28" t="s">
        <v>69</v>
      </c>
      <c r="G28" t="s">
        <v>70</v>
      </c>
      <c r="H28" s="1">
        <v>46027</v>
      </c>
      <c r="I28" s="6">
        <v>45686</v>
      </c>
      <c r="J28" s="6">
        <v>46111</v>
      </c>
      <c r="K28">
        <v>17</v>
      </c>
      <c r="L28">
        <v>85</v>
      </c>
      <c r="M28">
        <v>74</v>
      </c>
      <c r="N28" s="8">
        <v>5</v>
      </c>
      <c r="O28">
        <v>76</v>
      </c>
      <c r="P28">
        <v>89</v>
      </c>
      <c r="Q28" s="2">
        <v>2.3400000000000001E-2</v>
      </c>
      <c r="R28">
        <v>85</v>
      </c>
      <c r="S28">
        <v>380</v>
      </c>
      <c r="T28" t="s">
        <v>3877</v>
      </c>
      <c r="U28" t="s">
        <v>3838</v>
      </c>
      <c r="V28" s="14">
        <v>488</v>
      </c>
      <c r="W28">
        <f t="shared" si="0"/>
        <v>68</v>
      </c>
      <c r="X28">
        <f t="shared" si="1"/>
        <v>370</v>
      </c>
    </row>
    <row r="29" spans="1:24" x14ac:dyDescent="0.35">
      <c r="A29" t="s">
        <v>665</v>
      </c>
      <c r="B29" t="s">
        <v>65</v>
      </c>
      <c r="C29" t="s">
        <v>19</v>
      </c>
      <c r="D29" t="s">
        <v>2483</v>
      </c>
      <c r="E29" t="s">
        <v>21</v>
      </c>
      <c r="F29" t="s">
        <v>2484</v>
      </c>
      <c r="G29" t="s">
        <v>2485</v>
      </c>
      <c r="H29" s="1">
        <v>46382</v>
      </c>
      <c r="I29" s="6">
        <v>45630</v>
      </c>
      <c r="J29" s="6">
        <v>46355</v>
      </c>
      <c r="K29">
        <v>18</v>
      </c>
      <c r="L29">
        <v>86</v>
      </c>
      <c r="M29">
        <v>20</v>
      </c>
      <c r="N29" s="8">
        <v>1.8</v>
      </c>
      <c r="O29">
        <v>64</v>
      </c>
      <c r="P29">
        <v>34</v>
      </c>
      <c r="Q29" s="3">
        <v>-0.49</v>
      </c>
      <c r="R29">
        <v>32.4</v>
      </c>
      <c r="S29">
        <v>115.2</v>
      </c>
      <c r="T29" t="s">
        <v>3877</v>
      </c>
      <c r="U29" t="s">
        <v>3836</v>
      </c>
      <c r="V29" s="14">
        <v>544</v>
      </c>
      <c r="W29">
        <f t="shared" si="0"/>
        <v>68</v>
      </c>
      <c r="X29">
        <f t="shared" si="1"/>
        <v>36</v>
      </c>
    </row>
    <row r="30" spans="1:24" x14ac:dyDescent="0.35">
      <c r="A30" t="s">
        <v>356</v>
      </c>
      <c r="B30" t="s">
        <v>18</v>
      </c>
      <c r="C30" t="s">
        <v>259</v>
      </c>
      <c r="D30" t="s">
        <v>2244</v>
      </c>
      <c r="E30" t="s">
        <v>68</v>
      </c>
      <c r="F30" t="s">
        <v>2245</v>
      </c>
      <c r="G30" t="s">
        <v>2246</v>
      </c>
      <c r="H30" s="1">
        <v>46343</v>
      </c>
      <c r="I30" s="6">
        <v>45366</v>
      </c>
      <c r="J30" s="6">
        <v>46317</v>
      </c>
      <c r="K30">
        <v>14</v>
      </c>
      <c r="L30">
        <v>81</v>
      </c>
      <c r="M30">
        <v>65</v>
      </c>
      <c r="N30" s="8">
        <v>3.5</v>
      </c>
      <c r="O30">
        <v>74</v>
      </c>
      <c r="P30">
        <v>84</v>
      </c>
      <c r="Q30" s="3">
        <v>0.47</v>
      </c>
      <c r="R30">
        <v>49</v>
      </c>
      <c r="S30">
        <v>259</v>
      </c>
      <c r="T30" t="s">
        <v>3877</v>
      </c>
      <c r="U30" t="s">
        <v>3836</v>
      </c>
      <c r="V30" s="14">
        <v>808</v>
      </c>
      <c r="W30">
        <f t="shared" si="0"/>
        <v>67</v>
      </c>
      <c r="X30">
        <f t="shared" si="1"/>
        <v>227.5</v>
      </c>
    </row>
    <row r="31" spans="1:24" x14ac:dyDescent="0.35">
      <c r="A31" t="s">
        <v>162</v>
      </c>
      <c r="B31" t="s">
        <v>163</v>
      </c>
      <c r="C31" t="s">
        <v>1113</v>
      </c>
      <c r="D31" t="s">
        <v>2635</v>
      </c>
      <c r="E31" t="s">
        <v>21</v>
      </c>
      <c r="F31" t="s">
        <v>2636</v>
      </c>
      <c r="G31" t="s">
        <v>2637</v>
      </c>
      <c r="H31" s="1">
        <v>46078</v>
      </c>
      <c r="I31" s="6">
        <v>45623</v>
      </c>
      <c r="J31" s="6">
        <v>46223</v>
      </c>
      <c r="K31">
        <v>22</v>
      </c>
      <c r="L31">
        <v>89</v>
      </c>
      <c r="M31">
        <v>25</v>
      </c>
      <c r="N31" s="8">
        <v>21</v>
      </c>
      <c r="O31">
        <v>30</v>
      </c>
      <c r="P31">
        <v>62</v>
      </c>
      <c r="Q31" s="3">
        <v>-1.05</v>
      </c>
      <c r="R31">
        <v>462</v>
      </c>
      <c r="S31">
        <v>630</v>
      </c>
      <c r="T31" t="s">
        <v>3877</v>
      </c>
      <c r="U31" t="s">
        <v>3836</v>
      </c>
      <c r="V31" s="14">
        <v>551</v>
      </c>
      <c r="W31">
        <f t="shared" si="0"/>
        <v>67</v>
      </c>
      <c r="X31">
        <f t="shared" si="1"/>
        <v>525</v>
      </c>
    </row>
    <row r="32" spans="1:24" x14ac:dyDescent="0.35">
      <c r="A32" t="s">
        <v>228</v>
      </c>
      <c r="B32" t="s">
        <v>18</v>
      </c>
      <c r="C32" t="s">
        <v>1599</v>
      </c>
      <c r="D32" t="s">
        <v>3625</v>
      </c>
      <c r="E32" t="s">
        <v>68</v>
      </c>
      <c r="F32" t="s">
        <v>3626</v>
      </c>
      <c r="G32" t="s">
        <v>3627</v>
      </c>
      <c r="H32" s="1">
        <v>46260</v>
      </c>
      <c r="I32" s="6">
        <v>45572</v>
      </c>
      <c r="J32" s="6">
        <v>46360</v>
      </c>
      <c r="K32">
        <v>31</v>
      </c>
      <c r="L32">
        <v>98</v>
      </c>
      <c r="M32">
        <v>72</v>
      </c>
      <c r="N32" s="8">
        <v>1.8</v>
      </c>
      <c r="O32">
        <v>91</v>
      </c>
      <c r="P32">
        <v>29</v>
      </c>
      <c r="Q32" s="3">
        <v>-0.15</v>
      </c>
      <c r="R32">
        <v>55.800000000000004</v>
      </c>
      <c r="S32">
        <v>163.80000000000001</v>
      </c>
      <c r="T32" t="s">
        <v>3877</v>
      </c>
      <c r="U32" t="s">
        <v>3836</v>
      </c>
      <c r="V32" s="14">
        <v>602</v>
      </c>
      <c r="W32">
        <f t="shared" si="0"/>
        <v>67</v>
      </c>
      <c r="X32">
        <f t="shared" si="1"/>
        <v>129.6</v>
      </c>
    </row>
    <row r="33" spans="1:24" x14ac:dyDescent="0.35">
      <c r="A33" t="s">
        <v>1603</v>
      </c>
      <c r="B33" t="s">
        <v>36</v>
      </c>
      <c r="C33" t="s">
        <v>1604</v>
      </c>
      <c r="D33" t="s">
        <v>1605</v>
      </c>
      <c r="E33" t="s">
        <v>21</v>
      </c>
      <c r="F33" t="s">
        <v>1606</v>
      </c>
      <c r="G33" t="s">
        <v>1607</v>
      </c>
      <c r="H33" s="1">
        <v>46447</v>
      </c>
      <c r="I33" s="6">
        <v>45680</v>
      </c>
      <c r="J33" s="6">
        <v>46112</v>
      </c>
      <c r="K33">
        <v>21</v>
      </c>
      <c r="L33">
        <v>87</v>
      </c>
      <c r="M33">
        <v>67</v>
      </c>
      <c r="N33" s="8">
        <v>3.1</v>
      </c>
      <c r="O33">
        <v>64</v>
      </c>
      <c r="P33">
        <v>69</v>
      </c>
      <c r="Q33" s="3">
        <v>-0.06</v>
      </c>
      <c r="R33">
        <v>65.100000000000009</v>
      </c>
      <c r="S33">
        <v>198.4</v>
      </c>
      <c r="T33" t="s">
        <v>3877</v>
      </c>
      <c r="U33" t="s">
        <v>3838</v>
      </c>
      <c r="V33" s="14">
        <v>494</v>
      </c>
      <c r="W33">
        <f t="shared" si="0"/>
        <v>66</v>
      </c>
      <c r="X33">
        <f t="shared" si="1"/>
        <v>207.70000000000002</v>
      </c>
    </row>
    <row r="34" spans="1:24" x14ac:dyDescent="0.35">
      <c r="A34" t="s">
        <v>222</v>
      </c>
      <c r="B34" t="s">
        <v>65</v>
      </c>
      <c r="C34" t="s">
        <v>44</v>
      </c>
      <c r="D34" t="s">
        <v>2139</v>
      </c>
      <c r="E34" t="s">
        <v>30</v>
      </c>
      <c r="F34" t="s">
        <v>2140</v>
      </c>
      <c r="G34" t="s">
        <v>2141</v>
      </c>
      <c r="H34" s="1">
        <v>46321</v>
      </c>
      <c r="I34" s="6">
        <v>45601</v>
      </c>
      <c r="J34" s="6">
        <v>46213</v>
      </c>
      <c r="K34">
        <v>11</v>
      </c>
      <c r="L34">
        <v>77</v>
      </c>
      <c r="M34">
        <v>7</v>
      </c>
      <c r="N34" s="8">
        <v>1.5</v>
      </c>
      <c r="O34">
        <v>77</v>
      </c>
      <c r="P34">
        <v>46</v>
      </c>
      <c r="Q34" s="3">
        <v>-0.16</v>
      </c>
      <c r="R34">
        <v>16.5</v>
      </c>
      <c r="S34">
        <v>115.5</v>
      </c>
      <c r="T34" t="s">
        <v>3877</v>
      </c>
      <c r="U34" t="s">
        <v>3836</v>
      </c>
      <c r="V34" s="14">
        <v>573</v>
      </c>
      <c r="W34">
        <f t="shared" si="0"/>
        <v>66</v>
      </c>
      <c r="X34">
        <f t="shared" si="1"/>
        <v>10.5</v>
      </c>
    </row>
    <row r="35" spans="1:24" x14ac:dyDescent="0.35">
      <c r="A35" t="s">
        <v>222</v>
      </c>
      <c r="B35" t="s">
        <v>65</v>
      </c>
      <c r="C35" t="s">
        <v>2225</v>
      </c>
      <c r="D35" t="s">
        <v>2226</v>
      </c>
      <c r="E35" t="s">
        <v>68</v>
      </c>
      <c r="F35" t="s">
        <v>2227</v>
      </c>
      <c r="G35" t="s">
        <v>2228</v>
      </c>
      <c r="H35" s="1">
        <v>46342</v>
      </c>
      <c r="I35" s="6">
        <v>45360</v>
      </c>
      <c r="J35" s="6">
        <v>46117</v>
      </c>
      <c r="K35">
        <v>27</v>
      </c>
      <c r="L35">
        <v>93</v>
      </c>
      <c r="M35">
        <v>88</v>
      </c>
      <c r="N35" s="8">
        <v>1.5</v>
      </c>
      <c r="O35">
        <v>66</v>
      </c>
      <c r="P35">
        <v>13</v>
      </c>
      <c r="Q35" s="3">
        <v>0.35</v>
      </c>
      <c r="R35">
        <v>40.5</v>
      </c>
      <c r="S35">
        <v>99</v>
      </c>
      <c r="T35" t="s">
        <v>3877</v>
      </c>
      <c r="U35" t="s">
        <v>3838</v>
      </c>
      <c r="V35" s="14">
        <v>814</v>
      </c>
      <c r="W35">
        <f t="shared" si="0"/>
        <v>66</v>
      </c>
      <c r="X35">
        <f t="shared" si="1"/>
        <v>132</v>
      </c>
    </row>
    <row r="36" spans="1:24" x14ac:dyDescent="0.35">
      <c r="A36" t="s">
        <v>162</v>
      </c>
      <c r="B36" t="s">
        <v>163</v>
      </c>
      <c r="C36" t="s">
        <v>164</v>
      </c>
      <c r="D36" t="s">
        <v>2238</v>
      </c>
      <c r="E36" t="s">
        <v>21</v>
      </c>
      <c r="F36" t="s">
        <v>2239</v>
      </c>
      <c r="G36" t="s">
        <v>2240</v>
      </c>
      <c r="H36" s="1">
        <v>46343</v>
      </c>
      <c r="I36" s="6">
        <v>45537</v>
      </c>
      <c r="J36" s="6">
        <v>46272</v>
      </c>
      <c r="K36">
        <v>21</v>
      </c>
      <c r="L36">
        <v>87</v>
      </c>
      <c r="M36">
        <v>12</v>
      </c>
      <c r="N36" s="8">
        <v>21</v>
      </c>
      <c r="O36">
        <v>20</v>
      </c>
      <c r="P36">
        <v>38</v>
      </c>
      <c r="Q36" s="3">
        <v>0.38</v>
      </c>
      <c r="R36">
        <v>441</v>
      </c>
      <c r="S36">
        <v>420</v>
      </c>
      <c r="T36" t="s">
        <v>3877</v>
      </c>
      <c r="U36" t="s">
        <v>3836</v>
      </c>
      <c r="V36" s="14">
        <v>637</v>
      </c>
      <c r="W36">
        <f t="shared" si="0"/>
        <v>66</v>
      </c>
      <c r="X36">
        <f t="shared" si="1"/>
        <v>252</v>
      </c>
    </row>
    <row r="37" spans="1:24" x14ac:dyDescent="0.35">
      <c r="A37" t="s">
        <v>685</v>
      </c>
      <c r="B37" t="s">
        <v>114</v>
      </c>
      <c r="C37" t="s">
        <v>2028</v>
      </c>
      <c r="D37" t="s">
        <v>3072</v>
      </c>
      <c r="E37" t="s">
        <v>30</v>
      </c>
      <c r="F37" t="s">
        <v>3073</v>
      </c>
      <c r="G37" t="s">
        <v>3074</v>
      </c>
      <c r="H37" s="1">
        <v>46165</v>
      </c>
      <c r="I37" s="6">
        <v>45680</v>
      </c>
      <c r="J37" s="6">
        <v>46192</v>
      </c>
      <c r="K37">
        <v>28</v>
      </c>
      <c r="L37">
        <v>94</v>
      </c>
      <c r="M37">
        <v>80</v>
      </c>
      <c r="N37" s="8">
        <v>2.8</v>
      </c>
      <c r="O37">
        <v>31</v>
      </c>
      <c r="P37">
        <v>1</v>
      </c>
      <c r="Q37" s="3">
        <v>0.76</v>
      </c>
      <c r="R37">
        <v>78.399999999999991</v>
      </c>
      <c r="S37">
        <v>86.8</v>
      </c>
      <c r="T37" t="s">
        <v>3877</v>
      </c>
      <c r="U37" t="s">
        <v>3837</v>
      </c>
      <c r="V37" s="14">
        <v>494</v>
      </c>
      <c r="W37">
        <f t="shared" si="0"/>
        <v>66</v>
      </c>
      <c r="X37">
        <f t="shared" si="1"/>
        <v>224</v>
      </c>
    </row>
    <row r="38" spans="1:24" x14ac:dyDescent="0.35">
      <c r="A38" t="s">
        <v>101</v>
      </c>
      <c r="B38" t="s">
        <v>27</v>
      </c>
      <c r="C38" t="s">
        <v>1271</v>
      </c>
      <c r="D38" t="s">
        <v>1272</v>
      </c>
      <c r="E38" t="s">
        <v>21</v>
      </c>
      <c r="F38" t="s">
        <v>1273</v>
      </c>
      <c r="G38" t="s">
        <v>1274</v>
      </c>
      <c r="H38" s="1">
        <v>46299</v>
      </c>
      <c r="I38" s="6">
        <v>45580</v>
      </c>
      <c r="J38" s="6">
        <v>46109</v>
      </c>
      <c r="K38">
        <v>24</v>
      </c>
      <c r="L38">
        <v>89</v>
      </c>
      <c r="M38">
        <v>27</v>
      </c>
      <c r="N38" s="8">
        <v>10</v>
      </c>
      <c r="O38">
        <v>99</v>
      </c>
      <c r="P38">
        <v>1</v>
      </c>
      <c r="Q38" s="3">
        <v>-1.8</v>
      </c>
      <c r="R38">
        <v>240</v>
      </c>
      <c r="S38">
        <v>990</v>
      </c>
      <c r="T38" t="s">
        <v>3877</v>
      </c>
      <c r="U38" t="s">
        <v>3838</v>
      </c>
      <c r="V38" s="14">
        <v>594</v>
      </c>
      <c r="W38">
        <f t="shared" si="0"/>
        <v>65</v>
      </c>
      <c r="X38">
        <f t="shared" si="1"/>
        <v>270</v>
      </c>
    </row>
    <row r="39" spans="1:24" x14ac:dyDescent="0.35">
      <c r="A39" t="s">
        <v>308</v>
      </c>
      <c r="B39" t="s">
        <v>27</v>
      </c>
      <c r="C39" t="s">
        <v>1109</v>
      </c>
      <c r="D39" t="s">
        <v>2907</v>
      </c>
      <c r="E39" t="s">
        <v>21</v>
      </c>
      <c r="F39" t="s">
        <v>2908</v>
      </c>
      <c r="G39" t="s">
        <v>2909</v>
      </c>
      <c r="H39" s="1">
        <v>46130</v>
      </c>
      <c r="I39" s="6">
        <v>45584</v>
      </c>
      <c r="J39" s="6">
        <v>46374</v>
      </c>
      <c r="K39">
        <v>27</v>
      </c>
      <c r="L39">
        <v>92</v>
      </c>
      <c r="M39">
        <v>56</v>
      </c>
      <c r="N39" s="8">
        <v>6.5</v>
      </c>
      <c r="O39">
        <v>29</v>
      </c>
      <c r="P39">
        <v>32</v>
      </c>
      <c r="Q39" s="3">
        <v>0.75</v>
      </c>
      <c r="R39">
        <v>175.5</v>
      </c>
      <c r="S39">
        <v>188.5</v>
      </c>
      <c r="T39" t="s">
        <v>3877</v>
      </c>
      <c r="U39" t="s">
        <v>3836</v>
      </c>
      <c r="V39" s="14">
        <v>590</v>
      </c>
      <c r="W39">
        <f t="shared" si="0"/>
        <v>65</v>
      </c>
      <c r="X39">
        <f t="shared" si="1"/>
        <v>364</v>
      </c>
    </row>
    <row r="40" spans="1:24" x14ac:dyDescent="0.35">
      <c r="A40" t="s">
        <v>283</v>
      </c>
      <c r="B40" t="s">
        <v>163</v>
      </c>
      <c r="C40" t="s">
        <v>284</v>
      </c>
      <c r="D40" t="s">
        <v>285</v>
      </c>
      <c r="E40" t="s">
        <v>21</v>
      </c>
      <c r="F40" t="s">
        <v>286</v>
      </c>
      <c r="G40" t="s">
        <v>287</v>
      </c>
      <c r="H40" s="1">
        <v>46061</v>
      </c>
      <c r="I40" s="6">
        <v>45532</v>
      </c>
      <c r="J40" s="6">
        <v>46266</v>
      </c>
      <c r="K40">
        <v>14</v>
      </c>
      <c r="L40">
        <v>77</v>
      </c>
      <c r="M40">
        <v>78</v>
      </c>
      <c r="N40" s="8">
        <v>10</v>
      </c>
      <c r="O40">
        <v>32</v>
      </c>
      <c r="P40">
        <v>24</v>
      </c>
      <c r="Q40" s="2">
        <v>1.52E-2</v>
      </c>
      <c r="R40">
        <v>140</v>
      </c>
      <c r="S40">
        <v>320</v>
      </c>
      <c r="T40" t="s">
        <v>3877</v>
      </c>
      <c r="U40" t="s">
        <v>3836</v>
      </c>
      <c r="V40" s="14">
        <v>642</v>
      </c>
      <c r="W40">
        <f t="shared" si="0"/>
        <v>63</v>
      </c>
      <c r="X40">
        <f t="shared" si="1"/>
        <v>780</v>
      </c>
    </row>
    <row r="41" spans="1:24" x14ac:dyDescent="0.35">
      <c r="A41" t="s">
        <v>418</v>
      </c>
      <c r="B41" t="s">
        <v>65</v>
      </c>
      <c r="C41" t="s">
        <v>440</v>
      </c>
      <c r="D41" t="s">
        <v>441</v>
      </c>
      <c r="E41" t="s">
        <v>21</v>
      </c>
      <c r="F41" t="s">
        <v>442</v>
      </c>
      <c r="G41" t="s">
        <v>443</v>
      </c>
      <c r="H41" s="1">
        <v>46091</v>
      </c>
      <c r="I41" s="6">
        <v>45632</v>
      </c>
      <c r="J41" s="6">
        <v>46402</v>
      </c>
      <c r="K41">
        <v>34</v>
      </c>
      <c r="L41">
        <v>96</v>
      </c>
      <c r="M41">
        <v>76</v>
      </c>
      <c r="N41" s="8">
        <v>6.15</v>
      </c>
      <c r="O41">
        <v>90</v>
      </c>
      <c r="P41">
        <v>34</v>
      </c>
      <c r="Q41" s="3">
        <v>0.62</v>
      </c>
      <c r="R41">
        <v>209.10000000000002</v>
      </c>
      <c r="S41">
        <v>553.5</v>
      </c>
      <c r="T41" t="s">
        <v>3877</v>
      </c>
      <c r="U41" t="s">
        <v>3836</v>
      </c>
      <c r="V41" s="14">
        <v>542</v>
      </c>
      <c r="W41">
        <f t="shared" si="0"/>
        <v>62</v>
      </c>
      <c r="X41">
        <f t="shared" si="1"/>
        <v>467.40000000000003</v>
      </c>
    </row>
    <row r="42" spans="1:24" x14ac:dyDescent="0.35">
      <c r="A42" t="s">
        <v>200</v>
      </c>
      <c r="B42" t="s">
        <v>163</v>
      </c>
      <c r="C42" t="s">
        <v>723</v>
      </c>
      <c r="D42" t="s">
        <v>724</v>
      </c>
      <c r="E42" t="s">
        <v>68</v>
      </c>
      <c r="F42" t="s">
        <v>725</v>
      </c>
      <c r="G42" t="s">
        <v>726</v>
      </c>
      <c r="H42" s="1">
        <v>46152</v>
      </c>
      <c r="I42" s="6">
        <v>45483</v>
      </c>
      <c r="J42" s="6">
        <v>46250</v>
      </c>
      <c r="K42">
        <v>29</v>
      </c>
      <c r="L42">
        <v>91</v>
      </c>
      <c r="M42">
        <v>48</v>
      </c>
      <c r="N42" s="8">
        <v>12</v>
      </c>
      <c r="O42">
        <v>28</v>
      </c>
      <c r="P42">
        <v>40</v>
      </c>
      <c r="Q42" s="3">
        <v>0</v>
      </c>
      <c r="R42">
        <v>348</v>
      </c>
      <c r="S42">
        <v>336</v>
      </c>
      <c r="T42" t="s">
        <v>3877</v>
      </c>
      <c r="U42" t="s">
        <v>3836</v>
      </c>
      <c r="V42" s="14">
        <v>691</v>
      </c>
      <c r="W42">
        <f t="shared" si="0"/>
        <v>62</v>
      </c>
      <c r="X42">
        <f t="shared" si="1"/>
        <v>576</v>
      </c>
    </row>
    <row r="43" spans="1:24" x14ac:dyDescent="0.35">
      <c r="A43" t="s">
        <v>750</v>
      </c>
      <c r="B43" t="s">
        <v>36</v>
      </c>
      <c r="C43" t="s">
        <v>751</v>
      </c>
      <c r="D43" t="s">
        <v>752</v>
      </c>
      <c r="E43" t="s">
        <v>68</v>
      </c>
      <c r="F43" t="s">
        <v>753</v>
      </c>
      <c r="G43" t="s">
        <v>754</v>
      </c>
      <c r="H43" s="1">
        <v>46153</v>
      </c>
      <c r="I43" s="6">
        <v>45702</v>
      </c>
      <c r="J43" s="6">
        <v>46415</v>
      </c>
      <c r="K43">
        <v>28</v>
      </c>
      <c r="L43">
        <v>90</v>
      </c>
      <c r="M43">
        <v>70</v>
      </c>
      <c r="N43" s="8">
        <v>2.4500000000000002</v>
      </c>
      <c r="O43">
        <v>76</v>
      </c>
      <c r="P43">
        <v>78</v>
      </c>
      <c r="Q43" s="3">
        <v>0.05</v>
      </c>
      <c r="R43">
        <v>68.600000000000009</v>
      </c>
      <c r="S43">
        <v>186.20000000000002</v>
      </c>
      <c r="T43" t="s">
        <v>3877</v>
      </c>
      <c r="U43" t="s">
        <v>3836</v>
      </c>
      <c r="V43" s="14">
        <v>472</v>
      </c>
      <c r="W43">
        <f t="shared" si="0"/>
        <v>62</v>
      </c>
      <c r="X43">
        <f t="shared" si="1"/>
        <v>171.5</v>
      </c>
    </row>
    <row r="44" spans="1:24" x14ac:dyDescent="0.35">
      <c r="A44" t="s">
        <v>1440</v>
      </c>
      <c r="B44" t="s">
        <v>18</v>
      </c>
      <c r="C44" t="s">
        <v>28</v>
      </c>
      <c r="D44" t="s">
        <v>1544</v>
      </c>
      <c r="E44" t="s">
        <v>30</v>
      </c>
      <c r="F44" t="s">
        <v>1545</v>
      </c>
      <c r="G44" t="s">
        <v>1546</v>
      </c>
      <c r="H44" s="1">
        <v>46366</v>
      </c>
      <c r="I44" s="6">
        <v>45496</v>
      </c>
      <c r="J44" s="6">
        <v>46415</v>
      </c>
      <c r="K44">
        <v>23</v>
      </c>
      <c r="L44">
        <v>85</v>
      </c>
      <c r="M44">
        <v>94</v>
      </c>
      <c r="N44" s="8">
        <v>3</v>
      </c>
      <c r="O44">
        <v>92</v>
      </c>
      <c r="P44">
        <v>72</v>
      </c>
      <c r="Q44" s="3">
        <v>0.73</v>
      </c>
      <c r="R44">
        <v>69</v>
      </c>
      <c r="S44">
        <v>276</v>
      </c>
      <c r="T44" t="s">
        <v>3877</v>
      </c>
      <c r="U44" t="s">
        <v>3836</v>
      </c>
      <c r="V44" s="14">
        <v>678</v>
      </c>
      <c r="W44">
        <f t="shared" si="0"/>
        <v>62</v>
      </c>
      <c r="X44">
        <f t="shared" si="1"/>
        <v>282</v>
      </c>
    </row>
    <row r="45" spans="1:24" x14ac:dyDescent="0.35">
      <c r="A45" t="s">
        <v>2946</v>
      </c>
      <c r="B45" t="s">
        <v>65</v>
      </c>
      <c r="C45" t="s">
        <v>681</v>
      </c>
      <c r="D45" t="s">
        <v>3295</v>
      </c>
      <c r="E45" t="s">
        <v>30</v>
      </c>
      <c r="F45" t="s">
        <v>3296</v>
      </c>
      <c r="G45" t="s">
        <v>3297</v>
      </c>
      <c r="H45" s="1">
        <v>46202</v>
      </c>
      <c r="I45" s="6">
        <v>45710</v>
      </c>
      <c r="J45" s="6">
        <v>46380</v>
      </c>
      <c r="K45">
        <v>19</v>
      </c>
      <c r="L45">
        <v>81</v>
      </c>
      <c r="M45">
        <v>33</v>
      </c>
      <c r="N45" s="8">
        <v>1.5</v>
      </c>
      <c r="O45">
        <v>39</v>
      </c>
      <c r="P45">
        <v>85</v>
      </c>
      <c r="Q45" s="3">
        <v>0.78</v>
      </c>
      <c r="R45">
        <v>28.5</v>
      </c>
      <c r="S45">
        <v>58.5</v>
      </c>
      <c r="T45" t="s">
        <v>3877</v>
      </c>
      <c r="U45" t="s">
        <v>3836</v>
      </c>
      <c r="V45" s="14">
        <v>464</v>
      </c>
      <c r="W45">
        <f t="shared" si="0"/>
        <v>62</v>
      </c>
      <c r="X45">
        <f t="shared" si="1"/>
        <v>49.5</v>
      </c>
    </row>
    <row r="46" spans="1:24" x14ac:dyDescent="0.35">
      <c r="A46" t="s">
        <v>101</v>
      </c>
      <c r="B46" t="s">
        <v>27</v>
      </c>
      <c r="C46" t="s">
        <v>155</v>
      </c>
      <c r="D46" t="s">
        <v>578</v>
      </c>
      <c r="E46" t="s">
        <v>68</v>
      </c>
      <c r="F46" t="s">
        <v>579</v>
      </c>
      <c r="G46" t="s">
        <v>580</v>
      </c>
      <c r="H46" s="1">
        <v>46122</v>
      </c>
      <c r="I46" s="6">
        <v>45682</v>
      </c>
      <c r="J46" s="6">
        <v>46204</v>
      </c>
      <c r="K46">
        <v>14</v>
      </c>
      <c r="L46">
        <v>75</v>
      </c>
      <c r="M46">
        <v>10</v>
      </c>
      <c r="N46" s="8">
        <v>10</v>
      </c>
      <c r="O46">
        <v>65</v>
      </c>
      <c r="P46">
        <v>62</v>
      </c>
      <c r="Q46" s="3">
        <v>0.53</v>
      </c>
      <c r="R46">
        <v>140</v>
      </c>
      <c r="S46">
        <v>650</v>
      </c>
      <c r="T46" t="s">
        <v>3877</v>
      </c>
      <c r="U46" t="s">
        <v>3836</v>
      </c>
      <c r="V46" s="14">
        <v>492</v>
      </c>
      <c r="W46">
        <f t="shared" si="0"/>
        <v>61</v>
      </c>
      <c r="X46">
        <f t="shared" si="1"/>
        <v>100</v>
      </c>
    </row>
    <row r="47" spans="1:24" x14ac:dyDescent="0.35">
      <c r="A47" t="s">
        <v>708</v>
      </c>
      <c r="B47" t="s">
        <v>163</v>
      </c>
      <c r="C47" t="s">
        <v>550</v>
      </c>
      <c r="D47" t="s">
        <v>1051</v>
      </c>
      <c r="E47" t="s">
        <v>68</v>
      </c>
      <c r="F47" t="s">
        <v>1052</v>
      </c>
      <c r="G47" t="s">
        <v>1053</v>
      </c>
      <c r="H47" s="1">
        <v>46241</v>
      </c>
      <c r="I47" s="6">
        <v>45576</v>
      </c>
      <c r="J47" s="6">
        <v>46429</v>
      </c>
      <c r="K47">
        <v>11</v>
      </c>
      <c r="L47">
        <v>72</v>
      </c>
      <c r="M47">
        <v>5</v>
      </c>
      <c r="N47" s="8">
        <v>15</v>
      </c>
      <c r="O47">
        <v>89</v>
      </c>
      <c r="P47">
        <v>4</v>
      </c>
      <c r="Q47" s="3">
        <v>0.16</v>
      </c>
      <c r="R47">
        <v>165</v>
      </c>
      <c r="S47">
        <v>1335</v>
      </c>
      <c r="T47" t="s">
        <v>3877</v>
      </c>
      <c r="U47" t="s">
        <v>3836</v>
      </c>
      <c r="V47" s="14">
        <v>598</v>
      </c>
      <c r="W47">
        <f t="shared" si="0"/>
        <v>61</v>
      </c>
      <c r="X47">
        <f t="shared" si="1"/>
        <v>75</v>
      </c>
    </row>
    <row r="48" spans="1:24" x14ac:dyDescent="0.35">
      <c r="A48" t="s">
        <v>1415</v>
      </c>
      <c r="B48" t="s">
        <v>114</v>
      </c>
      <c r="C48" t="s">
        <v>1416</v>
      </c>
      <c r="D48" t="s">
        <v>1417</v>
      </c>
      <c r="E48" t="s">
        <v>68</v>
      </c>
      <c r="F48" t="s">
        <v>1418</v>
      </c>
      <c r="G48" t="s">
        <v>1419</v>
      </c>
      <c r="H48" s="1">
        <v>46333</v>
      </c>
      <c r="I48" s="6">
        <v>45614</v>
      </c>
      <c r="J48" s="6">
        <v>46148</v>
      </c>
      <c r="K48">
        <v>30</v>
      </c>
      <c r="L48">
        <v>91</v>
      </c>
      <c r="M48">
        <v>34</v>
      </c>
      <c r="N48" s="8">
        <v>2.5</v>
      </c>
      <c r="O48">
        <v>97</v>
      </c>
      <c r="P48">
        <v>88</v>
      </c>
      <c r="Q48" s="3">
        <v>0.57999999999999996</v>
      </c>
      <c r="R48">
        <v>75</v>
      </c>
      <c r="S48">
        <v>242.5</v>
      </c>
      <c r="T48" t="s">
        <v>3877</v>
      </c>
      <c r="U48" t="s">
        <v>3838</v>
      </c>
      <c r="V48" s="14">
        <v>560</v>
      </c>
      <c r="W48">
        <f t="shared" si="0"/>
        <v>61</v>
      </c>
      <c r="X48">
        <f t="shared" si="1"/>
        <v>85</v>
      </c>
    </row>
    <row r="49" spans="1:24" x14ac:dyDescent="0.35">
      <c r="A49" t="s">
        <v>880</v>
      </c>
      <c r="B49" t="s">
        <v>27</v>
      </c>
      <c r="C49" t="s">
        <v>937</v>
      </c>
      <c r="D49" t="s">
        <v>1458</v>
      </c>
      <c r="E49" t="s">
        <v>30</v>
      </c>
      <c r="F49" t="s">
        <v>1459</v>
      </c>
      <c r="G49" t="s">
        <v>1460</v>
      </c>
      <c r="H49" s="1">
        <v>46336</v>
      </c>
      <c r="I49" s="6">
        <v>45588</v>
      </c>
      <c r="J49" s="6">
        <v>46386</v>
      </c>
      <c r="K49">
        <v>19</v>
      </c>
      <c r="L49">
        <v>80</v>
      </c>
      <c r="M49">
        <v>87</v>
      </c>
      <c r="N49" s="8">
        <v>2.2999999999999998</v>
      </c>
      <c r="O49">
        <v>33</v>
      </c>
      <c r="P49">
        <v>38</v>
      </c>
      <c r="Q49" s="3">
        <v>-0.1</v>
      </c>
      <c r="R49">
        <v>43.699999999999996</v>
      </c>
      <c r="S49">
        <v>75.899999999999991</v>
      </c>
      <c r="T49" t="s">
        <v>3877</v>
      </c>
      <c r="U49" t="s">
        <v>3836</v>
      </c>
      <c r="V49" s="14">
        <v>586</v>
      </c>
      <c r="W49">
        <f t="shared" si="0"/>
        <v>61</v>
      </c>
      <c r="X49">
        <f t="shared" si="1"/>
        <v>200.1</v>
      </c>
    </row>
    <row r="50" spans="1:24" x14ac:dyDescent="0.35">
      <c r="A50" t="s">
        <v>619</v>
      </c>
      <c r="B50" t="s">
        <v>18</v>
      </c>
      <c r="C50" t="s">
        <v>1794</v>
      </c>
      <c r="D50" t="s">
        <v>2006</v>
      </c>
      <c r="E50" t="s">
        <v>21</v>
      </c>
      <c r="F50" t="s">
        <v>2007</v>
      </c>
      <c r="G50" t="s">
        <v>2008</v>
      </c>
      <c r="H50" s="1">
        <v>46309</v>
      </c>
      <c r="I50" s="6">
        <v>45582</v>
      </c>
      <c r="J50" s="6">
        <v>46154</v>
      </c>
      <c r="K50">
        <v>34</v>
      </c>
      <c r="L50">
        <v>95</v>
      </c>
      <c r="M50">
        <v>18</v>
      </c>
      <c r="N50" s="8">
        <v>5</v>
      </c>
      <c r="O50">
        <v>41</v>
      </c>
      <c r="P50">
        <v>26</v>
      </c>
      <c r="Q50" s="3">
        <v>0.46</v>
      </c>
      <c r="R50">
        <v>170</v>
      </c>
      <c r="S50">
        <v>205</v>
      </c>
      <c r="T50" t="s">
        <v>3877</v>
      </c>
      <c r="U50" t="s">
        <v>3838</v>
      </c>
      <c r="V50" s="14">
        <v>592</v>
      </c>
      <c r="W50">
        <f t="shared" si="0"/>
        <v>61</v>
      </c>
      <c r="X50">
        <f t="shared" si="1"/>
        <v>90</v>
      </c>
    </row>
    <row r="51" spans="1:24" x14ac:dyDescent="0.35">
      <c r="A51" t="s">
        <v>253</v>
      </c>
      <c r="B51" t="s">
        <v>65</v>
      </c>
      <c r="C51" t="s">
        <v>963</v>
      </c>
      <c r="D51" t="s">
        <v>2229</v>
      </c>
      <c r="E51" t="s">
        <v>30</v>
      </c>
      <c r="F51" t="s">
        <v>2230</v>
      </c>
      <c r="G51" t="s">
        <v>2231</v>
      </c>
      <c r="H51" s="1">
        <v>46342</v>
      </c>
      <c r="I51" s="6">
        <v>45460</v>
      </c>
      <c r="J51" s="6">
        <v>46424</v>
      </c>
      <c r="K51">
        <v>15</v>
      </c>
      <c r="L51">
        <v>76</v>
      </c>
      <c r="M51">
        <v>81</v>
      </c>
      <c r="N51" s="8">
        <v>2</v>
      </c>
      <c r="O51">
        <v>90</v>
      </c>
      <c r="P51">
        <v>26</v>
      </c>
      <c r="Q51" s="3">
        <v>0.8</v>
      </c>
      <c r="R51">
        <v>30</v>
      </c>
      <c r="S51">
        <v>180</v>
      </c>
      <c r="T51" t="s">
        <v>3877</v>
      </c>
      <c r="U51" t="s">
        <v>3836</v>
      </c>
      <c r="V51" s="14">
        <v>714</v>
      </c>
      <c r="W51">
        <f t="shared" si="0"/>
        <v>61</v>
      </c>
      <c r="X51">
        <f t="shared" si="1"/>
        <v>162</v>
      </c>
    </row>
    <row r="52" spans="1:24" x14ac:dyDescent="0.35">
      <c r="A52" t="s">
        <v>247</v>
      </c>
      <c r="B52" t="s">
        <v>18</v>
      </c>
      <c r="C52" t="s">
        <v>302</v>
      </c>
      <c r="D52" t="s">
        <v>2465</v>
      </c>
      <c r="E52" t="s">
        <v>30</v>
      </c>
      <c r="F52" t="s">
        <v>2466</v>
      </c>
      <c r="G52" t="s">
        <v>2467</v>
      </c>
      <c r="H52" s="1">
        <v>46380</v>
      </c>
      <c r="I52" s="6">
        <v>45423</v>
      </c>
      <c r="J52" s="6">
        <v>46085</v>
      </c>
      <c r="K52">
        <v>14</v>
      </c>
      <c r="L52">
        <v>75</v>
      </c>
      <c r="M52">
        <v>19</v>
      </c>
      <c r="N52" s="8">
        <v>1.9</v>
      </c>
      <c r="O52">
        <v>100</v>
      </c>
      <c r="P52">
        <v>84</v>
      </c>
      <c r="Q52" s="3">
        <v>0.5</v>
      </c>
      <c r="R52">
        <v>26.599999999999998</v>
      </c>
      <c r="S52">
        <v>190</v>
      </c>
      <c r="T52" t="s">
        <v>3877</v>
      </c>
      <c r="U52" t="s">
        <v>3838</v>
      </c>
      <c r="V52" s="14">
        <v>751</v>
      </c>
      <c r="W52">
        <f t="shared" si="0"/>
        <v>61</v>
      </c>
      <c r="X52">
        <f t="shared" si="1"/>
        <v>36.1</v>
      </c>
    </row>
    <row r="53" spans="1:24" x14ac:dyDescent="0.35">
      <c r="A53" t="s">
        <v>769</v>
      </c>
      <c r="B53" t="s">
        <v>36</v>
      </c>
      <c r="C53" t="s">
        <v>1580</v>
      </c>
      <c r="D53" t="s">
        <v>1581</v>
      </c>
      <c r="E53" t="s">
        <v>21</v>
      </c>
      <c r="F53" t="s">
        <v>1582</v>
      </c>
      <c r="G53" t="s">
        <v>1583</v>
      </c>
      <c r="H53" s="1">
        <v>46389</v>
      </c>
      <c r="I53" s="6">
        <v>45700</v>
      </c>
      <c r="J53" s="6">
        <v>46432</v>
      </c>
      <c r="K53">
        <v>15</v>
      </c>
      <c r="L53">
        <v>75</v>
      </c>
      <c r="M53">
        <v>78</v>
      </c>
      <c r="N53" s="8">
        <v>1.9</v>
      </c>
      <c r="O53">
        <v>71</v>
      </c>
      <c r="P53">
        <v>21</v>
      </c>
      <c r="Q53" s="3">
        <v>0.18</v>
      </c>
      <c r="R53">
        <v>28.5</v>
      </c>
      <c r="S53">
        <v>134.9</v>
      </c>
      <c r="T53" t="s">
        <v>3877</v>
      </c>
      <c r="U53" t="s">
        <v>3836</v>
      </c>
      <c r="V53" s="14">
        <v>474</v>
      </c>
      <c r="W53">
        <f t="shared" si="0"/>
        <v>60</v>
      </c>
      <c r="X53">
        <f t="shared" si="1"/>
        <v>148.19999999999999</v>
      </c>
    </row>
    <row r="54" spans="1:24" x14ac:dyDescent="0.35">
      <c r="A54" t="s">
        <v>727</v>
      </c>
      <c r="B54" t="s">
        <v>36</v>
      </c>
      <c r="C54" t="s">
        <v>143</v>
      </c>
      <c r="D54" t="s">
        <v>1609</v>
      </c>
      <c r="E54" t="s">
        <v>30</v>
      </c>
      <c r="F54" t="s">
        <v>1610</v>
      </c>
      <c r="G54" t="s">
        <v>1611</v>
      </c>
      <c r="H54" s="1">
        <v>46447</v>
      </c>
      <c r="I54" s="6">
        <v>45363</v>
      </c>
      <c r="J54" s="6">
        <v>46220</v>
      </c>
      <c r="K54">
        <v>34</v>
      </c>
      <c r="L54">
        <v>94</v>
      </c>
      <c r="M54">
        <v>69</v>
      </c>
      <c r="N54" s="8">
        <v>0.8</v>
      </c>
      <c r="O54">
        <v>96</v>
      </c>
      <c r="P54">
        <v>30</v>
      </c>
      <c r="Q54" s="3">
        <v>-0.08</v>
      </c>
      <c r="R54">
        <v>27.200000000000003</v>
      </c>
      <c r="S54">
        <v>76.800000000000011</v>
      </c>
      <c r="T54" t="s">
        <v>3877</v>
      </c>
      <c r="U54" t="s">
        <v>3836</v>
      </c>
      <c r="V54" s="14">
        <v>811</v>
      </c>
      <c r="W54">
        <f t="shared" si="0"/>
        <v>60</v>
      </c>
      <c r="X54">
        <f t="shared" si="1"/>
        <v>55.2</v>
      </c>
    </row>
    <row r="55" spans="1:24" x14ac:dyDescent="0.35">
      <c r="A55" t="s">
        <v>418</v>
      </c>
      <c r="B55" t="s">
        <v>65</v>
      </c>
      <c r="C55" t="s">
        <v>1547</v>
      </c>
      <c r="D55" t="s">
        <v>1645</v>
      </c>
      <c r="E55" t="s">
        <v>68</v>
      </c>
      <c r="F55" t="s">
        <v>1646</v>
      </c>
      <c r="G55" t="s">
        <v>1647</v>
      </c>
      <c r="H55" s="1">
        <v>46478</v>
      </c>
      <c r="I55" s="6">
        <v>45478</v>
      </c>
      <c r="J55" s="6">
        <v>46094</v>
      </c>
      <c r="K55">
        <v>18</v>
      </c>
      <c r="L55">
        <v>78</v>
      </c>
      <c r="M55">
        <v>43</v>
      </c>
      <c r="N55" s="8">
        <v>6</v>
      </c>
      <c r="O55">
        <v>85</v>
      </c>
      <c r="P55">
        <v>97</v>
      </c>
      <c r="Q55" s="3">
        <v>-1.04</v>
      </c>
      <c r="R55">
        <v>108</v>
      </c>
      <c r="S55">
        <v>510</v>
      </c>
      <c r="T55" t="s">
        <v>3877</v>
      </c>
      <c r="U55" t="s">
        <v>3838</v>
      </c>
      <c r="V55" s="14">
        <v>696</v>
      </c>
      <c r="W55">
        <f t="shared" si="0"/>
        <v>60</v>
      </c>
      <c r="X55">
        <f t="shared" si="1"/>
        <v>258</v>
      </c>
    </row>
    <row r="56" spans="1:24" x14ac:dyDescent="0.35">
      <c r="A56" t="s">
        <v>222</v>
      </c>
      <c r="B56" t="s">
        <v>65</v>
      </c>
      <c r="C56" t="s">
        <v>1531</v>
      </c>
      <c r="D56" t="s">
        <v>3552</v>
      </c>
      <c r="E56" t="s">
        <v>21</v>
      </c>
      <c r="F56" t="s">
        <v>3553</v>
      </c>
      <c r="G56" t="s">
        <v>3554</v>
      </c>
      <c r="H56" s="1">
        <v>46252</v>
      </c>
      <c r="I56" s="6">
        <v>45618</v>
      </c>
      <c r="J56" s="6">
        <v>46158</v>
      </c>
      <c r="K56">
        <v>14</v>
      </c>
      <c r="L56">
        <v>74</v>
      </c>
      <c r="M56">
        <v>71</v>
      </c>
      <c r="N56" s="8">
        <v>1.5</v>
      </c>
      <c r="O56">
        <v>37</v>
      </c>
      <c r="P56">
        <v>22</v>
      </c>
      <c r="Q56" s="3">
        <v>-0.02</v>
      </c>
      <c r="R56">
        <v>21</v>
      </c>
      <c r="S56">
        <v>55.5</v>
      </c>
      <c r="T56" t="s">
        <v>3877</v>
      </c>
      <c r="U56" t="s">
        <v>3838</v>
      </c>
      <c r="V56" s="14">
        <v>556</v>
      </c>
      <c r="W56">
        <f t="shared" si="0"/>
        <v>60</v>
      </c>
      <c r="X56">
        <f t="shared" si="1"/>
        <v>106.5</v>
      </c>
    </row>
    <row r="57" spans="1:24" x14ac:dyDescent="0.35">
      <c r="A57" t="s">
        <v>289</v>
      </c>
      <c r="B57" t="s">
        <v>114</v>
      </c>
      <c r="C57" t="s">
        <v>723</v>
      </c>
      <c r="D57" t="s">
        <v>876</v>
      </c>
      <c r="E57" t="s">
        <v>30</v>
      </c>
      <c r="F57" t="s">
        <v>877</v>
      </c>
      <c r="G57" t="s">
        <v>878</v>
      </c>
      <c r="H57" s="1">
        <v>46183</v>
      </c>
      <c r="I57" s="6">
        <v>45671</v>
      </c>
      <c r="J57" s="6">
        <v>46362</v>
      </c>
      <c r="K57">
        <v>37</v>
      </c>
      <c r="L57">
        <v>96</v>
      </c>
      <c r="M57">
        <v>82</v>
      </c>
      <c r="N57" s="8">
        <v>5</v>
      </c>
      <c r="O57">
        <v>35</v>
      </c>
      <c r="P57">
        <v>23</v>
      </c>
      <c r="Q57" s="3">
        <v>0.64</v>
      </c>
      <c r="R57">
        <v>185</v>
      </c>
      <c r="S57">
        <v>175</v>
      </c>
      <c r="T57" t="s">
        <v>3877</v>
      </c>
      <c r="U57" t="s">
        <v>3836</v>
      </c>
      <c r="V57" s="14">
        <v>503</v>
      </c>
      <c r="W57">
        <f t="shared" si="0"/>
        <v>59</v>
      </c>
      <c r="X57">
        <f t="shared" si="1"/>
        <v>410</v>
      </c>
    </row>
    <row r="58" spans="1:24" x14ac:dyDescent="0.35">
      <c r="A58" t="s">
        <v>423</v>
      </c>
      <c r="B58" t="s">
        <v>65</v>
      </c>
      <c r="C58" t="s">
        <v>429</v>
      </c>
      <c r="D58" t="s">
        <v>2039</v>
      </c>
      <c r="E58" t="s">
        <v>21</v>
      </c>
      <c r="F58" t="s">
        <v>2040</v>
      </c>
      <c r="G58" t="s">
        <v>2041</v>
      </c>
      <c r="H58" s="1">
        <v>46313</v>
      </c>
      <c r="I58" s="6">
        <v>45532</v>
      </c>
      <c r="J58" s="6">
        <v>46403</v>
      </c>
      <c r="K58">
        <v>32</v>
      </c>
      <c r="L58">
        <v>91</v>
      </c>
      <c r="M58">
        <v>80</v>
      </c>
      <c r="N58" s="8">
        <v>10</v>
      </c>
      <c r="O58">
        <v>69</v>
      </c>
      <c r="P58">
        <v>80</v>
      </c>
      <c r="Q58" s="3">
        <v>-0.05</v>
      </c>
      <c r="R58">
        <v>320</v>
      </c>
      <c r="S58">
        <v>690</v>
      </c>
      <c r="T58" t="s">
        <v>3877</v>
      </c>
      <c r="U58" t="s">
        <v>3836</v>
      </c>
      <c r="V58" s="14">
        <v>642</v>
      </c>
      <c r="W58">
        <f t="shared" si="0"/>
        <v>59</v>
      </c>
      <c r="X58">
        <f t="shared" si="1"/>
        <v>800</v>
      </c>
    </row>
    <row r="59" spans="1:24" x14ac:dyDescent="0.35">
      <c r="A59" t="s">
        <v>640</v>
      </c>
      <c r="B59" t="s">
        <v>163</v>
      </c>
      <c r="C59" t="s">
        <v>115</v>
      </c>
      <c r="D59" t="s">
        <v>2459</v>
      </c>
      <c r="E59" t="s">
        <v>21</v>
      </c>
      <c r="F59" t="s">
        <v>2460</v>
      </c>
      <c r="G59" t="s">
        <v>2461</v>
      </c>
      <c r="H59" s="1">
        <v>46380</v>
      </c>
      <c r="I59" s="6">
        <v>45397</v>
      </c>
      <c r="J59" s="6">
        <v>46232</v>
      </c>
      <c r="K59">
        <v>19</v>
      </c>
      <c r="L59">
        <v>78</v>
      </c>
      <c r="M59">
        <v>90</v>
      </c>
      <c r="N59" s="8">
        <v>5</v>
      </c>
      <c r="O59">
        <v>72</v>
      </c>
      <c r="P59">
        <v>84</v>
      </c>
      <c r="Q59" s="3">
        <v>-0.43</v>
      </c>
      <c r="R59">
        <v>95</v>
      </c>
      <c r="S59">
        <v>360</v>
      </c>
      <c r="T59" t="s">
        <v>3877</v>
      </c>
      <c r="U59" t="s">
        <v>3836</v>
      </c>
      <c r="V59" s="14">
        <v>777</v>
      </c>
      <c r="W59">
        <f t="shared" si="0"/>
        <v>59</v>
      </c>
      <c r="X59">
        <f t="shared" si="1"/>
        <v>450</v>
      </c>
    </row>
    <row r="60" spans="1:24" x14ac:dyDescent="0.35">
      <c r="A60" t="s">
        <v>376</v>
      </c>
      <c r="B60" t="s">
        <v>18</v>
      </c>
      <c r="C60" t="s">
        <v>1271</v>
      </c>
      <c r="D60" t="s">
        <v>3410</v>
      </c>
      <c r="E60" t="s">
        <v>68</v>
      </c>
      <c r="F60" t="s">
        <v>3411</v>
      </c>
      <c r="G60" t="s">
        <v>3412</v>
      </c>
      <c r="H60" s="1">
        <v>46226</v>
      </c>
      <c r="I60" s="6">
        <v>45372</v>
      </c>
      <c r="J60" s="6">
        <v>46166</v>
      </c>
      <c r="K60">
        <v>16</v>
      </c>
      <c r="L60">
        <v>75</v>
      </c>
      <c r="M60">
        <v>42</v>
      </c>
      <c r="N60" s="8">
        <v>2</v>
      </c>
      <c r="O60">
        <v>22</v>
      </c>
      <c r="P60">
        <v>46</v>
      </c>
      <c r="Q60" s="3">
        <v>-1</v>
      </c>
      <c r="R60">
        <v>32</v>
      </c>
      <c r="S60">
        <v>44</v>
      </c>
      <c r="T60" t="s">
        <v>3877</v>
      </c>
      <c r="U60" t="s">
        <v>3838</v>
      </c>
      <c r="V60" s="14">
        <v>802</v>
      </c>
      <c r="W60">
        <f t="shared" si="0"/>
        <v>59</v>
      </c>
      <c r="X60">
        <f t="shared" si="1"/>
        <v>84</v>
      </c>
    </row>
    <row r="61" spans="1:24" x14ac:dyDescent="0.35">
      <c r="A61" t="s">
        <v>122</v>
      </c>
      <c r="B61" t="s">
        <v>18</v>
      </c>
      <c r="C61" t="s">
        <v>123</v>
      </c>
      <c r="D61" t="s">
        <v>124</v>
      </c>
      <c r="E61" t="s">
        <v>68</v>
      </c>
      <c r="F61" t="s">
        <v>125</v>
      </c>
      <c r="G61" t="s">
        <v>126</v>
      </c>
      <c r="H61" s="1">
        <v>46031</v>
      </c>
      <c r="I61" s="6">
        <v>45392</v>
      </c>
      <c r="J61" s="6">
        <v>46383</v>
      </c>
      <c r="K61">
        <v>34</v>
      </c>
      <c r="L61">
        <v>92</v>
      </c>
      <c r="M61">
        <v>26</v>
      </c>
      <c r="N61" s="8">
        <v>2.5</v>
      </c>
      <c r="O61">
        <v>28</v>
      </c>
      <c r="P61">
        <v>71</v>
      </c>
      <c r="Q61" s="2">
        <v>2.6100000000000002E-2</v>
      </c>
      <c r="R61">
        <v>85</v>
      </c>
      <c r="S61">
        <v>70</v>
      </c>
      <c r="T61" t="s">
        <v>3877</v>
      </c>
      <c r="U61" t="s">
        <v>3836</v>
      </c>
      <c r="V61" s="14">
        <v>782</v>
      </c>
      <c r="W61">
        <f t="shared" si="0"/>
        <v>58</v>
      </c>
      <c r="X61">
        <f t="shared" si="1"/>
        <v>65</v>
      </c>
    </row>
    <row r="62" spans="1:24" x14ac:dyDescent="0.35">
      <c r="A62" t="s">
        <v>423</v>
      </c>
      <c r="B62" t="s">
        <v>65</v>
      </c>
      <c r="C62" t="s">
        <v>573</v>
      </c>
      <c r="D62" t="s">
        <v>990</v>
      </c>
      <c r="E62" t="s">
        <v>68</v>
      </c>
      <c r="F62" t="s">
        <v>991</v>
      </c>
      <c r="G62" t="s">
        <v>992</v>
      </c>
      <c r="H62" s="1">
        <v>46214</v>
      </c>
      <c r="I62" s="6">
        <v>45704</v>
      </c>
      <c r="J62" s="6">
        <v>46259</v>
      </c>
      <c r="K62">
        <v>19</v>
      </c>
      <c r="L62">
        <v>77</v>
      </c>
      <c r="M62">
        <v>66</v>
      </c>
      <c r="N62" s="8">
        <v>10</v>
      </c>
      <c r="O62">
        <v>62</v>
      </c>
      <c r="P62">
        <v>100</v>
      </c>
      <c r="Q62" s="3">
        <v>-1.76</v>
      </c>
      <c r="R62">
        <v>190</v>
      </c>
      <c r="S62">
        <v>620</v>
      </c>
      <c r="T62" t="s">
        <v>3877</v>
      </c>
      <c r="U62" t="s">
        <v>3836</v>
      </c>
      <c r="V62" s="14">
        <v>470</v>
      </c>
      <c r="W62">
        <f t="shared" si="0"/>
        <v>58</v>
      </c>
      <c r="X62">
        <f t="shared" si="1"/>
        <v>660</v>
      </c>
    </row>
    <row r="63" spans="1:24" x14ac:dyDescent="0.35">
      <c r="A63" t="s">
        <v>1704</v>
      </c>
      <c r="B63" t="s">
        <v>18</v>
      </c>
      <c r="C63" t="s">
        <v>1213</v>
      </c>
      <c r="D63" t="s">
        <v>3075</v>
      </c>
      <c r="E63" t="s">
        <v>30</v>
      </c>
      <c r="F63" t="s">
        <v>3076</v>
      </c>
      <c r="G63" t="s">
        <v>3077</v>
      </c>
      <c r="H63" s="1">
        <v>46165</v>
      </c>
      <c r="I63" s="6">
        <v>45614</v>
      </c>
      <c r="J63" s="6">
        <v>46232</v>
      </c>
      <c r="K63">
        <v>28</v>
      </c>
      <c r="L63">
        <v>86</v>
      </c>
      <c r="M63">
        <v>44</v>
      </c>
      <c r="N63" s="8">
        <v>10</v>
      </c>
      <c r="O63">
        <v>48</v>
      </c>
      <c r="P63">
        <v>12</v>
      </c>
      <c r="Q63" s="3">
        <v>0.97</v>
      </c>
      <c r="R63">
        <v>280</v>
      </c>
      <c r="S63">
        <v>480</v>
      </c>
      <c r="T63" t="s">
        <v>3877</v>
      </c>
      <c r="U63" t="s">
        <v>3836</v>
      </c>
      <c r="V63" s="14">
        <v>560</v>
      </c>
      <c r="W63">
        <f t="shared" si="0"/>
        <v>58</v>
      </c>
      <c r="X63">
        <f t="shared" si="1"/>
        <v>440</v>
      </c>
    </row>
    <row r="64" spans="1:24" x14ac:dyDescent="0.35">
      <c r="A64" t="s">
        <v>1292</v>
      </c>
      <c r="B64" t="s">
        <v>18</v>
      </c>
      <c r="C64" t="s">
        <v>760</v>
      </c>
      <c r="D64" t="s">
        <v>3628</v>
      </c>
      <c r="E64" t="s">
        <v>21</v>
      </c>
      <c r="F64" t="s">
        <v>3629</v>
      </c>
      <c r="G64" t="s">
        <v>3630</v>
      </c>
      <c r="H64" s="1">
        <v>46260</v>
      </c>
      <c r="I64" s="6">
        <v>45633</v>
      </c>
      <c r="J64" s="6">
        <v>46163</v>
      </c>
      <c r="K64">
        <v>31</v>
      </c>
      <c r="L64">
        <v>89</v>
      </c>
      <c r="M64">
        <v>7</v>
      </c>
      <c r="N64" s="8">
        <v>5.9</v>
      </c>
      <c r="O64">
        <v>46</v>
      </c>
      <c r="P64">
        <v>54</v>
      </c>
      <c r="Q64" s="3">
        <v>0.68</v>
      </c>
      <c r="R64">
        <v>182.9</v>
      </c>
      <c r="S64">
        <v>271.40000000000003</v>
      </c>
      <c r="T64" t="s">
        <v>3877</v>
      </c>
      <c r="U64" t="s">
        <v>3838</v>
      </c>
      <c r="V64" s="14">
        <v>541</v>
      </c>
      <c r="W64">
        <f t="shared" si="0"/>
        <v>58</v>
      </c>
      <c r="X64">
        <f t="shared" si="1"/>
        <v>41.300000000000004</v>
      </c>
    </row>
    <row r="65" spans="1:24" x14ac:dyDescent="0.35">
      <c r="A65" t="s">
        <v>188</v>
      </c>
      <c r="B65" t="s">
        <v>65</v>
      </c>
      <c r="C65" t="s">
        <v>19</v>
      </c>
      <c r="D65" t="s">
        <v>1720</v>
      </c>
      <c r="E65" t="s">
        <v>30</v>
      </c>
      <c r="F65" t="s">
        <v>1721</v>
      </c>
      <c r="G65" t="s">
        <v>1722</v>
      </c>
      <c r="H65" s="1">
        <v>46570</v>
      </c>
      <c r="I65" s="6">
        <v>45594</v>
      </c>
      <c r="J65" s="6">
        <v>46159</v>
      </c>
      <c r="K65">
        <v>26</v>
      </c>
      <c r="L65">
        <v>83</v>
      </c>
      <c r="M65">
        <v>24</v>
      </c>
      <c r="N65" s="8">
        <v>4.75</v>
      </c>
      <c r="O65">
        <v>75</v>
      </c>
      <c r="P65">
        <v>12</v>
      </c>
      <c r="Q65" s="3">
        <v>-1.06</v>
      </c>
      <c r="R65">
        <v>123.5</v>
      </c>
      <c r="S65">
        <v>356.25</v>
      </c>
      <c r="T65" t="s">
        <v>3877</v>
      </c>
      <c r="U65" t="s">
        <v>3838</v>
      </c>
      <c r="V65" s="14">
        <v>580</v>
      </c>
      <c r="W65">
        <f t="shared" si="0"/>
        <v>57</v>
      </c>
      <c r="X65">
        <f t="shared" si="1"/>
        <v>114</v>
      </c>
    </row>
    <row r="66" spans="1:24" x14ac:dyDescent="0.35">
      <c r="A66" t="s">
        <v>376</v>
      </c>
      <c r="B66" t="s">
        <v>18</v>
      </c>
      <c r="C66" t="s">
        <v>2300</v>
      </c>
      <c r="D66" t="s">
        <v>2301</v>
      </c>
      <c r="E66" t="s">
        <v>68</v>
      </c>
      <c r="F66" t="s">
        <v>2302</v>
      </c>
      <c r="G66" t="s">
        <v>2303</v>
      </c>
      <c r="H66" s="1">
        <v>46351</v>
      </c>
      <c r="I66" s="6">
        <v>45691</v>
      </c>
      <c r="J66" s="6">
        <v>46340</v>
      </c>
      <c r="K66">
        <v>35</v>
      </c>
      <c r="L66">
        <v>92</v>
      </c>
      <c r="M66">
        <v>74</v>
      </c>
      <c r="N66" s="8">
        <v>2</v>
      </c>
      <c r="O66">
        <v>76</v>
      </c>
      <c r="P66">
        <v>32</v>
      </c>
      <c r="Q66" s="3">
        <v>-1.1200000000000001</v>
      </c>
      <c r="R66">
        <v>70</v>
      </c>
      <c r="S66">
        <v>152</v>
      </c>
      <c r="T66" t="s">
        <v>3877</v>
      </c>
      <c r="U66" t="s">
        <v>3836</v>
      </c>
      <c r="V66" s="14">
        <v>483</v>
      </c>
      <c r="W66">
        <f t="shared" ref="W66:W129" si="2">L66-K66</f>
        <v>57</v>
      </c>
      <c r="X66">
        <f t="shared" ref="X66:X129" si="3">M66*N66</f>
        <v>148</v>
      </c>
    </row>
    <row r="67" spans="1:24" x14ac:dyDescent="0.35">
      <c r="A67" t="s">
        <v>708</v>
      </c>
      <c r="B67" t="s">
        <v>163</v>
      </c>
      <c r="C67" t="s">
        <v>1806</v>
      </c>
      <c r="D67" t="s">
        <v>3188</v>
      </c>
      <c r="E67" t="s">
        <v>30</v>
      </c>
      <c r="F67" t="s">
        <v>3189</v>
      </c>
      <c r="G67" t="s">
        <v>3190</v>
      </c>
      <c r="H67" s="1">
        <v>46190</v>
      </c>
      <c r="I67" s="6">
        <v>45676</v>
      </c>
      <c r="J67" s="6">
        <v>46422</v>
      </c>
      <c r="K67">
        <v>37</v>
      </c>
      <c r="L67">
        <v>94</v>
      </c>
      <c r="M67">
        <v>76</v>
      </c>
      <c r="N67" s="8">
        <v>15</v>
      </c>
      <c r="O67">
        <v>94</v>
      </c>
      <c r="P67">
        <v>66</v>
      </c>
      <c r="Q67" s="3">
        <v>0</v>
      </c>
      <c r="R67">
        <v>555</v>
      </c>
      <c r="S67">
        <v>1410</v>
      </c>
      <c r="T67" t="s">
        <v>3877</v>
      </c>
      <c r="U67" t="s">
        <v>3836</v>
      </c>
      <c r="V67" s="14">
        <v>498</v>
      </c>
      <c r="W67">
        <f t="shared" si="2"/>
        <v>57</v>
      </c>
      <c r="X67">
        <f t="shared" si="3"/>
        <v>1140</v>
      </c>
    </row>
    <row r="68" spans="1:24" x14ac:dyDescent="0.35">
      <c r="A68" t="s">
        <v>793</v>
      </c>
      <c r="B68" t="s">
        <v>75</v>
      </c>
      <c r="C68" t="s">
        <v>1987</v>
      </c>
      <c r="D68" t="s">
        <v>3069</v>
      </c>
      <c r="E68" t="s">
        <v>68</v>
      </c>
      <c r="F68" t="s">
        <v>3070</v>
      </c>
      <c r="G68" t="s">
        <v>3071</v>
      </c>
      <c r="H68" s="1">
        <v>46165</v>
      </c>
      <c r="I68" s="6">
        <v>45486</v>
      </c>
      <c r="J68" s="6">
        <v>46143</v>
      </c>
      <c r="K68">
        <v>31</v>
      </c>
      <c r="L68">
        <v>87</v>
      </c>
      <c r="M68">
        <v>19</v>
      </c>
      <c r="N68" s="8">
        <v>8</v>
      </c>
      <c r="O68">
        <v>41</v>
      </c>
      <c r="P68">
        <v>10</v>
      </c>
      <c r="Q68" s="3">
        <v>0.78</v>
      </c>
      <c r="R68">
        <v>248</v>
      </c>
      <c r="S68">
        <v>328</v>
      </c>
      <c r="T68" t="s">
        <v>3877</v>
      </c>
      <c r="U68" t="s">
        <v>3838</v>
      </c>
      <c r="V68" s="14">
        <v>688</v>
      </c>
      <c r="W68">
        <f t="shared" si="2"/>
        <v>56</v>
      </c>
      <c r="X68">
        <f t="shared" si="3"/>
        <v>152</v>
      </c>
    </row>
    <row r="69" spans="1:24" x14ac:dyDescent="0.35">
      <c r="A69" t="s">
        <v>228</v>
      </c>
      <c r="B69" t="s">
        <v>18</v>
      </c>
      <c r="C69" t="s">
        <v>1009</v>
      </c>
      <c r="D69" t="s">
        <v>3109</v>
      </c>
      <c r="E69" t="s">
        <v>21</v>
      </c>
      <c r="F69" t="s">
        <v>3110</v>
      </c>
      <c r="G69" t="s">
        <v>3111</v>
      </c>
      <c r="H69" s="1">
        <v>46169</v>
      </c>
      <c r="I69" s="6">
        <v>45415</v>
      </c>
      <c r="J69" s="6">
        <v>46255</v>
      </c>
      <c r="K69">
        <v>38</v>
      </c>
      <c r="L69">
        <v>94</v>
      </c>
      <c r="M69">
        <v>87</v>
      </c>
      <c r="N69" s="8">
        <v>1.8</v>
      </c>
      <c r="O69">
        <v>89</v>
      </c>
      <c r="P69">
        <v>100</v>
      </c>
      <c r="Q69" s="3">
        <v>0.59</v>
      </c>
      <c r="R69">
        <v>68.400000000000006</v>
      </c>
      <c r="S69">
        <v>160.20000000000002</v>
      </c>
      <c r="T69" t="s">
        <v>3877</v>
      </c>
      <c r="U69" t="s">
        <v>3836</v>
      </c>
      <c r="V69" s="14">
        <v>759</v>
      </c>
      <c r="W69">
        <f t="shared" si="2"/>
        <v>56</v>
      </c>
      <c r="X69">
        <f t="shared" si="3"/>
        <v>156.6</v>
      </c>
    </row>
    <row r="70" spans="1:24" x14ac:dyDescent="0.35">
      <c r="A70" t="s">
        <v>122</v>
      </c>
      <c r="B70" t="s">
        <v>18</v>
      </c>
      <c r="C70" t="s">
        <v>481</v>
      </c>
      <c r="D70" t="s">
        <v>3637</v>
      </c>
      <c r="E70" t="s">
        <v>21</v>
      </c>
      <c r="F70" t="s">
        <v>3638</v>
      </c>
      <c r="G70" t="s">
        <v>3639</v>
      </c>
      <c r="H70" s="1">
        <v>46261</v>
      </c>
      <c r="I70" s="6">
        <v>45463</v>
      </c>
      <c r="J70" s="6">
        <v>46323</v>
      </c>
      <c r="K70">
        <v>33</v>
      </c>
      <c r="L70">
        <v>89</v>
      </c>
      <c r="M70">
        <v>15</v>
      </c>
      <c r="N70" s="8">
        <v>2.5</v>
      </c>
      <c r="O70">
        <v>90</v>
      </c>
      <c r="P70">
        <v>52</v>
      </c>
      <c r="Q70" s="3">
        <v>0.14000000000000001</v>
      </c>
      <c r="R70">
        <v>82.5</v>
      </c>
      <c r="S70">
        <v>225</v>
      </c>
      <c r="T70" t="s">
        <v>3877</v>
      </c>
      <c r="U70" t="s">
        <v>3836</v>
      </c>
      <c r="V70" s="14">
        <v>711</v>
      </c>
      <c r="W70">
        <f t="shared" si="2"/>
        <v>56</v>
      </c>
      <c r="X70">
        <f t="shared" si="3"/>
        <v>37.5</v>
      </c>
    </row>
    <row r="71" spans="1:24" x14ac:dyDescent="0.35">
      <c r="A71" t="s">
        <v>671</v>
      </c>
      <c r="B71" t="s">
        <v>65</v>
      </c>
      <c r="C71" t="s">
        <v>218</v>
      </c>
      <c r="D71" t="s">
        <v>3750</v>
      </c>
      <c r="E71" t="s">
        <v>68</v>
      </c>
      <c r="F71" t="s">
        <v>3751</v>
      </c>
      <c r="G71" t="s">
        <v>3752</v>
      </c>
      <c r="H71" s="1">
        <v>46288</v>
      </c>
      <c r="I71" s="6">
        <v>45483</v>
      </c>
      <c r="J71" s="6">
        <v>46111</v>
      </c>
      <c r="K71">
        <v>26</v>
      </c>
      <c r="L71">
        <v>82</v>
      </c>
      <c r="M71">
        <v>19</v>
      </c>
      <c r="N71" s="8">
        <v>1.5</v>
      </c>
      <c r="O71">
        <v>76</v>
      </c>
      <c r="P71">
        <v>88</v>
      </c>
      <c r="Q71" s="3">
        <v>0.94</v>
      </c>
      <c r="R71">
        <v>39</v>
      </c>
      <c r="S71">
        <v>114</v>
      </c>
      <c r="T71" t="s">
        <v>3877</v>
      </c>
      <c r="U71" t="s">
        <v>3838</v>
      </c>
      <c r="V71" s="14">
        <v>691</v>
      </c>
      <c r="W71">
        <f t="shared" si="2"/>
        <v>56</v>
      </c>
      <c r="X71">
        <f t="shared" si="3"/>
        <v>28.5</v>
      </c>
    </row>
    <row r="72" spans="1:24" x14ac:dyDescent="0.35">
      <c r="A72" t="s">
        <v>1350</v>
      </c>
      <c r="B72" t="s">
        <v>114</v>
      </c>
      <c r="C72" t="s">
        <v>899</v>
      </c>
      <c r="D72" t="s">
        <v>1351</v>
      </c>
      <c r="E72" t="s">
        <v>68</v>
      </c>
      <c r="F72" t="s">
        <v>1352</v>
      </c>
      <c r="G72" t="s">
        <v>1353</v>
      </c>
      <c r="H72" s="1">
        <v>46307</v>
      </c>
      <c r="I72" s="6">
        <v>45488</v>
      </c>
      <c r="J72" s="6">
        <v>46264</v>
      </c>
      <c r="K72">
        <v>38</v>
      </c>
      <c r="L72">
        <v>93</v>
      </c>
      <c r="M72">
        <v>61</v>
      </c>
      <c r="N72" s="8">
        <v>6</v>
      </c>
      <c r="O72">
        <v>67</v>
      </c>
      <c r="P72">
        <v>100</v>
      </c>
      <c r="Q72" s="3">
        <v>0.65</v>
      </c>
      <c r="R72">
        <v>228</v>
      </c>
      <c r="S72">
        <v>402</v>
      </c>
      <c r="T72" t="s">
        <v>3877</v>
      </c>
      <c r="U72" t="s">
        <v>3836</v>
      </c>
      <c r="V72" s="14">
        <v>686</v>
      </c>
      <c r="W72">
        <f t="shared" si="2"/>
        <v>55</v>
      </c>
      <c r="X72">
        <f t="shared" si="3"/>
        <v>366</v>
      </c>
    </row>
    <row r="73" spans="1:24" x14ac:dyDescent="0.35">
      <c r="A73" t="s">
        <v>527</v>
      </c>
      <c r="B73" t="s">
        <v>65</v>
      </c>
      <c r="C73" t="s">
        <v>1377</v>
      </c>
      <c r="D73" t="s">
        <v>1378</v>
      </c>
      <c r="E73" t="s">
        <v>68</v>
      </c>
      <c r="F73" t="s">
        <v>1379</v>
      </c>
      <c r="G73" t="s">
        <v>1380</v>
      </c>
      <c r="H73" s="1">
        <v>46330</v>
      </c>
      <c r="I73" s="6">
        <v>45441</v>
      </c>
      <c r="J73" s="6">
        <v>46232</v>
      </c>
      <c r="K73">
        <v>22</v>
      </c>
      <c r="L73">
        <v>77</v>
      </c>
      <c r="M73">
        <v>15</v>
      </c>
      <c r="N73" s="8">
        <v>3</v>
      </c>
      <c r="O73">
        <v>68</v>
      </c>
      <c r="P73">
        <v>46</v>
      </c>
      <c r="Q73" s="3">
        <v>-0.28999999999999998</v>
      </c>
      <c r="R73">
        <v>66</v>
      </c>
      <c r="S73">
        <v>204</v>
      </c>
      <c r="T73" t="s">
        <v>3877</v>
      </c>
      <c r="U73" t="s">
        <v>3836</v>
      </c>
      <c r="V73" s="14">
        <v>733</v>
      </c>
      <c r="W73">
        <f t="shared" si="2"/>
        <v>55</v>
      </c>
      <c r="X73">
        <f t="shared" si="3"/>
        <v>45</v>
      </c>
    </row>
    <row r="74" spans="1:24" x14ac:dyDescent="0.35">
      <c r="A74" t="s">
        <v>194</v>
      </c>
      <c r="B74" t="s">
        <v>114</v>
      </c>
      <c r="C74" t="s">
        <v>592</v>
      </c>
      <c r="D74" t="s">
        <v>2411</v>
      </c>
      <c r="E74" t="s">
        <v>21</v>
      </c>
      <c r="F74" t="s">
        <v>2412</v>
      </c>
      <c r="G74" t="s">
        <v>2413</v>
      </c>
      <c r="H74" s="1">
        <v>46375</v>
      </c>
      <c r="I74" s="6">
        <v>45559</v>
      </c>
      <c r="J74" s="6">
        <v>46346</v>
      </c>
      <c r="K74">
        <v>30</v>
      </c>
      <c r="L74">
        <v>85</v>
      </c>
      <c r="M74">
        <v>21</v>
      </c>
      <c r="N74" s="8">
        <v>4.5</v>
      </c>
      <c r="O74">
        <v>32</v>
      </c>
      <c r="P74">
        <v>83</v>
      </c>
      <c r="Q74" s="3">
        <v>0.21</v>
      </c>
      <c r="R74">
        <v>135</v>
      </c>
      <c r="S74">
        <v>144</v>
      </c>
      <c r="T74" t="s">
        <v>3877</v>
      </c>
      <c r="U74" t="s">
        <v>3836</v>
      </c>
      <c r="V74" s="14">
        <v>615</v>
      </c>
      <c r="W74">
        <f t="shared" si="2"/>
        <v>55</v>
      </c>
      <c r="X74">
        <f t="shared" si="3"/>
        <v>94.5</v>
      </c>
    </row>
    <row r="75" spans="1:24" x14ac:dyDescent="0.35">
      <c r="A75" t="s">
        <v>135</v>
      </c>
      <c r="B75" t="s">
        <v>36</v>
      </c>
      <c r="C75" t="s">
        <v>490</v>
      </c>
      <c r="D75" t="s">
        <v>523</v>
      </c>
      <c r="E75" t="s">
        <v>30</v>
      </c>
      <c r="F75" t="s">
        <v>524</v>
      </c>
      <c r="G75" t="s">
        <v>525</v>
      </c>
      <c r="H75" s="1">
        <v>46118</v>
      </c>
      <c r="I75" s="6">
        <v>45440</v>
      </c>
      <c r="J75" s="6">
        <v>46390</v>
      </c>
      <c r="K75">
        <v>39</v>
      </c>
      <c r="L75">
        <v>93</v>
      </c>
      <c r="M75">
        <v>57</v>
      </c>
      <c r="N75" s="8">
        <v>2.5</v>
      </c>
      <c r="O75">
        <v>26</v>
      </c>
      <c r="P75">
        <v>44</v>
      </c>
      <c r="Q75" s="3">
        <v>0.43</v>
      </c>
      <c r="R75">
        <v>97.5</v>
      </c>
      <c r="S75">
        <v>65</v>
      </c>
      <c r="T75" t="s">
        <v>3877</v>
      </c>
      <c r="U75" t="s">
        <v>3836</v>
      </c>
      <c r="V75" s="14">
        <v>734</v>
      </c>
      <c r="W75">
        <f t="shared" si="2"/>
        <v>54</v>
      </c>
      <c r="X75">
        <f t="shared" si="3"/>
        <v>142.5</v>
      </c>
    </row>
    <row r="76" spans="1:24" x14ac:dyDescent="0.35">
      <c r="A76" t="s">
        <v>26</v>
      </c>
      <c r="B76" t="s">
        <v>27</v>
      </c>
      <c r="C76" t="s">
        <v>660</v>
      </c>
      <c r="D76" t="s">
        <v>661</v>
      </c>
      <c r="E76" t="s">
        <v>68</v>
      </c>
      <c r="F76" t="s">
        <v>662</v>
      </c>
      <c r="G76" t="s">
        <v>663</v>
      </c>
      <c r="H76" s="1">
        <v>46147</v>
      </c>
      <c r="I76" s="6">
        <v>45516</v>
      </c>
      <c r="J76" s="6">
        <v>46193</v>
      </c>
      <c r="K76">
        <v>18</v>
      </c>
      <c r="L76">
        <v>72</v>
      </c>
      <c r="M76">
        <v>71</v>
      </c>
      <c r="N76" s="8">
        <v>2</v>
      </c>
      <c r="O76">
        <v>25</v>
      </c>
      <c r="P76">
        <v>81</v>
      </c>
      <c r="Q76" s="3">
        <v>0.76</v>
      </c>
      <c r="R76">
        <v>36</v>
      </c>
      <c r="S76">
        <v>50</v>
      </c>
      <c r="T76" t="s">
        <v>3877</v>
      </c>
      <c r="U76" t="s">
        <v>3837</v>
      </c>
      <c r="V76" s="14">
        <v>658</v>
      </c>
      <c r="W76">
        <f t="shared" si="2"/>
        <v>54</v>
      </c>
      <c r="X76">
        <f t="shared" si="3"/>
        <v>142</v>
      </c>
    </row>
    <row r="77" spans="1:24" x14ac:dyDescent="0.35">
      <c r="A77" t="s">
        <v>653</v>
      </c>
      <c r="B77" t="s">
        <v>163</v>
      </c>
      <c r="C77" t="s">
        <v>1271</v>
      </c>
      <c r="D77" t="s">
        <v>1468</v>
      </c>
      <c r="E77" t="s">
        <v>30</v>
      </c>
      <c r="F77" t="s">
        <v>1469</v>
      </c>
      <c r="G77" t="s">
        <v>1470</v>
      </c>
      <c r="H77" s="1">
        <v>46338</v>
      </c>
      <c r="I77" s="6">
        <v>45511</v>
      </c>
      <c r="J77" s="6">
        <v>46160</v>
      </c>
      <c r="K77">
        <v>36</v>
      </c>
      <c r="L77">
        <v>90</v>
      </c>
      <c r="M77">
        <v>57</v>
      </c>
      <c r="N77" s="8">
        <v>25</v>
      </c>
      <c r="O77">
        <v>35</v>
      </c>
      <c r="P77">
        <v>68</v>
      </c>
      <c r="Q77" s="3">
        <v>-0.64</v>
      </c>
      <c r="R77">
        <v>900</v>
      </c>
      <c r="S77">
        <v>875</v>
      </c>
      <c r="T77" t="s">
        <v>3877</v>
      </c>
      <c r="U77" t="s">
        <v>3838</v>
      </c>
      <c r="V77" s="14">
        <v>663</v>
      </c>
      <c r="W77">
        <f t="shared" si="2"/>
        <v>54</v>
      </c>
      <c r="X77">
        <f t="shared" si="3"/>
        <v>1425</v>
      </c>
    </row>
    <row r="78" spans="1:24" x14ac:dyDescent="0.35">
      <c r="A78" t="s">
        <v>122</v>
      </c>
      <c r="B78" t="s">
        <v>18</v>
      </c>
      <c r="C78" t="s">
        <v>178</v>
      </c>
      <c r="D78" t="s">
        <v>1483</v>
      </c>
      <c r="E78" t="s">
        <v>30</v>
      </c>
      <c r="F78" t="s">
        <v>1484</v>
      </c>
      <c r="G78" t="s">
        <v>1485</v>
      </c>
      <c r="H78" s="1">
        <v>46359</v>
      </c>
      <c r="I78" s="6">
        <v>45515</v>
      </c>
      <c r="J78" s="6">
        <v>46185</v>
      </c>
      <c r="K78">
        <v>19</v>
      </c>
      <c r="L78">
        <v>73</v>
      </c>
      <c r="M78">
        <v>60</v>
      </c>
      <c r="N78" s="8">
        <v>2.4500000000000002</v>
      </c>
      <c r="O78">
        <v>70</v>
      </c>
      <c r="P78">
        <v>48</v>
      </c>
      <c r="Q78" s="3">
        <v>-0.03</v>
      </c>
      <c r="R78">
        <v>46.550000000000004</v>
      </c>
      <c r="S78">
        <v>171.5</v>
      </c>
      <c r="T78" t="s">
        <v>3877</v>
      </c>
      <c r="U78" t="s">
        <v>3837</v>
      </c>
      <c r="V78" s="14">
        <v>659</v>
      </c>
      <c r="W78">
        <f t="shared" si="2"/>
        <v>54</v>
      </c>
      <c r="X78">
        <f t="shared" si="3"/>
        <v>147</v>
      </c>
    </row>
    <row r="79" spans="1:24" x14ac:dyDescent="0.35">
      <c r="A79" t="s">
        <v>247</v>
      </c>
      <c r="B79" t="s">
        <v>18</v>
      </c>
      <c r="C79" t="s">
        <v>1822</v>
      </c>
      <c r="D79" t="s">
        <v>2355</v>
      </c>
      <c r="E79" t="s">
        <v>30</v>
      </c>
      <c r="F79" t="s">
        <v>2356</v>
      </c>
      <c r="G79" t="s">
        <v>2357</v>
      </c>
      <c r="H79" s="1">
        <v>46355</v>
      </c>
      <c r="I79" s="6">
        <v>45695</v>
      </c>
      <c r="J79" s="6">
        <v>46391</v>
      </c>
      <c r="K79">
        <v>29</v>
      </c>
      <c r="L79">
        <v>83</v>
      </c>
      <c r="M79">
        <v>91</v>
      </c>
      <c r="N79" s="8">
        <v>2</v>
      </c>
      <c r="O79">
        <v>81</v>
      </c>
      <c r="P79">
        <v>53</v>
      </c>
      <c r="Q79" s="3">
        <v>0.42</v>
      </c>
      <c r="R79">
        <v>58</v>
      </c>
      <c r="S79">
        <v>162</v>
      </c>
      <c r="T79" t="s">
        <v>3877</v>
      </c>
      <c r="U79" t="s">
        <v>3836</v>
      </c>
      <c r="V79" s="14">
        <v>479</v>
      </c>
      <c r="W79">
        <f t="shared" si="2"/>
        <v>54</v>
      </c>
      <c r="X79">
        <f t="shared" si="3"/>
        <v>182</v>
      </c>
    </row>
    <row r="80" spans="1:24" x14ac:dyDescent="0.35">
      <c r="A80" t="s">
        <v>640</v>
      </c>
      <c r="B80" t="s">
        <v>163</v>
      </c>
      <c r="C80" t="s">
        <v>641</v>
      </c>
      <c r="D80" t="s">
        <v>642</v>
      </c>
      <c r="E80" t="s">
        <v>68</v>
      </c>
      <c r="F80" t="s">
        <v>643</v>
      </c>
      <c r="G80" t="s">
        <v>644</v>
      </c>
      <c r="H80" s="1">
        <v>46146</v>
      </c>
      <c r="I80" s="6">
        <v>45577</v>
      </c>
      <c r="J80" s="6">
        <v>46347</v>
      </c>
      <c r="K80">
        <v>35</v>
      </c>
      <c r="L80">
        <v>88</v>
      </c>
      <c r="M80">
        <v>87</v>
      </c>
      <c r="N80" s="8">
        <v>4.7</v>
      </c>
      <c r="O80">
        <v>39</v>
      </c>
      <c r="P80">
        <v>62</v>
      </c>
      <c r="Q80" s="3">
        <v>0.69</v>
      </c>
      <c r="R80">
        <v>164.5</v>
      </c>
      <c r="S80">
        <v>183.3</v>
      </c>
      <c r="T80" t="s">
        <v>3877</v>
      </c>
      <c r="U80" t="s">
        <v>3836</v>
      </c>
      <c r="V80" s="14">
        <v>597</v>
      </c>
      <c r="W80">
        <f t="shared" si="2"/>
        <v>53</v>
      </c>
      <c r="X80">
        <f t="shared" si="3"/>
        <v>408.90000000000003</v>
      </c>
    </row>
    <row r="81" spans="1:24" x14ac:dyDescent="0.35">
      <c r="A81" t="s">
        <v>832</v>
      </c>
      <c r="B81" t="s">
        <v>18</v>
      </c>
      <c r="C81" t="s">
        <v>573</v>
      </c>
      <c r="D81" t="s">
        <v>1523</v>
      </c>
      <c r="E81" t="s">
        <v>21</v>
      </c>
      <c r="F81" t="s">
        <v>1524</v>
      </c>
      <c r="G81" t="s">
        <v>1525</v>
      </c>
      <c r="H81" s="1">
        <v>46363</v>
      </c>
      <c r="I81" s="6">
        <v>45705</v>
      </c>
      <c r="J81" s="6">
        <v>46347</v>
      </c>
      <c r="K81">
        <v>38</v>
      </c>
      <c r="L81">
        <v>91</v>
      </c>
      <c r="M81">
        <v>94</v>
      </c>
      <c r="N81" s="8">
        <v>5.7</v>
      </c>
      <c r="O81">
        <v>53</v>
      </c>
      <c r="P81">
        <v>87</v>
      </c>
      <c r="Q81" s="3">
        <v>0</v>
      </c>
      <c r="R81">
        <v>216.6</v>
      </c>
      <c r="S81">
        <v>302.10000000000002</v>
      </c>
      <c r="T81" t="s">
        <v>3877</v>
      </c>
      <c r="U81" t="s">
        <v>3836</v>
      </c>
      <c r="V81" s="14">
        <v>469</v>
      </c>
      <c r="W81">
        <f t="shared" si="2"/>
        <v>53</v>
      </c>
      <c r="X81">
        <f t="shared" si="3"/>
        <v>535.80000000000007</v>
      </c>
    </row>
    <row r="82" spans="1:24" x14ac:dyDescent="0.35">
      <c r="A82" t="s">
        <v>106</v>
      </c>
      <c r="B82" t="s">
        <v>18</v>
      </c>
      <c r="C82" t="s">
        <v>1653</v>
      </c>
      <c r="D82" t="s">
        <v>1654</v>
      </c>
      <c r="E82" t="s">
        <v>21</v>
      </c>
      <c r="F82" t="s">
        <v>1655</v>
      </c>
      <c r="G82" t="s">
        <v>1656</v>
      </c>
      <c r="H82" s="1">
        <v>46479</v>
      </c>
      <c r="I82" s="6">
        <v>45499</v>
      </c>
      <c r="J82" s="6">
        <v>46135</v>
      </c>
      <c r="K82">
        <v>41</v>
      </c>
      <c r="L82">
        <v>94</v>
      </c>
      <c r="M82">
        <v>4</v>
      </c>
      <c r="N82" s="8">
        <v>3</v>
      </c>
      <c r="O82">
        <v>88</v>
      </c>
      <c r="P82">
        <v>92</v>
      </c>
      <c r="Q82" s="3">
        <v>-0.11</v>
      </c>
      <c r="R82">
        <v>123</v>
      </c>
      <c r="S82">
        <v>264</v>
      </c>
      <c r="T82" t="s">
        <v>3877</v>
      </c>
      <c r="U82" t="s">
        <v>3838</v>
      </c>
      <c r="V82" s="14">
        <v>675</v>
      </c>
      <c r="W82">
        <f t="shared" si="2"/>
        <v>53</v>
      </c>
      <c r="X82">
        <f t="shared" si="3"/>
        <v>12</v>
      </c>
    </row>
    <row r="83" spans="1:24" x14ac:dyDescent="0.35">
      <c r="A83" t="s">
        <v>289</v>
      </c>
      <c r="B83" t="s">
        <v>114</v>
      </c>
      <c r="C83" t="s">
        <v>481</v>
      </c>
      <c r="D83" t="s">
        <v>1708</v>
      </c>
      <c r="E83" t="s">
        <v>30</v>
      </c>
      <c r="F83" t="s">
        <v>1709</v>
      </c>
      <c r="G83" t="s">
        <v>1710</v>
      </c>
      <c r="H83" s="1">
        <v>46569</v>
      </c>
      <c r="I83" s="6">
        <v>45554</v>
      </c>
      <c r="J83" s="6">
        <v>46266</v>
      </c>
      <c r="K83">
        <v>23</v>
      </c>
      <c r="L83">
        <v>76</v>
      </c>
      <c r="M83">
        <v>70</v>
      </c>
      <c r="N83" s="8">
        <v>5</v>
      </c>
      <c r="O83">
        <v>97</v>
      </c>
      <c r="P83">
        <v>38</v>
      </c>
      <c r="Q83" s="3">
        <v>-0.82</v>
      </c>
      <c r="R83">
        <v>115</v>
      </c>
      <c r="S83">
        <v>485</v>
      </c>
      <c r="T83" t="s">
        <v>3877</v>
      </c>
      <c r="U83" t="s">
        <v>3836</v>
      </c>
      <c r="V83" s="14">
        <v>620</v>
      </c>
      <c r="W83">
        <f t="shared" si="2"/>
        <v>53</v>
      </c>
      <c r="X83">
        <f t="shared" si="3"/>
        <v>350</v>
      </c>
    </row>
    <row r="84" spans="1:24" x14ac:dyDescent="0.35">
      <c r="A84" t="s">
        <v>685</v>
      </c>
      <c r="B84" t="s">
        <v>114</v>
      </c>
      <c r="C84" t="s">
        <v>1794</v>
      </c>
      <c r="D84" t="s">
        <v>2368</v>
      </c>
      <c r="E84" t="s">
        <v>21</v>
      </c>
      <c r="F84" t="s">
        <v>2369</v>
      </c>
      <c r="G84" t="s">
        <v>2370</v>
      </c>
      <c r="H84" s="1">
        <v>46369</v>
      </c>
      <c r="I84" s="6">
        <v>45697</v>
      </c>
      <c r="J84" s="6">
        <v>46221</v>
      </c>
      <c r="K84">
        <v>26</v>
      </c>
      <c r="L84">
        <v>79</v>
      </c>
      <c r="M84">
        <v>31</v>
      </c>
      <c r="N84" s="8">
        <v>3</v>
      </c>
      <c r="O84">
        <v>47</v>
      </c>
      <c r="P84">
        <v>41</v>
      </c>
      <c r="Q84" s="3">
        <v>-0.14000000000000001</v>
      </c>
      <c r="R84">
        <v>78</v>
      </c>
      <c r="S84">
        <v>141</v>
      </c>
      <c r="T84" t="s">
        <v>3877</v>
      </c>
      <c r="U84" t="s">
        <v>3836</v>
      </c>
      <c r="V84" s="14">
        <v>477</v>
      </c>
      <c r="W84">
        <f t="shared" si="2"/>
        <v>53</v>
      </c>
      <c r="X84">
        <f t="shared" si="3"/>
        <v>93</v>
      </c>
    </row>
    <row r="85" spans="1:24" x14ac:dyDescent="0.35">
      <c r="A85" t="s">
        <v>1191</v>
      </c>
      <c r="B85" t="s">
        <v>75</v>
      </c>
      <c r="C85" t="s">
        <v>544</v>
      </c>
      <c r="D85" t="s">
        <v>2689</v>
      </c>
      <c r="E85" t="s">
        <v>21</v>
      </c>
      <c r="F85" t="s">
        <v>2690</v>
      </c>
      <c r="G85" t="s">
        <v>2691</v>
      </c>
      <c r="H85" s="1">
        <v>46095</v>
      </c>
      <c r="I85" s="6">
        <v>45584</v>
      </c>
      <c r="J85" s="6">
        <v>46314</v>
      </c>
      <c r="K85">
        <v>14</v>
      </c>
      <c r="L85">
        <v>67</v>
      </c>
      <c r="M85">
        <v>65</v>
      </c>
      <c r="N85" s="8">
        <v>20</v>
      </c>
      <c r="O85">
        <v>71</v>
      </c>
      <c r="P85">
        <v>94</v>
      </c>
      <c r="Q85" s="3">
        <v>0.5</v>
      </c>
      <c r="R85">
        <v>280</v>
      </c>
      <c r="S85">
        <v>1420</v>
      </c>
      <c r="T85" t="s">
        <v>3877</v>
      </c>
      <c r="U85" t="s">
        <v>3836</v>
      </c>
      <c r="V85" s="14">
        <v>590</v>
      </c>
      <c r="W85">
        <f t="shared" si="2"/>
        <v>53</v>
      </c>
      <c r="X85">
        <f t="shared" si="3"/>
        <v>1300</v>
      </c>
    </row>
    <row r="86" spans="1:24" x14ac:dyDescent="0.35">
      <c r="A86" t="s">
        <v>708</v>
      </c>
      <c r="B86" t="s">
        <v>163</v>
      </c>
      <c r="C86" t="s">
        <v>1563</v>
      </c>
      <c r="D86" t="s">
        <v>2724</v>
      </c>
      <c r="E86" t="s">
        <v>21</v>
      </c>
      <c r="F86" t="s">
        <v>2725</v>
      </c>
      <c r="G86" t="s">
        <v>2726</v>
      </c>
      <c r="H86" s="1">
        <v>46099</v>
      </c>
      <c r="I86" s="6">
        <v>45453</v>
      </c>
      <c r="J86" s="6">
        <v>46085</v>
      </c>
      <c r="K86">
        <v>24</v>
      </c>
      <c r="L86">
        <v>77</v>
      </c>
      <c r="M86">
        <v>32</v>
      </c>
      <c r="N86" s="8">
        <v>15.5</v>
      </c>
      <c r="O86">
        <v>80</v>
      </c>
      <c r="P86">
        <v>42</v>
      </c>
      <c r="Q86" s="3">
        <v>0.54</v>
      </c>
      <c r="R86">
        <v>372</v>
      </c>
      <c r="S86">
        <v>1240</v>
      </c>
      <c r="T86" t="s">
        <v>3877</v>
      </c>
      <c r="U86" t="s">
        <v>3838</v>
      </c>
      <c r="V86" s="14">
        <v>721</v>
      </c>
      <c r="W86">
        <f t="shared" si="2"/>
        <v>53</v>
      </c>
      <c r="X86">
        <f t="shared" si="3"/>
        <v>496</v>
      </c>
    </row>
    <row r="87" spans="1:24" x14ac:dyDescent="0.35">
      <c r="A87" t="s">
        <v>74</v>
      </c>
      <c r="B87" t="s">
        <v>75</v>
      </c>
      <c r="C87" t="s">
        <v>1653</v>
      </c>
      <c r="D87" t="s">
        <v>3106</v>
      </c>
      <c r="E87" t="s">
        <v>21</v>
      </c>
      <c r="F87" t="s">
        <v>3107</v>
      </c>
      <c r="G87" t="s">
        <v>3108</v>
      </c>
      <c r="H87" s="1">
        <v>46169</v>
      </c>
      <c r="I87" s="6">
        <v>45392</v>
      </c>
      <c r="J87" s="6">
        <v>46371</v>
      </c>
      <c r="K87">
        <v>44</v>
      </c>
      <c r="L87">
        <v>97</v>
      </c>
      <c r="M87">
        <v>76</v>
      </c>
      <c r="N87" s="8">
        <v>10</v>
      </c>
      <c r="O87">
        <v>80</v>
      </c>
      <c r="P87">
        <v>33</v>
      </c>
      <c r="Q87" s="3">
        <v>-0.22</v>
      </c>
      <c r="R87">
        <v>440</v>
      </c>
      <c r="S87">
        <v>800</v>
      </c>
      <c r="T87" t="s">
        <v>3877</v>
      </c>
      <c r="U87" t="s">
        <v>3836</v>
      </c>
      <c r="V87" s="14">
        <v>782</v>
      </c>
      <c r="W87">
        <f t="shared" si="2"/>
        <v>53</v>
      </c>
      <c r="X87">
        <f t="shared" si="3"/>
        <v>760</v>
      </c>
    </row>
    <row r="88" spans="1:24" x14ac:dyDescent="0.35">
      <c r="A88" t="s">
        <v>135</v>
      </c>
      <c r="B88" t="s">
        <v>36</v>
      </c>
      <c r="C88" t="s">
        <v>1950</v>
      </c>
      <c r="D88" t="s">
        <v>2398</v>
      </c>
      <c r="E88" t="s">
        <v>30</v>
      </c>
      <c r="F88" t="s">
        <v>2399</v>
      </c>
      <c r="G88" t="s">
        <v>2400</v>
      </c>
      <c r="H88" s="1">
        <v>46373</v>
      </c>
      <c r="I88" s="6">
        <v>45647</v>
      </c>
      <c r="J88" s="6">
        <v>46158</v>
      </c>
      <c r="K88">
        <v>42</v>
      </c>
      <c r="L88">
        <v>94</v>
      </c>
      <c r="M88">
        <v>79</v>
      </c>
      <c r="N88" s="8">
        <v>2.5</v>
      </c>
      <c r="O88">
        <v>61</v>
      </c>
      <c r="P88">
        <v>92</v>
      </c>
      <c r="Q88" s="3">
        <v>-0.27</v>
      </c>
      <c r="R88">
        <v>105</v>
      </c>
      <c r="S88">
        <v>152.5</v>
      </c>
      <c r="T88" t="s">
        <v>3877</v>
      </c>
      <c r="U88" t="s">
        <v>3838</v>
      </c>
      <c r="V88" s="14">
        <v>527</v>
      </c>
      <c r="W88">
        <f t="shared" si="2"/>
        <v>52</v>
      </c>
      <c r="X88">
        <f t="shared" si="3"/>
        <v>197.5</v>
      </c>
    </row>
    <row r="89" spans="1:24" x14ac:dyDescent="0.35">
      <c r="A89" t="s">
        <v>435</v>
      </c>
      <c r="B89" t="s">
        <v>18</v>
      </c>
      <c r="C89" t="s">
        <v>862</v>
      </c>
      <c r="D89" t="s">
        <v>3505</v>
      </c>
      <c r="E89" t="s">
        <v>30</v>
      </c>
      <c r="F89" t="s">
        <v>3506</v>
      </c>
      <c r="G89" t="s">
        <v>3507</v>
      </c>
      <c r="H89" s="1">
        <v>46247</v>
      </c>
      <c r="I89" s="6">
        <v>45639</v>
      </c>
      <c r="J89" s="6">
        <v>46080</v>
      </c>
      <c r="K89">
        <v>14</v>
      </c>
      <c r="L89">
        <v>66</v>
      </c>
      <c r="M89">
        <v>1</v>
      </c>
      <c r="N89" s="8">
        <v>6</v>
      </c>
      <c r="O89">
        <v>86</v>
      </c>
      <c r="P89">
        <v>15</v>
      </c>
      <c r="Q89" s="3">
        <v>0.05</v>
      </c>
      <c r="R89">
        <v>84</v>
      </c>
      <c r="S89">
        <v>516</v>
      </c>
      <c r="T89" t="s">
        <v>3877</v>
      </c>
      <c r="U89" t="s">
        <v>3838</v>
      </c>
      <c r="V89" s="14">
        <v>535</v>
      </c>
      <c r="W89">
        <f t="shared" si="2"/>
        <v>52</v>
      </c>
      <c r="X89">
        <f t="shared" si="3"/>
        <v>6</v>
      </c>
    </row>
    <row r="90" spans="1:24" x14ac:dyDescent="0.35">
      <c r="A90" t="s">
        <v>1307</v>
      </c>
      <c r="B90" t="s">
        <v>163</v>
      </c>
      <c r="C90" t="s">
        <v>2028</v>
      </c>
      <c r="D90" t="s">
        <v>2029</v>
      </c>
      <c r="E90" t="s">
        <v>30</v>
      </c>
      <c r="F90" t="s">
        <v>2030</v>
      </c>
      <c r="G90" t="s">
        <v>2031</v>
      </c>
      <c r="H90" s="1">
        <v>46313</v>
      </c>
      <c r="I90" s="6">
        <v>45476</v>
      </c>
      <c r="J90" s="6">
        <v>46096</v>
      </c>
      <c r="K90">
        <v>15</v>
      </c>
      <c r="L90">
        <v>66</v>
      </c>
      <c r="M90">
        <v>85</v>
      </c>
      <c r="N90" s="8">
        <v>8</v>
      </c>
      <c r="O90">
        <v>60</v>
      </c>
      <c r="P90">
        <v>40</v>
      </c>
      <c r="Q90" s="3">
        <v>-0.01</v>
      </c>
      <c r="R90">
        <v>120</v>
      </c>
      <c r="S90">
        <v>480</v>
      </c>
      <c r="T90" t="s">
        <v>3877</v>
      </c>
      <c r="U90" t="s">
        <v>3838</v>
      </c>
      <c r="V90" s="14">
        <v>698</v>
      </c>
      <c r="W90">
        <f t="shared" si="2"/>
        <v>51</v>
      </c>
      <c r="X90">
        <f t="shared" si="3"/>
        <v>680</v>
      </c>
    </row>
    <row r="91" spans="1:24" x14ac:dyDescent="0.35">
      <c r="A91" t="s">
        <v>842</v>
      </c>
      <c r="B91" t="s">
        <v>75</v>
      </c>
      <c r="C91" t="s">
        <v>1222</v>
      </c>
      <c r="D91" t="s">
        <v>3394</v>
      </c>
      <c r="E91" t="s">
        <v>30</v>
      </c>
      <c r="F91" t="s">
        <v>3395</v>
      </c>
      <c r="G91" t="s">
        <v>3396</v>
      </c>
      <c r="H91" s="1">
        <v>46225</v>
      </c>
      <c r="I91" s="6">
        <v>45687</v>
      </c>
      <c r="J91" s="6">
        <v>46188</v>
      </c>
      <c r="K91">
        <v>30</v>
      </c>
      <c r="L91">
        <v>81</v>
      </c>
      <c r="M91">
        <v>99</v>
      </c>
      <c r="N91" s="8">
        <v>9</v>
      </c>
      <c r="O91">
        <v>99</v>
      </c>
      <c r="P91">
        <v>3</v>
      </c>
      <c r="Q91" s="3">
        <v>-1.5</v>
      </c>
      <c r="R91">
        <v>270</v>
      </c>
      <c r="S91">
        <v>891</v>
      </c>
      <c r="T91" t="s">
        <v>3877</v>
      </c>
      <c r="U91" t="s">
        <v>3837</v>
      </c>
      <c r="V91" s="14">
        <v>487</v>
      </c>
      <c r="W91">
        <f t="shared" si="2"/>
        <v>51</v>
      </c>
      <c r="X91">
        <f t="shared" si="3"/>
        <v>891</v>
      </c>
    </row>
    <row r="92" spans="1:24" x14ac:dyDescent="0.35">
      <c r="A92" t="s">
        <v>113</v>
      </c>
      <c r="B92" t="s">
        <v>114</v>
      </c>
      <c r="C92" t="s">
        <v>838</v>
      </c>
      <c r="D92" t="s">
        <v>3478</v>
      </c>
      <c r="E92" t="s">
        <v>21</v>
      </c>
      <c r="F92" t="s">
        <v>3479</v>
      </c>
      <c r="G92" t="s">
        <v>3480</v>
      </c>
      <c r="H92" s="1">
        <v>46232</v>
      </c>
      <c r="I92" s="6">
        <v>45638</v>
      </c>
      <c r="J92" s="6">
        <v>46356</v>
      </c>
      <c r="K92">
        <v>40</v>
      </c>
      <c r="L92">
        <v>91</v>
      </c>
      <c r="M92">
        <v>24</v>
      </c>
      <c r="N92" s="8">
        <v>4</v>
      </c>
      <c r="O92">
        <v>28</v>
      </c>
      <c r="P92">
        <v>47</v>
      </c>
      <c r="Q92" s="3">
        <v>0.8</v>
      </c>
      <c r="R92">
        <v>160</v>
      </c>
      <c r="S92">
        <v>112</v>
      </c>
      <c r="T92" t="s">
        <v>3877</v>
      </c>
      <c r="U92" t="s">
        <v>3836</v>
      </c>
      <c r="V92" s="14">
        <v>536</v>
      </c>
      <c r="W92">
        <f t="shared" si="2"/>
        <v>51</v>
      </c>
      <c r="X92">
        <f t="shared" si="3"/>
        <v>96</v>
      </c>
    </row>
    <row r="93" spans="1:24" x14ac:dyDescent="0.35">
      <c r="A93" t="s">
        <v>532</v>
      </c>
      <c r="B93" t="s">
        <v>75</v>
      </c>
      <c r="C93" t="s">
        <v>592</v>
      </c>
      <c r="D93" t="s">
        <v>1596</v>
      </c>
      <c r="E93" t="s">
        <v>68</v>
      </c>
      <c r="F93" t="s">
        <v>1597</v>
      </c>
      <c r="G93" t="s">
        <v>1598</v>
      </c>
      <c r="H93" s="1">
        <v>46419</v>
      </c>
      <c r="I93" s="6">
        <v>45570</v>
      </c>
      <c r="J93" s="6">
        <v>46146</v>
      </c>
      <c r="K93">
        <v>25</v>
      </c>
      <c r="L93">
        <v>75</v>
      </c>
      <c r="M93">
        <v>27</v>
      </c>
      <c r="N93" s="8">
        <v>18</v>
      </c>
      <c r="O93">
        <v>31</v>
      </c>
      <c r="P93">
        <v>36</v>
      </c>
      <c r="Q93" s="3">
        <v>-0.46</v>
      </c>
      <c r="R93">
        <v>450</v>
      </c>
      <c r="S93">
        <v>558</v>
      </c>
      <c r="T93" t="s">
        <v>3877</v>
      </c>
      <c r="U93" t="s">
        <v>3838</v>
      </c>
      <c r="V93" s="14">
        <v>604</v>
      </c>
      <c r="W93">
        <f t="shared" si="2"/>
        <v>50</v>
      </c>
      <c r="X93">
        <f t="shared" si="3"/>
        <v>486</v>
      </c>
    </row>
    <row r="94" spans="1:24" x14ac:dyDescent="0.35">
      <c r="A94" t="s">
        <v>653</v>
      </c>
      <c r="B94" t="s">
        <v>163</v>
      </c>
      <c r="C94" t="s">
        <v>1109</v>
      </c>
      <c r="D94" t="s">
        <v>2505</v>
      </c>
      <c r="E94" t="s">
        <v>68</v>
      </c>
      <c r="F94" t="s">
        <v>2506</v>
      </c>
      <c r="G94" t="s">
        <v>2507</v>
      </c>
      <c r="H94" s="1">
        <v>46384</v>
      </c>
      <c r="I94" s="6">
        <v>45490</v>
      </c>
      <c r="J94" s="6">
        <v>46361</v>
      </c>
      <c r="K94">
        <v>50</v>
      </c>
      <c r="L94">
        <v>100</v>
      </c>
      <c r="M94">
        <v>91</v>
      </c>
      <c r="N94" s="8">
        <v>25.5</v>
      </c>
      <c r="O94">
        <v>29</v>
      </c>
      <c r="P94">
        <v>31</v>
      </c>
      <c r="Q94" s="3">
        <v>0.34</v>
      </c>
      <c r="R94">
        <v>1275</v>
      </c>
      <c r="S94">
        <v>739.5</v>
      </c>
      <c r="T94" t="s">
        <v>3877</v>
      </c>
      <c r="U94" t="s">
        <v>3836</v>
      </c>
      <c r="V94" s="14">
        <v>684</v>
      </c>
      <c r="W94">
        <f t="shared" si="2"/>
        <v>50</v>
      </c>
      <c r="X94">
        <f t="shared" si="3"/>
        <v>2320.5</v>
      </c>
    </row>
    <row r="95" spans="1:24" x14ac:dyDescent="0.35">
      <c r="A95" t="s">
        <v>413</v>
      </c>
      <c r="B95" t="s">
        <v>65</v>
      </c>
      <c r="C95" t="s">
        <v>90</v>
      </c>
      <c r="D95" t="s">
        <v>3530</v>
      </c>
      <c r="E95" t="s">
        <v>21</v>
      </c>
      <c r="F95" t="s">
        <v>3531</v>
      </c>
      <c r="G95" t="s">
        <v>3532</v>
      </c>
      <c r="H95" s="1">
        <v>46250</v>
      </c>
      <c r="I95" s="6">
        <v>45472</v>
      </c>
      <c r="J95" s="6">
        <v>46284</v>
      </c>
      <c r="K95">
        <v>22</v>
      </c>
      <c r="L95">
        <v>72</v>
      </c>
      <c r="M95">
        <v>70</v>
      </c>
      <c r="N95" s="8">
        <v>4.5</v>
      </c>
      <c r="O95">
        <v>32</v>
      </c>
      <c r="P95">
        <v>19</v>
      </c>
      <c r="Q95" s="3">
        <v>-0.26</v>
      </c>
      <c r="R95">
        <v>99</v>
      </c>
      <c r="S95">
        <v>144</v>
      </c>
      <c r="T95" t="s">
        <v>3877</v>
      </c>
      <c r="U95" t="s">
        <v>3836</v>
      </c>
      <c r="V95" s="14">
        <v>702</v>
      </c>
      <c r="W95">
        <f t="shared" si="2"/>
        <v>50</v>
      </c>
      <c r="X95">
        <f t="shared" si="3"/>
        <v>315</v>
      </c>
    </row>
    <row r="96" spans="1:24" x14ac:dyDescent="0.35">
      <c r="A96" t="s">
        <v>496</v>
      </c>
      <c r="B96" t="s">
        <v>18</v>
      </c>
      <c r="C96" t="s">
        <v>946</v>
      </c>
      <c r="D96" t="s">
        <v>947</v>
      </c>
      <c r="E96" t="s">
        <v>21</v>
      </c>
      <c r="F96" t="s">
        <v>948</v>
      </c>
      <c r="G96" t="s">
        <v>949</v>
      </c>
      <c r="H96" s="1">
        <v>46209</v>
      </c>
      <c r="I96" s="6">
        <v>45633</v>
      </c>
      <c r="J96" s="6">
        <v>46360</v>
      </c>
      <c r="K96">
        <v>25</v>
      </c>
      <c r="L96">
        <v>74</v>
      </c>
      <c r="M96">
        <v>100</v>
      </c>
      <c r="N96" s="8">
        <v>5.5</v>
      </c>
      <c r="O96">
        <v>41</v>
      </c>
      <c r="P96">
        <v>59</v>
      </c>
      <c r="Q96" s="3">
        <v>-0.61</v>
      </c>
      <c r="R96">
        <v>137.5</v>
      </c>
      <c r="S96">
        <v>225.5</v>
      </c>
      <c r="T96" t="s">
        <v>3877</v>
      </c>
      <c r="U96" t="s">
        <v>3836</v>
      </c>
      <c r="V96" s="14">
        <v>541</v>
      </c>
      <c r="W96">
        <f t="shared" si="2"/>
        <v>49</v>
      </c>
      <c r="X96">
        <f t="shared" si="3"/>
        <v>550</v>
      </c>
    </row>
    <row r="97" spans="1:24" x14ac:dyDescent="0.35">
      <c r="A97" t="s">
        <v>1311</v>
      </c>
      <c r="B97" t="s">
        <v>36</v>
      </c>
      <c r="C97" t="s">
        <v>460</v>
      </c>
      <c r="D97" t="s">
        <v>1489</v>
      </c>
      <c r="E97" t="s">
        <v>30</v>
      </c>
      <c r="F97" t="s">
        <v>1490</v>
      </c>
      <c r="G97" t="s">
        <v>1491</v>
      </c>
      <c r="H97" s="1">
        <v>46361</v>
      </c>
      <c r="I97" s="6">
        <v>45527</v>
      </c>
      <c r="J97" s="6">
        <v>46159</v>
      </c>
      <c r="K97">
        <v>50</v>
      </c>
      <c r="L97">
        <v>99</v>
      </c>
      <c r="M97">
        <v>73</v>
      </c>
      <c r="N97" s="8">
        <v>8</v>
      </c>
      <c r="O97">
        <v>42</v>
      </c>
      <c r="P97">
        <v>1</v>
      </c>
      <c r="Q97" s="3">
        <v>0.04</v>
      </c>
      <c r="R97">
        <v>400</v>
      </c>
      <c r="S97">
        <v>336</v>
      </c>
      <c r="T97" t="s">
        <v>3877</v>
      </c>
      <c r="U97" t="s">
        <v>3838</v>
      </c>
      <c r="V97" s="14">
        <v>647</v>
      </c>
      <c r="W97">
        <f t="shared" si="2"/>
        <v>49</v>
      </c>
      <c r="X97">
        <f t="shared" si="3"/>
        <v>584</v>
      </c>
    </row>
    <row r="98" spans="1:24" x14ac:dyDescent="0.35">
      <c r="A98" t="s">
        <v>1307</v>
      </c>
      <c r="B98" t="s">
        <v>163</v>
      </c>
      <c r="C98" t="s">
        <v>2304</v>
      </c>
      <c r="D98" t="s">
        <v>2305</v>
      </c>
      <c r="E98" t="s">
        <v>30</v>
      </c>
      <c r="F98" t="s">
        <v>2306</v>
      </c>
      <c r="G98" t="s">
        <v>2307</v>
      </c>
      <c r="H98" s="1">
        <v>46351</v>
      </c>
      <c r="I98" s="6">
        <v>45687</v>
      </c>
      <c r="J98" s="6">
        <v>46157</v>
      </c>
      <c r="K98">
        <v>39</v>
      </c>
      <c r="L98">
        <v>88</v>
      </c>
      <c r="M98">
        <v>100</v>
      </c>
      <c r="N98" s="8">
        <v>8</v>
      </c>
      <c r="O98">
        <v>28</v>
      </c>
      <c r="P98">
        <v>18</v>
      </c>
      <c r="Q98" s="3">
        <v>0.57999999999999996</v>
      </c>
      <c r="R98">
        <v>312</v>
      </c>
      <c r="S98">
        <v>224</v>
      </c>
      <c r="T98" t="s">
        <v>3877</v>
      </c>
      <c r="U98" t="s">
        <v>3838</v>
      </c>
      <c r="V98" s="14">
        <v>487</v>
      </c>
      <c r="W98">
        <f t="shared" si="2"/>
        <v>49</v>
      </c>
      <c r="X98">
        <f t="shared" si="3"/>
        <v>800</v>
      </c>
    </row>
    <row r="99" spans="1:24" x14ac:dyDescent="0.35">
      <c r="A99" t="s">
        <v>690</v>
      </c>
      <c r="B99" t="s">
        <v>36</v>
      </c>
      <c r="C99" t="s">
        <v>254</v>
      </c>
      <c r="D99" t="s">
        <v>2978</v>
      </c>
      <c r="E99" t="s">
        <v>30</v>
      </c>
      <c r="F99" t="s">
        <v>2979</v>
      </c>
      <c r="G99" t="s">
        <v>2980</v>
      </c>
      <c r="H99" s="1">
        <v>46140</v>
      </c>
      <c r="I99" s="6">
        <v>45707</v>
      </c>
      <c r="J99" s="6">
        <v>46354</v>
      </c>
      <c r="K99">
        <v>14</v>
      </c>
      <c r="L99">
        <v>63</v>
      </c>
      <c r="M99">
        <v>74</v>
      </c>
      <c r="N99" s="8">
        <v>2.5</v>
      </c>
      <c r="O99">
        <v>59</v>
      </c>
      <c r="P99">
        <v>63</v>
      </c>
      <c r="Q99" s="3">
        <v>0.93</v>
      </c>
      <c r="R99">
        <v>35</v>
      </c>
      <c r="S99">
        <v>147.5</v>
      </c>
      <c r="T99" t="s">
        <v>3877</v>
      </c>
      <c r="U99" t="s">
        <v>3836</v>
      </c>
      <c r="V99" s="14">
        <v>467</v>
      </c>
      <c r="W99">
        <f t="shared" si="2"/>
        <v>49</v>
      </c>
      <c r="X99">
        <f t="shared" si="3"/>
        <v>185</v>
      </c>
    </row>
    <row r="100" spans="1:24" x14ac:dyDescent="0.35">
      <c r="A100" t="s">
        <v>1603</v>
      </c>
      <c r="B100" t="s">
        <v>36</v>
      </c>
      <c r="C100" t="s">
        <v>429</v>
      </c>
      <c r="D100" t="s">
        <v>2997</v>
      </c>
      <c r="E100" t="s">
        <v>21</v>
      </c>
      <c r="F100" t="s">
        <v>2998</v>
      </c>
      <c r="G100" t="s">
        <v>2999</v>
      </c>
      <c r="H100" s="1">
        <v>46142</v>
      </c>
      <c r="I100" s="6">
        <v>45586</v>
      </c>
      <c r="J100" s="6">
        <v>46287</v>
      </c>
      <c r="K100">
        <v>51</v>
      </c>
      <c r="L100">
        <v>100</v>
      </c>
      <c r="M100">
        <v>70</v>
      </c>
      <c r="N100" s="8">
        <v>3</v>
      </c>
      <c r="O100">
        <v>40</v>
      </c>
      <c r="P100">
        <v>21</v>
      </c>
      <c r="Q100" s="3">
        <v>-2.5</v>
      </c>
      <c r="R100">
        <v>153</v>
      </c>
      <c r="S100">
        <v>120</v>
      </c>
      <c r="T100" t="s">
        <v>3877</v>
      </c>
      <c r="U100" t="s">
        <v>3836</v>
      </c>
      <c r="V100" s="14">
        <v>588</v>
      </c>
      <c r="W100">
        <f t="shared" si="2"/>
        <v>49</v>
      </c>
      <c r="X100">
        <f t="shared" si="3"/>
        <v>210</v>
      </c>
    </row>
    <row r="101" spans="1:24" x14ac:dyDescent="0.35">
      <c r="A101" t="s">
        <v>1003</v>
      </c>
      <c r="B101" t="s">
        <v>18</v>
      </c>
      <c r="C101" t="s">
        <v>1004</v>
      </c>
      <c r="D101" t="s">
        <v>1005</v>
      </c>
      <c r="E101" t="s">
        <v>68</v>
      </c>
      <c r="F101" t="s">
        <v>1006</v>
      </c>
      <c r="G101" t="s">
        <v>1007</v>
      </c>
      <c r="H101" s="1">
        <v>46237</v>
      </c>
      <c r="I101" s="6">
        <v>45668</v>
      </c>
      <c r="J101" s="6">
        <v>46290</v>
      </c>
      <c r="K101">
        <v>44</v>
      </c>
      <c r="L101">
        <v>92</v>
      </c>
      <c r="M101">
        <v>92</v>
      </c>
      <c r="N101" s="8">
        <v>3.5</v>
      </c>
      <c r="O101">
        <v>41</v>
      </c>
      <c r="P101">
        <v>61</v>
      </c>
      <c r="Q101" s="3">
        <v>0.1</v>
      </c>
      <c r="R101">
        <v>154</v>
      </c>
      <c r="S101">
        <v>143.5</v>
      </c>
      <c r="T101" t="s">
        <v>3877</v>
      </c>
      <c r="U101" t="s">
        <v>3836</v>
      </c>
      <c r="V101" s="14">
        <v>506</v>
      </c>
      <c r="W101">
        <f t="shared" si="2"/>
        <v>48</v>
      </c>
      <c r="X101">
        <f t="shared" si="3"/>
        <v>322</v>
      </c>
    </row>
    <row r="102" spans="1:24" x14ac:dyDescent="0.35">
      <c r="A102" t="s">
        <v>1623</v>
      </c>
      <c r="B102" t="s">
        <v>36</v>
      </c>
      <c r="C102" t="s">
        <v>1624</v>
      </c>
      <c r="D102" t="s">
        <v>1625</v>
      </c>
      <c r="E102" t="s">
        <v>21</v>
      </c>
      <c r="F102" t="s">
        <v>1626</v>
      </c>
      <c r="G102" t="s">
        <v>1627</v>
      </c>
      <c r="H102" s="1">
        <v>46448</v>
      </c>
      <c r="I102" s="6">
        <v>45367</v>
      </c>
      <c r="J102" s="6">
        <v>46266</v>
      </c>
      <c r="K102">
        <v>12</v>
      </c>
      <c r="L102">
        <v>60</v>
      </c>
      <c r="M102">
        <v>73</v>
      </c>
      <c r="N102" s="8">
        <v>4</v>
      </c>
      <c r="O102">
        <v>20</v>
      </c>
      <c r="P102">
        <v>35</v>
      </c>
      <c r="Q102" s="3">
        <v>0.91</v>
      </c>
      <c r="R102">
        <v>48</v>
      </c>
      <c r="S102">
        <v>80</v>
      </c>
      <c r="T102" t="s">
        <v>3877</v>
      </c>
      <c r="U102" t="s">
        <v>3836</v>
      </c>
      <c r="V102" s="14">
        <v>807</v>
      </c>
      <c r="W102">
        <f t="shared" si="2"/>
        <v>48</v>
      </c>
      <c r="X102">
        <f t="shared" si="3"/>
        <v>292</v>
      </c>
    </row>
    <row r="103" spans="1:24" x14ac:dyDescent="0.35">
      <c r="A103" t="s">
        <v>200</v>
      </c>
      <c r="B103" t="s">
        <v>163</v>
      </c>
      <c r="C103" t="s">
        <v>1411</v>
      </c>
      <c r="D103" t="s">
        <v>1748</v>
      </c>
      <c r="E103" t="s">
        <v>68</v>
      </c>
      <c r="F103" t="s">
        <v>1749</v>
      </c>
      <c r="G103" t="s">
        <v>1750</v>
      </c>
      <c r="H103" s="1">
        <v>46631</v>
      </c>
      <c r="I103" s="6">
        <v>45477</v>
      </c>
      <c r="J103" s="6">
        <v>46328</v>
      </c>
      <c r="K103">
        <v>20</v>
      </c>
      <c r="L103">
        <v>68</v>
      </c>
      <c r="M103">
        <v>20</v>
      </c>
      <c r="N103" s="8">
        <v>12</v>
      </c>
      <c r="O103">
        <v>38</v>
      </c>
      <c r="P103">
        <v>51</v>
      </c>
      <c r="Q103" s="3">
        <v>0.46</v>
      </c>
      <c r="R103">
        <v>240</v>
      </c>
      <c r="S103">
        <v>456</v>
      </c>
      <c r="T103" t="s">
        <v>3877</v>
      </c>
      <c r="U103" t="s">
        <v>3836</v>
      </c>
      <c r="V103" s="14">
        <v>697</v>
      </c>
      <c r="W103">
        <f t="shared" si="2"/>
        <v>48</v>
      </c>
      <c r="X103">
        <f t="shared" si="3"/>
        <v>240</v>
      </c>
    </row>
    <row r="104" spans="1:24" x14ac:dyDescent="0.35">
      <c r="A104" t="s">
        <v>26</v>
      </c>
      <c r="B104" t="s">
        <v>27</v>
      </c>
      <c r="C104" t="s">
        <v>2311</v>
      </c>
      <c r="D104" t="s">
        <v>2872</v>
      </c>
      <c r="E104" t="s">
        <v>21</v>
      </c>
      <c r="F104" t="s">
        <v>2873</v>
      </c>
      <c r="G104" t="s">
        <v>2874</v>
      </c>
      <c r="H104" s="1">
        <v>46126</v>
      </c>
      <c r="I104" s="6">
        <v>45673</v>
      </c>
      <c r="J104" s="6">
        <v>46252</v>
      </c>
      <c r="K104">
        <v>23</v>
      </c>
      <c r="L104">
        <v>71</v>
      </c>
      <c r="M104">
        <v>32</v>
      </c>
      <c r="N104" s="8">
        <v>2</v>
      </c>
      <c r="O104">
        <v>63</v>
      </c>
      <c r="P104">
        <v>23</v>
      </c>
      <c r="Q104" s="3">
        <v>0.54</v>
      </c>
      <c r="R104">
        <v>46</v>
      </c>
      <c r="S104">
        <v>126</v>
      </c>
      <c r="T104" t="s">
        <v>3877</v>
      </c>
      <c r="U104" t="s">
        <v>3836</v>
      </c>
      <c r="V104" s="14">
        <v>501</v>
      </c>
      <c r="W104">
        <f t="shared" si="2"/>
        <v>48</v>
      </c>
      <c r="X104">
        <f t="shared" si="3"/>
        <v>64</v>
      </c>
    </row>
    <row r="105" spans="1:24" x14ac:dyDescent="0.35">
      <c r="A105" t="s">
        <v>496</v>
      </c>
      <c r="B105" t="s">
        <v>18</v>
      </c>
      <c r="C105" t="s">
        <v>321</v>
      </c>
      <c r="D105" t="s">
        <v>3397</v>
      </c>
      <c r="E105" t="s">
        <v>30</v>
      </c>
      <c r="F105" t="s">
        <v>3398</v>
      </c>
      <c r="G105" t="s">
        <v>3399</v>
      </c>
      <c r="H105" s="1">
        <v>46225</v>
      </c>
      <c r="I105" s="6">
        <v>45709</v>
      </c>
      <c r="J105" s="6">
        <v>46416</v>
      </c>
      <c r="K105">
        <v>13</v>
      </c>
      <c r="L105">
        <v>61</v>
      </c>
      <c r="M105">
        <v>77</v>
      </c>
      <c r="N105" s="8">
        <v>5.5</v>
      </c>
      <c r="O105">
        <v>42</v>
      </c>
      <c r="P105">
        <v>18</v>
      </c>
      <c r="Q105" s="3">
        <v>0.97</v>
      </c>
      <c r="R105">
        <v>71.5</v>
      </c>
      <c r="S105">
        <v>231</v>
      </c>
      <c r="T105" t="s">
        <v>3877</v>
      </c>
      <c r="U105" t="s">
        <v>3836</v>
      </c>
      <c r="V105" s="14">
        <v>465</v>
      </c>
      <c r="W105">
        <f t="shared" si="2"/>
        <v>48</v>
      </c>
      <c r="X105">
        <f t="shared" si="3"/>
        <v>423.5</v>
      </c>
    </row>
    <row r="106" spans="1:24" x14ac:dyDescent="0.35">
      <c r="A106" t="s">
        <v>194</v>
      </c>
      <c r="B106" t="s">
        <v>114</v>
      </c>
      <c r="C106" t="s">
        <v>394</v>
      </c>
      <c r="D106" t="s">
        <v>395</v>
      </c>
      <c r="E106" t="s">
        <v>30</v>
      </c>
      <c r="F106" t="s">
        <v>396</v>
      </c>
      <c r="G106" t="s">
        <v>397</v>
      </c>
      <c r="H106" s="1">
        <v>46087</v>
      </c>
      <c r="I106" s="6">
        <v>45673</v>
      </c>
      <c r="J106" s="6">
        <v>46239</v>
      </c>
      <c r="K106">
        <v>12</v>
      </c>
      <c r="L106">
        <v>59</v>
      </c>
      <c r="M106">
        <v>62</v>
      </c>
      <c r="N106" s="8">
        <v>4.5</v>
      </c>
      <c r="O106">
        <v>75</v>
      </c>
      <c r="P106">
        <v>92</v>
      </c>
      <c r="Q106" s="3">
        <v>0.43</v>
      </c>
      <c r="R106">
        <v>54</v>
      </c>
      <c r="S106">
        <v>337.5</v>
      </c>
      <c r="T106" t="s">
        <v>3877</v>
      </c>
      <c r="U106" t="s">
        <v>3836</v>
      </c>
      <c r="V106" s="14">
        <v>501</v>
      </c>
      <c r="W106">
        <f t="shared" si="2"/>
        <v>47</v>
      </c>
      <c r="X106">
        <f t="shared" si="3"/>
        <v>279</v>
      </c>
    </row>
    <row r="107" spans="1:24" x14ac:dyDescent="0.35">
      <c r="A107" t="s">
        <v>418</v>
      </c>
      <c r="B107" t="s">
        <v>65</v>
      </c>
      <c r="C107" t="s">
        <v>828</v>
      </c>
      <c r="D107" t="s">
        <v>829</v>
      </c>
      <c r="E107" t="s">
        <v>68</v>
      </c>
      <c r="F107" t="s">
        <v>830</v>
      </c>
      <c r="G107" t="s">
        <v>831</v>
      </c>
      <c r="H107" s="1">
        <v>46179</v>
      </c>
      <c r="I107" s="6">
        <v>45629</v>
      </c>
      <c r="J107" s="6">
        <v>46211</v>
      </c>
      <c r="K107">
        <v>11</v>
      </c>
      <c r="L107">
        <v>58</v>
      </c>
      <c r="M107">
        <v>26</v>
      </c>
      <c r="N107" s="8">
        <v>6.2</v>
      </c>
      <c r="O107">
        <v>49</v>
      </c>
      <c r="P107">
        <v>34</v>
      </c>
      <c r="Q107" s="3">
        <v>0.05</v>
      </c>
      <c r="R107">
        <v>68.2</v>
      </c>
      <c r="S107">
        <v>303.8</v>
      </c>
      <c r="T107" t="s">
        <v>3877</v>
      </c>
      <c r="U107" t="s">
        <v>3836</v>
      </c>
      <c r="V107" s="14">
        <v>545</v>
      </c>
      <c r="W107">
        <f t="shared" si="2"/>
        <v>47</v>
      </c>
      <c r="X107">
        <f t="shared" si="3"/>
        <v>161.20000000000002</v>
      </c>
    </row>
    <row r="108" spans="1:24" x14ac:dyDescent="0.35">
      <c r="A108" t="s">
        <v>671</v>
      </c>
      <c r="B108" t="s">
        <v>65</v>
      </c>
      <c r="C108" t="s">
        <v>654</v>
      </c>
      <c r="D108" t="s">
        <v>1122</v>
      </c>
      <c r="E108" t="s">
        <v>68</v>
      </c>
      <c r="F108" t="s">
        <v>1123</v>
      </c>
      <c r="G108" t="s">
        <v>1124</v>
      </c>
      <c r="H108" s="1">
        <v>46246</v>
      </c>
      <c r="I108" s="6">
        <v>45707</v>
      </c>
      <c r="J108" s="6">
        <v>46129</v>
      </c>
      <c r="K108">
        <v>12</v>
      </c>
      <c r="L108">
        <v>59</v>
      </c>
      <c r="M108">
        <v>62</v>
      </c>
      <c r="N108" s="8">
        <v>1.5</v>
      </c>
      <c r="O108">
        <v>95</v>
      </c>
      <c r="P108">
        <v>99</v>
      </c>
      <c r="Q108" s="3">
        <v>0.05</v>
      </c>
      <c r="R108">
        <v>18</v>
      </c>
      <c r="S108">
        <v>142.5</v>
      </c>
      <c r="T108" t="s">
        <v>3877</v>
      </c>
      <c r="U108" t="s">
        <v>3838</v>
      </c>
      <c r="V108" s="14">
        <v>467</v>
      </c>
      <c r="W108">
        <f t="shared" si="2"/>
        <v>47</v>
      </c>
      <c r="X108">
        <f t="shared" si="3"/>
        <v>93</v>
      </c>
    </row>
    <row r="109" spans="1:24" x14ac:dyDescent="0.35">
      <c r="A109" t="s">
        <v>496</v>
      </c>
      <c r="B109" t="s">
        <v>18</v>
      </c>
      <c r="C109" t="s">
        <v>1004</v>
      </c>
      <c r="D109" t="s">
        <v>1761</v>
      </c>
      <c r="E109" t="s">
        <v>30</v>
      </c>
      <c r="F109" t="s">
        <v>1762</v>
      </c>
      <c r="G109" t="s">
        <v>1763</v>
      </c>
      <c r="H109" s="1">
        <v>46632</v>
      </c>
      <c r="I109" s="6">
        <v>45458</v>
      </c>
      <c r="J109" s="6">
        <v>46438</v>
      </c>
      <c r="K109">
        <v>22</v>
      </c>
      <c r="L109">
        <v>69</v>
      </c>
      <c r="M109">
        <v>87</v>
      </c>
      <c r="N109" s="8">
        <v>5.5</v>
      </c>
      <c r="O109">
        <v>34</v>
      </c>
      <c r="P109">
        <v>26</v>
      </c>
      <c r="Q109" s="3">
        <v>-0.46</v>
      </c>
      <c r="R109">
        <v>121</v>
      </c>
      <c r="S109">
        <v>187</v>
      </c>
      <c r="T109" t="s">
        <v>3877</v>
      </c>
      <c r="U109" t="s">
        <v>3836</v>
      </c>
      <c r="V109" s="14">
        <v>716</v>
      </c>
      <c r="W109">
        <f t="shared" si="2"/>
        <v>47</v>
      </c>
      <c r="X109">
        <f t="shared" si="3"/>
        <v>478.5</v>
      </c>
    </row>
    <row r="110" spans="1:24" x14ac:dyDescent="0.35">
      <c r="A110" t="s">
        <v>408</v>
      </c>
      <c r="B110" t="s">
        <v>18</v>
      </c>
      <c r="C110" t="s">
        <v>2517</v>
      </c>
      <c r="D110" t="s">
        <v>2667</v>
      </c>
      <c r="E110" t="s">
        <v>68</v>
      </c>
      <c r="F110" t="s">
        <v>2668</v>
      </c>
      <c r="G110" t="s">
        <v>2669</v>
      </c>
      <c r="H110" s="1">
        <v>46081</v>
      </c>
      <c r="I110" s="6">
        <v>45482</v>
      </c>
      <c r="J110" s="6">
        <v>46350</v>
      </c>
      <c r="K110">
        <v>11</v>
      </c>
      <c r="L110">
        <v>58</v>
      </c>
      <c r="M110">
        <v>32</v>
      </c>
      <c r="N110" s="8">
        <v>4</v>
      </c>
      <c r="O110">
        <v>99</v>
      </c>
      <c r="P110">
        <v>94</v>
      </c>
      <c r="Q110" s="3">
        <v>-0.35</v>
      </c>
      <c r="R110">
        <v>44</v>
      </c>
      <c r="S110">
        <v>396</v>
      </c>
      <c r="T110" t="s">
        <v>3877</v>
      </c>
      <c r="U110" t="s">
        <v>3836</v>
      </c>
      <c r="V110" s="14">
        <v>692</v>
      </c>
      <c r="W110">
        <f t="shared" si="2"/>
        <v>47</v>
      </c>
      <c r="X110">
        <f t="shared" si="3"/>
        <v>128</v>
      </c>
    </row>
    <row r="111" spans="1:24" x14ac:dyDescent="0.35">
      <c r="A111" t="s">
        <v>228</v>
      </c>
      <c r="B111" t="s">
        <v>18</v>
      </c>
      <c r="C111" t="s">
        <v>3181</v>
      </c>
      <c r="D111" t="s">
        <v>3350</v>
      </c>
      <c r="E111" t="s">
        <v>30</v>
      </c>
      <c r="F111" t="s">
        <v>3351</v>
      </c>
      <c r="G111" t="s">
        <v>3352</v>
      </c>
      <c r="H111" s="1">
        <v>46221</v>
      </c>
      <c r="I111" s="6">
        <v>45673</v>
      </c>
      <c r="J111" s="6">
        <v>46197</v>
      </c>
      <c r="K111">
        <v>13</v>
      </c>
      <c r="L111">
        <v>60</v>
      </c>
      <c r="M111">
        <v>100</v>
      </c>
      <c r="N111" s="8">
        <v>1.8</v>
      </c>
      <c r="O111">
        <v>44</v>
      </c>
      <c r="P111">
        <v>32</v>
      </c>
      <c r="Q111" s="3">
        <v>-0.68</v>
      </c>
      <c r="R111">
        <v>23.400000000000002</v>
      </c>
      <c r="S111">
        <v>79.2</v>
      </c>
      <c r="T111" t="s">
        <v>3877</v>
      </c>
      <c r="U111" t="s">
        <v>3837</v>
      </c>
      <c r="V111" s="14">
        <v>501</v>
      </c>
      <c r="W111">
        <f t="shared" si="2"/>
        <v>47</v>
      </c>
      <c r="X111">
        <f t="shared" si="3"/>
        <v>180</v>
      </c>
    </row>
    <row r="112" spans="1:24" x14ac:dyDescent="0.35">
      <c r="A112" t="s">
        <v>277</v>
      </c>
      <c r="B112" t="s">
        <v>114</v>
      </c>
      <c r="C112" t="s">
        <v>66</v>
      </c>
      <c r="D112" t="s">
        <v>278</v>
      </c>
      <c r="E112" t="s">
        <v>30</v>
      </c>
      <c r="F112" t="s">
        <v>279</v>
      </c>
      <c r="G112" t="s">
        <v>280</v>
      </c>
      <c r="H112" s="1">
        <v>46061</v>
      </c>
      <c r="I112" s="6">
        <v>45528</v>
      </c>
      <c r="J112" s="6">
        <v>46383</v>
      </c>
      <c r="K112">
        <v>17</v>
      </c>
      <c r="L112">
        <v>63</v>
      </c>
      <c r="M112">
        <v>3</v>
      </c>
      <c r="N112" s="8">
        <v>3.5</v>
      </c>
      <c r="O112">
        <v>93</v>
      </c>
      <c r="P112">
        <v>26</v>
      </c>
      <c r="Q112" s="2">
        <v>1.66E-2</v>
      </c>
      <c r="R112">
        <v>59.5</v>
      </c>
      <c r="S112">
        <v>325.5</v>
      </c>
      <c r="T112" t="s">
        <v>3877</v>
      </c>
      <c r="U112" t="s">
        <v>3836</v>
      </c>
      <c r="V112" s="14">
        <v>646</v>
      </c>
      <c r="W112">
        <f t="shared" si="2"/>
        <v>46</v>
      </c>
      <c r="X112">
        <f t="shared" si="3"/>
        <v>10.5</v>
      </c>
    </row>
    <row r="113" spans="1:24" x14ac:dyDescent="0.35">
      <c r="A113" t="s">
        <v>435</v>
      </c>
      <c r="B113" t="s">
        <v>18</v>
      </c>
      <c r="C113" t="s">
        <v>1129</v>
      </c>
      <c r="D113" t="s">
        <v>1210</v>
      </c>
      <c r="E113" t="s">
        <v>21</v>
      </c>
      <c r="F113" t="s">
        <v>1211</v>
      </c>
      <c r="G113" t="s">
        <v>1212</v>
      </c>
      <c r="H113" s="1">
        <v>46274</v>
      </c>
      <c r="I113" s="6">
        <v>45702</v>
      </c>
      <c r="J113" s="6">
        <v>46277</v>
      </c>
      <c r="K113">
        <v>19</v>
      </c>
      <c r="L113">
        <v>65</v>
      </c>
      <c r="M113">
        <v>48</v>
      </c>
      <c r="N113" s="8">
        <v>6</v>
      </c>
      <c r="O113">
        <v>59</v>
      </c>
      <c r="P113">
        <v>53</v>
      </c>
      <c r="Q113" s="3">
        <v>-0.56000000000000005</v>
      </c>
      <c r="R113">
        <v>114</v>
      </c>
      <c r="S113">
        <v>354</v>
      </c>
      <c r="T113" t="s">
        <v>3877</v>
      </c>
      <c r="U113" t="s">
        <v>3836</v>
      </c>
      <c r="V113" s="14">
        <v>472</v>
      </c>
      <c r="W113">
        <f t="shared" si="2"/>
        <v>46</v>
      </c>
      <c r="X113">
        <f t="shared" si="3"/>
        <v>288</v>
      </c>
    </row>
    <row r="114" spans="1:24" x14ac:dyDescent="0.35">
      <c r="A114" t="s">
        <v>690</v>
      </c>
      <c r="B114" t="s">
        <v>36</v>
      </c>
      <c r="C114" t="s">
        <v>1612</v>
      </c>
      <c r="D114" t="s">
        <v>1613</v>
      </c>
      <c r="E114" t="s">
        <v>21</v>
      </c>
      <c r="F114" t="s">
        <v>1614</v>
      </c>
      <c r="G114" t="s">
        <v>1615</v>
      </c>
      <c r="H114" s="1">
        <v>46448</v>
      </c>
      <c r="I114" s="6">
        <v>45391</v>
      </c>
      <c r="J114" s="6">
        <v>46423</v>
      </c>
      <c r="K114">
        <v>44</v>
      </c>
      <c r="L114">
        <v>90</v>
      </c>
      <c r="M114">
        <v>17</v>
      </c>
      <c r="N114" s="8">
        <v>2.5</v>
      </c>
      <c r="O114">
        <v>21</v>
      </c>
      <c r="P114">
        <v>91</v>
      </c>
      <c r="Q114" s="3">
        <v>0.69</v>
      </c>
      <c r="R114">
        <v>110</v>
      </c>
      <c r="S114">
        <v>52.5</v>
      </c>
      <c r="T114" t="s">
        <v>3877</v>
      </c>
      <c r="U114" t="s">
        <v>3836</v>
      </c>
      <c r="V114" s="14">
        <v>783</v>
      </c>
      <c r="W114">
        <f t="shared" si="2"/>
        <v>46</v>
      </c>
      <c r="X114">
        <f t="shared" si="3"/>
        <v>42.5</v>
      </c>
    </row>
    <row r="115" spans="1:24" x14ac:dyDescent="0.35">
      <c r="A115" t="s">
        <v>1234</v>
      </c>
      <c r="B115" t="s">
        <v>27</v>
      </c>
      <c r="C115" t="s">
        <v>1009</v>
      </c>
      <c r="D115" t="s">
        <v>1925</v>
      </c>
      <c r="E115" t="s">
        <v>30</v>
      </c>
      <c r="F115" t="s">
        <v>1926</v>
      </c>
      <c r="G115" t="s">
        <v>1927</v>
      </c>
      <c r="H115" s="1">
        <v>46412</v>
      </c>
      <c r="I115" s="6">
        <v>45681</v>
      </c>
      <c r="J115" s="6">
        <v>46347</v>
      </c>
      <c r="K115">
        <v>17</v>
      </c>
      <c r="L115">
        <v>63</v>
      </c>
      <c r="M115">
        <v>66</v>
      </c>
      <c r="N115" s="8">
        <v>2.5</v>
      </c>
      <c r="O115">
        <v>23</v>
      </c>
      <c r="P115">
        <v>46</v>
      </c>
      <c r="Q115" s="3">
        <v>0.67</v>
      </c>
      <c r="R115">
        <v>42.5</v>
      </c>
      <c r="S115">
        <v>57.5</v>
      </c>
      <c r="T115" t="s">
        <v>3877</v>
      </c>
      <c r="U115" t="s">
        <v>3836</v>
      </c>
      <c r="V115" s="14">
        <v>493</v>
      </c>
      <c r="W115">
        <f t="shared" si="2"/>
        <v>46</v>
      </c>
      <c r="X115">
        <f t="shared" si="3"/>
        <v>165</v>
      </c>
    </row>
    <row r="116" spans="1:24" x14ac:dyDescent="0.35">
      <c r="A116" t="s">
        <v>283</v>
      </c>
      <c r="B116" t="s">
        <v>163</v>
      </c>
      <c r="C116" t="s">
        <v>770</v>
      </c>
      <c r="D116" t="s">
        <v>2050</v>
      </c>
      <c r="E116" t="s">
        <v>21</v>
      </c>
      <c r="F116" t="s">
        <v>2051</v>
      </c>
      <c r="G116" t="s">
        <v>2052</v>
      </c>
      <c r="H116" s="1">
        <v>46314</v>
      </c>
      <c r="I116" s="6">
        <v>45632</v>
      </c>
      <c r="J116" s="6">
        <v>46197</v>
      </c>
      <c r="K116">
        <v>42</v>
      </c>
      <c r="L116">
        <v>88</v>
      </c>
      <c r="M116">
        <v>17</v>
      </c>
      <c r="N116" s="8">
        <v>10.5</v>
      </c>
      <c r="O116">
        <v>34</v>
      </c>
      <c r="P116">
        <v>51</v>
      </c>
      <c r="Q116" s="3">
        <v>0.49</v>
      </c>
      <c r="R116">
        <v>441</v>
      </c>
      <c r="S116">
        <v>357</v>
      </c>
      <c r="T116" t="s">
        <v>3877</v>
      </c>
      <c r="U116" t="s">
        <v>3837</v>
      </c>
      <c r="V116" s="14">
        <v>542</v>
      </c>
      <c r="W116">
        <f t="shared" si="2"/>
        <v>46</v>
      </c>
      <c r="X116">
        <f t="shared" si="3"/>
        <v>178.5</v>
      </c>
    </row>
    <row r="117" spans="1:24" x14ac:dyDescent="0.35">
      <c r="A117" t="s">
        <v>1415</v>
      </c>
      <c r="B117" t="s">
        <v>114</v>
      </c>
      <c r="C117" t="s">
        <v>2822</v>
      </c>
      <c r="D117" t="s">
        <v>2823</v>
      </c>
      <c r="E117" t="s">
        <v>30</v>
      </c>
      <c r="F117" t="s">
        <v>2824</v>
      </c>
      <c r="G117" t="s">
        <v>2825</v>
      </c>
      <c r="H117" s="1">
        <v>46109</v>
      </c>
      <c r="I117" s="6">
        <v>45685</v>
      </c>
      <c r="J117" s="6">
        <v>46136</v>
      </c>
      <c r="K117">
        <v>42</v>
      </c>
      <c r="L117">
        <v>88</v>
      </c>
      <c r="M117">
        <v>95</v>
      </c>
      <c r="N117" s="8">
        <v>2.5</v>
      </c>
      <c r="O117">
        <v>67</v>
      </c>
      <c r="P117">
        <v>94</v>
      </c>
      <c r="Q117" s="3">
        <v>-0.56999999999999995</v>
      </c>
      <c r="R117">
        <v>105</v>
      </c>
      <c r="S117">
        <v>167.5</v>
      </c>
      <c r="T117" t="s">
        <v>3877</v>
      </c>
      <c r="U117" t="s">
        <v>3838</v>
      </c>
      <c r="V117" s="14">
        <v>489</v>
      </c>
      <c r="W117">
        <f t="shared" si="2"/>
        <v>46</v>
      </c>
      <c r="X117">
        <f t="shared" si="3"/>
        <v>237.5</v>
      </c>
    </row>
    <row r="118" spans="1:24" x14ac:dyDescent="0.35">
      <c r="A118" t="s">
        <v>1782</v>
      </c>
      <c r="B118" t="s">
        <v>36</v>
      </c>
      <c r="C118" t="s">
        <v>2555</v>
      </c>
      <c r="D118" t="s">
        <v>2981</v>
      </c>
      <c r="E118" t="s">
        <v>21</v>
      </c>
      <c r="F118" t="s">
        <v>2982</v>
      </c>
      <c r="G118" t="s">
        <v>2983</v>
      </c>
      <c r="H118" s="1">
        <v>46140</v>
      </c>
      <c r="I118" s="6">
        <v>45380</v>
      </c>
      <c r="J118" s="6">
        <v>46239</v>
      </c>
      <c r="K118">
        <v>36</v>
      </c>
      <c r="L118">
        <v>82</v>
      </c>
      <c r="M118">
        <v>85</v>
      </c>
      <c r="N118" s="8">
        <v>7.1</v>
      </c>
      <c r="O118">
        <v>27</v>
      </c>
      <c r="P118">
        <v>67</v>
      </c>
      <c r="Q118" s="3">
        <v>-7.0000000000000007E-2</v>
      </c>
      <c r="R118">
        <v>255.6</v>
      </c>
      <c r="S118">
        <v>191.7</v>
      </c>
      <c r="T118" t="s">
        <v>3877</v>
      </c>
      <c r="U118" t="s">
        <v>3836</v>
      </c>
      <c r="V118" s="14">
        <v>794</v>
      </c>
      <c r="W118">
        <f t="shared" si="2"/>
        <v>46</v>
      </c>
      <c r="X118">
        <f t="shared" si="3"/>
        <v>603.5</v>
      </c>
    </row>
    <row r="119" spans="1:24" x14ac:dyDescent="0.35">
      <c r="A119" t="s">
        <v>240</v>
      </c>
      <c r="B119" t="s">
        <v>36</v>
      </c>
      <c r="C119" t="s">
        <v>3433</v>
      </c>
      <c r="D119" t="s">
        <v>3684</v>
      </c>
      <c r="E119" t="s">
        <v>68</v>
      </c>
      <c r="F119" t="s">
        <v>3685</v>
      </c>
      <c r="G119" t="s">
        <v>3686</v>
      </c>
      <c r="H119" s="1">
        <v>46278</v>
      </c>
      <c r="I119" s="6">
        <v>45452</v>
      </c>
      <c r="J119" s="6">
        <v>46335</v>
      </c>
      <c r="K119">
        <v>18</v>
      </c>
      <c r="L119">
        <v>64</v>
      </c>
      <c r="M119">
        <v>86</v>
      </c>
      <c r="N119" s="8">
        <v>1</v>
      </c>
      <c r="O119">
        <v>73</v>
      </c>
      <c r="P119">
        <v>38</v>
      </c>
      <c r="Q119" s="3">
        <v>0.41</v>
      </c>
      <c r="R119">
        <v>18</v>
      </c>
      <c r="S119">
        <v>73</v>
      </c>
      <c r="T119" t="s">
        <v>3877</v>
      </c>
      <c r="U119" t="s">
        <v>3836</v>
      </c>
      <c r="V119" s="14">
        <v>722</v>
      </c>
      <c r="W119">
        <f t="shared" si="2"/>
        <v>46</v>
      </c>
      <c r="X119">
        <f t="shared" si="3"/>
        <v>86</v>
      </c>
    </row>
    <row r="120" spans="1:24" x14ac:dyDescent="0.35">
      <c r="A120" t="s">
        <v>376</v>
      </c>
      <c r="B120" t="s">
        <v>18</v>
      </c>
      <c r="C120" t="s">
        <v>544</v>
      </c>
      <c r="D120" t="s">
        <v>545</v>
      </c>
      <c r="E120" t="s">
        <v>68</v>
      </c>
      <c r="F120" t="s">
        <v>546</v>
      </c>
      <c r="G120" t="s">
        <v>547</v>
      </c>
      <c r="H120" s="1">
        <v>46119</v>
      </c>
      <c r="I120" s="6">
        <v>45483</v>
      </c>
      <c r="J120" s="6">
        <v>46310</v>
      </c>
      <c r="K120">
        <v>20</v>
      </c>
      <c r="L120">
        <v>65</v>
      </c>
      <c r="M120">
        <v>61</v>
      </c>
      <c r="N120" s="8">
        <v>2</v>
      </c>
      <c r="O120">
        <v>51</v>
      </c>
      <c r="P120">
        <v>78</v>
      </c>
      <c r="Q120" s="3">
        <v>0.91</v>
      </c>
      <c r="R120">
        <v>40</v>
      </c>
      <c r="S120">
        <v>102</v>
      </c>
      <c r="T120" t="s">
        <v>3877</v>
      </c>
      <c r="U120" t="s">
        <v>3836</v>
      </c>
      <c r="V120" s="14">
        <v>691</v>
      </c>
      <c r="W120">
        <f t="shared" si="2"/>
        <v>45</v>
      </c>
      <c r="X120">
        <f t="shared" si="3"/>
        <v>122</v>
      </c>
    </row>
    <row r="121" spans="1:24" x14ac:dyDescent="0.35">
      <c r="A121" t="s">
        <v>718</v>
      </c>
      <c r="B121" t="s">
        <v>65</v>
      </c>
      <c r="C121" t="s">
        <v>223</v>
      </c>
      <c r="D121" t="s">
        <v>719</v>
      </c>
      <c r="E121" t="s">
        <v>30</v>
      </c>
      <c r="F121" t="s">
        <v>720</v>
      </c>
      <c r="G121" t="s">
        <v>721</v>
      </c>
      <c r="H121" s="1">
        <v>46152</v>
      </c>
      <c r="I121" s="6">
        <v>45395</v>
      </c>
      <c r="J121" s="6">
        <v>46379</v>
      </c>
      <c r="K121">
        <v>24</v>
      </c>
      <c r="L121">
        <v>69</v>
      </c>
      <c r="M121">
        <v>2</v>
      </c>
      <c r="N121" s="8">
        <v>2</v>
      </c>
      <c r="O121">
        <v>20</v>
      </c>
      <c r="P121">
        <v>20</v>
      </c>
      <c r="Q121" s="3">
        <v>0</v>
      </c>
      <c r="R121">
        <v>48</v>
      </c>
      <c r="S121">
        <v>40</v>
      </c>
      <c r="T121" t="s">
        <v>3877</v>
      </c>
      <c r="U121" t="s">
        <v>3836</v>
      </c>
      <c r="V121" s="14">
        <v>779</v>
      </c>
      <c r="W121">
        <f t="shared" si="2"/>
        <v>45</v>
      </c>
      <c r="X121">
        <f t="shared" si="3"/>
        <v>4</v>
      </c>
    </row>
    <row r="122" spans="1:24" x14ac:dyDescent="0.35">
      <c r="A122" t="s">
        <v>741</v>
      </c>
      <c r="B122" t="s">
        <v>27</v>
      </c>
      <c r="C122" t="s">
        <v>460</v>
      </c>
      <c r="D122" t="s">
        <v>742</v>
      </c>
      <c r="E122" t="s">
        <v>21</v>
      </c>
      <c r="F122" t="s">
        <v>743</v>
      </c>
      <c r="G122" t="s">
        <v>744</v>
      </c>
      <c r="H122" s="1">
        <v>46153</v>
      </c>
      <c r="I122" s="6">
        <v>45484</v>
      </c>
      <c r="J122" s="6">
        <v>46133</v>
      </c>
      <c r="K122">
        <v>33</v>
      </c>
      <c r="L122">
        <v>78</v>
      </c>
      <c r="M122">
        <v>79</v>
      </c>
      <c r="N122" s="8">
        <v>5</v>
      </c>
      <c r="O122">
        <v>60</v>
      </c>
      <c r="P122">
        <v>25</v>
      </c>
      <c r="Q122" s="3">
        <v>-0.48</v>
      </c>
      <c r="R122">
        <v>165</v>
      </c>
      <c r="S122">
        <v>300</v>
      </c>
      <c r="T122" t="s">
        <v>3877</v>
      </c>
      <c r="U122" t="s">
        <v>3838</v>
      </c>
      <c r="V122" s="14">
        <v>690</v>
      </c>
      <c r="W122">
        <f t="shared" si="2"/>
        <v>45</v>
      </c>
      <c r="X122">
        <f t="shared" si="3"/>
        <v>395</v>
      </c>
    </row>
    <row r="123" spans="1:24" x14ac:dyDescent="0.35">
      <c r="A123" t="s">
        <v>413</v>
      </c>
      <c r="B123" t="s">
        <v>65</v>
      </c>
      <c r="C123" t="s">
        <v>959</v>
      </c>
      <c r="D123" t="s">
        <v>960</v>
      </c>
      <c r="E123" t="s">
        <v>21</v>
      </c>
      <c r="F123" t="s">
        <v>961</v>
      </c>
      <c r="G123" t="s">
        <v>962</v>
      </c>
      <c r="H123" s="1">
        <v>46210</v>
      </c>
      <c r="I123" s="6">
        <v>45646</v>
      </c>
      <c r="J123" s="6">
        <v>46265</v>
      </c>
      <c r="K123">
        <v>36</v>
      </c>
      <c r="L123">
        <v>81</v>
      </c>
      <c r="M123">
        <v>54</v>
      </c>
      <c r="N123" s="8">
        <v>4.75</v>
      </c>
      <c r="O123">
        <v>73</v>
      </c>
      <c r="P123">
        <v>60</v>
      </c>
      <c r="Q123" s="3">
        <v>0.35</v>
      </c>
      <c r="R123">
        <v>171</v>
      </c>
      <c r="S123">
        <v>346.75</v>
      </c>
      <c r="T123" t="s">
        <v>3877</v>
      </c>
      <c r="U123" t="s">
        <v>3836</v>
      </c>
      <c r="V123" s="14">
        <v>528</v>
      </c>
      <c r="W123">
        <f t="shared" si="2"/>
        <v>45</v>
      </c>
      <c r="X123">
        <f t="shared" si="3"/>
        <v>256.5</v>
      </c>
    </row>
    <row r="124" spans="1:24" x14ac:dyDescent="0.35">
      <c r="A124" t="s">
        <v>142</v>
      </c>
      <c r="B124" t="s">
        <v>36</v>
      </c>
      <c r="C124" t="s">
        <v>1554</v>
      </c>
      <c r="D124" t="s">
        <v>1555</v>
      </c>
      <c r="E124" t="s">
        <v>68</v>
      </c>
      <c r="F124" t="s">
        <v>1556</v>
      </c>
      <c r="G124" t="s">
        <v>1557</v>
      </c>
      <c r="H124" s="1">
        <v>46368</v>
      </c>
      <c r="I124" s="6">
        <v>45514</v>
      </c>
      <c r="J124" s="6">
        <v>46128</v>
      </c>
      <c r="K124">
        <v>49</v>
      </c>
      <c r="L124">
        <v>94</v>
      </c>
      <c r="M124">
        <v>18</v>
      </c>
      <c r="N124" s="8">
        <v>6</v>
      </c>
      <c r="O124">
        <v>38</v>
      </c>
      <c r="P124">
        <v>11</v>
      </c>
      <c r="Q124" s="3">
        <v>0.93</v>
      </c>
      <c r="R124">
        <v>294</v>
      </c>
      <c r="S124">
        <v>228</v>
      </c>
      <c r="T124" t="s">
        <v>3877</v>
      </c>
      <c r="U124" t="s">
        <v>3838</v>
      </c>
      <c r="V124" s="14">
        <v>660</v>
      </c>
      <c r="W124">
        <f t="shared" si="2"/>
        <v>45</v>
      </c>
      <c r="X124">
        <f t="shared" si="3"/>
        <v>108</v>
      </c>
    </row>
    <row r="125" spans="1:24" x14ac:dyDescent="0.35">
      <c r="A125" t="s">
        <v>177</v>
      </c>
      <c r="B125" t="s">
        <v>18</v>
      </c>
      <c r="C125" t="s">
        <v>284</v>
      </c>
      <c r="D125" t="s">
        <v>2632</v>
      </c>
      <c r="E125" t="s">
        <v>30</v>
      </c>
      <c r="F125" t="s">
        <v>2633</v>
      </c>
      <c r="G125" t="s">
        <v>2634</v>
      </c>
      <c r="H125" s="1">
        <v>46442</v>
      </c>
      <c r="I125" s="6">
        <v>45477</v>
      </c>
      <c r="J125" s="6">
        <v>46294</v>
      </c>
      <c r="K125">
        <v>53</v>
      </c>
      <c r="L125">
        <v>98</v>
      </c>
      <c r="M125">
        <v>23</v>
      </c>
      <c r="N125" s="8">
        <v>5</v>
      </c>
      <c r="O125">
        <v>41</v>
      </c>
      <c r="P125">
        <v>84</v>
      </c>
      <c r="Q125" s="3">
        <v>0.09</v>
      </c>
      <c r="R125">
        <v>265</v>
      </c>
      <c r="S125">
        <v>205</v>
      </c>
      <c r="T125" t="s">
        <v>3877</v>
      </c>
      <c r="U125" t="s">
        <v>3836</v>
      </c>
      <c r="V125" s="14">
        <v>697</v>
      </c>
      <c r="W125">
        <f t="shared" si="2"/>
        <v>45</v>
      </c>
      <c r="X125">
        <f t="shared" si="3"/>
        <v>115</v>
      </c>
    </row>
    <row r="126" spans="1:24" x14ac:dyDescent="0.35">
      <c r="A126" t="s">
        <v>408</v>
      </c>
      <c r="B126" t="s">
        <v>18</v>
      </c>
      <c r="C126" t="s">
        <v>2813</v>
      </c>
      <c r="D126" t="s">
        <v>2866</v>
      </c>
      <c r="E126" t="s">
        <v>30</v>
      </c>
      <c r="F126" t="s">
        <v>2867</v>
      </c>
      <c r="G126" t="s">
        <v>2868</v>
      </c>
      <c r="H126" s="1">
        <v>46126</v>
      </c>
      <c r="I126" s="6">
        <v>45667</v>
      </c>
      <c r="J126" s="6">
        <v>46305</v>
      </c>
      <c r="K126">
        <v>11</v>
      </c>
      <c r="L126">
        <v>56</v>
      </c>
      <c r="M126">
        <v>62</v>
      </c>
      <c r="N126" s="8">
        <v>3.9</v>
      </c>
      <c r="O126">
        <v>40</v>
      </c>
      <c r="P126">
        <v>5</v>
      </c>
      <c r="Q126" s="3">
        <v>-0.57999999999999996</v>
      </c>
      <c r="R126">
        <v>42.9</v>
      </c>
      <c r="S126">
        <v>156</v>
      </c>
      <c r="T126" t="s">
        <v>3877</v>
      </c>
      <c r="U126" t="s">
        <v>3836</v>
      </c>
      <c r="V126" s="14">
        <v>507</v>
      </c>
      <c r="W126">
        <f t="shared" si="2"/>
        <v>45</v>
      </c>
      <c r="X126">
        <f t="shared" si="3"/>
        <v>241.79999999999998</v>
      </c>
    </row>
    <row r="127" spans="1:24" x14ac:dyDescent="0.35">
      <c r="A127" t="s">
        <v>240</v>
      </c>
      <c r="B127" t="s">
        <v>36</v>
      </c>
      <c r="C127" t="s">
        <v>3353</v>
      </c>
      <c r="D127" t="s">
        <v>3354</v>
      </c>
      <c r="E127" t="s">
        <v>21</v>
      </c>
      <c r="F127" t="s">
        <v>3355</v>
      </c>
      <c r="G127" t="s">
        <v>3356</v>
      </c>
      <c r="H127" s="1">
        <v>46222</v>
      </c>
      <c r="I127" s="6">
        <v>45691</v>
      </c>
      <c r="J127" s="6">
        <v>46379</v>
      </c>
      <c r="K127">
        <v>43</v>
      </c>
      <c r="L127">
        <v>88</v>
      </c>
      <c r="M127">
        <v>33</v>
      </c>
      <c r="N127" s="8">
        <v>1</v>
      </c>
      <c r="O127">
        <v>84</v>
      </c>
      <c r="P127">
        <v>75</v>
      </c>
      <c r="Q127" s="3">
        <v>0.27</v>
      </c>
      <c r="R127">
        <v>43</v>
      </c>
      <c r="S127">
        <v>84</v>
      </c>
      <c r="T127" t="s">
        <v>3877</v>
      </c>
      <c r="U127" t="s">
        <v>3836</v>
      </c>
      <c r="V127" s="14">
        <v>483</v>
      </c>
      <c r="W127">
        <f t="shared" si="2"/>
        <v>45</v>
      </c>
      <c r="X127">
        <f t="shared" si="3"/>
        <v>33</v>
      </c>
    </row>
    <row r="128" spans="1:24" x14ac:dyDescent="0.35">
      <c r="A128" t="s">
        <v>1704</v>
      </c>
      <c r="B128" t="s">
        <v>18</v>
      </c>
      <c r="C128" t="s">
        <v>862</v>
      </c>
      <c r="D128" t="s">
        <v>3756</v>
      </c>
      <c r="E128" t="s">
        <v>68</v>
      </c>
      <c r="F128" t="s">
        <v>3757</v>
      </c>
      <c r="G128" t="s">
        <v>3758</v>
      </c>
      <c r="H128" s="1">
        <v>46288</v>
      </c>
      <c r="I128" s="6">
        <v>45539</v>
      </c>
      <c r="J128" s="6">
        <v>46376</v>
      </c>
      <c r="K128">
        <v>53</v>
      </c>
      <c r="L128">
        <v>98</v>
      </c>
      <c r="M128">
        <v>25</v>
      </c>
      <c r="N128" s="8">
        <v>10</v>
      </c>
      <c r="O128">
        <v>55</v>
      </c>
      <c r="P128">
        <v>51</v>
      </c>
      <c r="Q128" s="3">
        <v>-0.22</v>
      </c>
      <c r="R128">
        <v>530</v>
      </c>
      <c r="S128">
        <v>550</v>
      </c>
      <c r="T128" t="s">
        <v>3877</v>
      </c>
      <c r="U128" t="s">
        <v>3836</v>
      </c>
      <c r="V128" s="14">
        <v>635</v>
      </c>
      <c r="W128">
        <f t="shared" si="2"/>
        <v>45</v>
      </c>
      <c r="X128">
        <f t="shared" si="3"/>
        <v>250</v>
      </c>
    </row>
    <row r="129" spans="1:24" x14ac:dyDescent="0.35">
      <c r="A129" t="s">
        <v>975</v>
      </c>
      <c r="B129" t="s">
        <v>18</v>
      </c>
      <c r="C129" t="s">
        <v>696</v>
      </c>
      <c r="D129" t="s">
        <v>976</v>
      </c>
      <c r="E129" t="s">
        <v>21</v>
      </c>
      <c r="F129" t="s">
        <v>977</v>
      </c>
      <c r="G129" t="s">
        <v>978</v>
      </c>
      <c r="H129" s="1">
        <v>46212</v>
      </c>
      <c r="I129" s="6">
        <v>45361</v>
      </c>
      <c r="J129" s="6">
        <v>46329</v>
      </c>
      <c r="K129">
        <v>26</v>
      </c>
      <c r="L129">
        <v>70</v>
      </c>
      <c r="M129">
        <v>52</v>
      </c>
      <c r="N129" s="8">
        <v>2</v>
      </c>
      <c r="O129">
        <v>36</v>
      </c>
      <c r="P129">
        <v>10</v>
      </c>
      <c r="Q129" s="3">
        <v>-0.28000000000000003</v>
      </c>
      <c r="R129">
        <v>52</v>
      </c>
      <c r="S129">
        <v>72</v>
      </c>
      <c r="T129" t="s">
        <v>3877</v>
      </c>
      <c r="U129" t="s">
        <v>3836</v>
      </c>
      <c r="V129" s="14">
        <v>813</v>
      </c>
      <c r="W129">
        <f t="shared" si="2"/>
        <v>44</v>
      </c>
      <c r="X129">
        <f t="shared" si="3"/>
        <v>104</v>
      </c>
    </row>
    <row r="130" spans="1:24" x14ac:dyDescent="0.35">
      <c r="A130" t="s">
        <v>567</v>
      </c>
      <c r="B130" t="s">
        <v>65</v>
      </c>
      <c r="C130" t="s">
        <v>265</v>
      </c>
      <c r="D130" t="s">
        <v>1035</v>
      </c>
      <c r="E130" t="s">
        <v>68</v>
      </c>
      <c r="F130" t="s">
        <v>1036</v>
      </c>
      <c r="G130" t="s">
        <v>1037</v>
      </c>
      <c r="H130" s="1">
        <v>46239</v>
      </c>
      <c r="I130" s="6">
        <v>45641</v>
      </c>
      <c r="J130" s="6">
        <v>46155</v>
      </c>
      <c r="K130">
        <v>12</v>
      </c>
      <c r="L130">
        <v>56</v>
      </c>
      <c r="M130">
        <v>92</v>
      </c>
      <c r="N130" s="8">
        <v>9.5</v>
      </c>
      <c r="O130">
        <v>56</v>
      </c>
      <c r="P130">
        <v>6</v>
      </c>
      <c r="Q130" s="3">
        <v>0.4</v>
      </c>
      <c r="R130">
        <v>114</v>
      </c>
      <c r="S130">
        <v>532</v>
      </c>
      <c r="T130" t="s">
        <v>3877</v>
      </c>
      <c r="U130" t="s">
        <v>3838</v>
      </c>
      <c r="V130" s="14">
        <v>533</v>
      </c>
      <c r="W130">
        <f t="shared" ref="W130:W193" si="4">L130-K130</f>
        <v>44</v>
      </c>
      <c r="X130">
        <f t="shared" ref="X130:X193" si="5">M130*N130</f>
        <v>874</v>
      </c>
    </row>
    <row r="131" spans="1:24" x14ac:dyDescent="0.35">
      <c r="A131" t="s">
        <v>718</v>
      </c>
      <c r="B131" t="s">
        <v>65</v>
      </c>
      <c r="C131" t="s">
        <v>2517</v>
      </c>
      <c r="D131" t="s">
        <v>2518</v>
      </c>
      <c r="E131" t="s">
        <v>21</v>
      </c>
      <c r="F131" t="s">
        <v>2519</v>
      </c>
      <c r="G131" t="s">
        <v>2520</v>
      </c>
      <c r="H131" s="1">
        <v>46385</v>
      </c>
      <c r="I131" s="6">
        <v>45372</v>
      </c>
      <c r="J131" s="6">
        <v>46240</v>
      </c>
      <c r="K131">
        <v>38</v>
      </c>
      <c r="L131">
        <v>82</v>
      </c>
      <c r="M131">
        <v>17</v>
      </c>
      <c r="N131" s="8">
        <v>2</v>
      </c>
      <c r="O131">
        <v>52</v>
      </c>
      <c r="P131">
        <v>47</v>
      </c>
      <c r="Q131" s="3">
        <v>0.17</v>
      </c>
      <c r="R131">
        <v>76</v>
      </c>
      <c r="S131">
        <v>104</v>
      </c>
      <c r="T131" t="s">
        <v>3877</v>
      </c>
      <c r="U131" t="s">
        <v>3836</v>
      </c>
      <c r="V131" s="14">
        <v>802</v>
      </c>
      <c r="W131">
        <f t="shared" si="4"/>
        <v>44</v>
      </c>
      <c r="X131">
        <f t="shared" si="5"/>
        <v>34</v>
      </c>
    </row>
    <row r="132" spans="1:24" x14ac:dyDescent="0.35">
      <c r="A132" t="s">
        <v>718</v>
      </c>
      <c r="B132" t="s">
        <v>65</v>
      </c>
      <c r="C132" t="s">
        <v>2535</v>
      </c>
      <c r="D132" t="s">
        <v>2536</v>
      </c>
      <c r="E132" t="s">
        <v>68</v>
      </c>
      <c r="F132" t="s">
        <v>2537</v>
      </c>
      <c r="G132" t="s">
        <v>2538</v>
      </c>
      <c r="H132" s="1">
        <v>46387</v>
      </c>
      <c r="I132" s="6">
        <v>45405</v>
      </c>
      <c r="J132" s="6">
        <v>46124</v>
      </c>
      <c r="K132">
        <v>39</v>
      </c>
      <c r="L132">
        <v>83</v>
      </c>
      <c r="M132">
        <v>21</v>
      </c>
      <c r="N132" s="8">
        <v>2</v>
      </c>
      <c r="O132">
        <v>73</v>
      </c>
      <c r="P132">
        <v>88</v>
      </c>
      <c r="Q132" s="3">
        <v>-0.44</v>
      </c>
      <c r="R132">
        <v>78</v>
      </c>
      <c r="S132">
        <v>146</v>
      </c>
      <c r="T132" t="s">
        <v>3877</v>
      </c>
      <c r="U132" t="s">
        <v>3838</v>
      </c>
      <c r="V132" s="14">
        <v>769</v>
      </c>
      <c r="W132">
        <f t="shared" si="4"/>
        <v>44</v>
      </c>
      <c r="X132">
        <f t="shared" si="5"/>
        <v>42</v>
      </c>
    </row>
    <row r="133" spans="1:24" x14ac:dyDescent="0.35">
      <c r="A133" t="s">
        <v>527</v>
      </c>
      <c r="B133" t="s">
        <v>65</v>
      </c>
      <c r="C133" t="s">
        <v>723</v>
      </c>
      <c r="D133" t="s">
        <v>2791</v>
      </c>
      <c r="E133" t="s">
        <v>21</v>
      </c>
      <c r="F133" t="s">
        <v>2792</v>
      </c>
      <c r="G133" t="s">
        <v>2793</v>
      </c>
      <c r="H133" s="1">
        <v>46107</v>
      </c>
      <c r="I133" s="6">
        <v>45410</v>
      </c>
      <c r="J133" s="6">
        <v>46271</v>
      </c>
      <c r="K133">
        <v>18</v>
      </c>
      <c r="L133">
        <v>62</v>
      </c>
      <c r="M133">
        <v>2</v>
      </c>
      <c r="N133" s="8">
        <v>3</v>
      </c>
      <c r="O133">
        <v>61</v>
      </c>
      <c r="P133">
        <v>78</v>
      </c>
      <c r="Q133" s="3">
        <v>-0.1</v>
      </c>
      <c r="R133">
        <v>54</v>
      </c>
      <c r="S133">
        <v>183</v>
      </c>
      <c r="T133" t="s">
        <v>3877</v>
      </c>
      <c r="U133" t="s">
        <v>3836</v>
      </c>
      <c r="V133" s="14">
        <v>764</v>
      </c>
      <c r="W133">
        <f t="shared" si="4"/>
        <v>44</v>
      </c>
      <c r="X133">
        <f t="shared" si="5"/>
        <v>6</v>
      </c>
    </row>
    <row r="134" spans="1:24" x14ac:dyDescent="0.35">
      <c r="A134" t="s">
        <v>17</v>
      </c>
      <c r="B134" t="s">
        <v>18</v>
      </c>
      <c r="C134" t="s">
        <v>1884</v>
      </c>
      <c r="D134" t="s">
        <v>2971</v>
      </c>
      <c r="E134" t="s">
        <v>30</v>
      </c>
      <c r="F134" t="s">
        <v>2972</v>
      </c>
      <c r="G134" t="s">
        <v>2973</v>
      </c>
      <c r="H134" s="1">
        <v>46139</v>
      </c>
      <c r="I134" s="6">
        <v>45413</v>
      </c>
      <c r="J134" s="6">
        <v>46139</v>
      </c>
      <c r="K134">
        <v>49</v>
      </c>
      <c r="L134">
        <v>93</v>
      </c>
      <c r="M134">
        <v>15</v>
      </c>
      <c r="N134" s="8">
        <v>4.5</v>
      </c>
      <c r="O134">
        <v>52</v>
      </c>
      <c r="P134">
        <v>31</v>
      </c>
      <c r="Q134" s="3">
        <v>-0.05</v>
      </c>
      <c r="R134">
        <v>220.5</v>
      </c>
      <c r="S134">
        <v>234</v>
      </c>
      <c r="T134" t="s">
        <v>3877</v>
      </c>
      <c r="U134" t="s">
        <v>3838</v>
      </c>
      <c r="V134" s="14">
        <v>761</v>
      </c>
      <c r="W134">
        <f t="shared" si="4"/>
        <v>44</v>
      </c>
      <c r="X134">
        <f t="shared" si="5"/>
        <v>67.5</v>
      </c>
    </row>
    <row r="135" spans="1:24" x14ac:dyDescent="0.35">
      <c r="A135" t="s">
        <v>371</v>
      </c>
      <c r="B135" t="s">
        <v>75</v>
      </c>
      <c r="C135" t="s">
        <v>372</v>
      </c>
      <c r="D135" t="s">
        <v>373</v>
      </c>
      <c r="E135" t="s">
        <v>68</v>
      </c>
      <c r="F135" t="s">
        <v>374</v>
      </c>
      <c r="G135" t="s">
        <v>375</v>
      </c>
      <c r="H135" s="1">
        <v>46086</v>
      </c>
      <c r="I135" s="6">
        <v>45622</v>
      </c>
      <c r="J135" s="6">
        <v>46396</v>
      </c>
      <c r="K135">
        <v>29</v>
      </c>
      <c r="L135">
        <v>72</v>
      </c>
      <c r="M135">
        <v>96</v>
      </c>
      <c r="N135" s="8">
        <v>12</v>
      </c>
      <c r="O135">
        <v>85</v>
      </c>
      <c r="P135">
        <v>52</v>
      </c>
      <c r="Q135" s="3">
        <v>-1.61</v>
      </c>
      <c r="R135">
        <v>348</v>
      </c>
      <c r="S135">
        <v>1020</v>
      </c>
      <c r="T135" t="s">
        <v>3877</v>
      </c>
      <c r="U135" t="s">
        <v>3836</v>
      </c>
      <c r="V135" s="14">
        <v>552</v>
      </c>
      <c r="W135">
        <f t="shared" si="4"/>
        <v>43</v>
      </c>
      <c r="X135">
        <f t="shared" si="5"/>
        <v>1152</v>
      </c>
    </row>
    <row r="136" spans="1:24" x14ac:dyDescent="0.35">
      <c r="A136" t="s">
        <v>596</v>
      </c>
      <c r="B136" t="s">
        <v>18</v>
      </c>
      <c r="C136" t="s">
        <v>681</v>
      </c>
      <c r="D136" t="s">
        <v>682</v>
      </c>
      <c r="E136" t="s">
        <v>68</v>
      </c>
      <c r="F136" t="s">
        <v>683</v>
      </c>
      <c r="G136" t="s">
        <v>684</v>
      </c>
      <c r="H136" s="1">
        <v>46148</v>
      </c>
      <c r="I136" s="6">
        <v>45538</v>
      </c>
      <c r="J136" s="6">
        <v>46189</v>
      </c>
      <c r="K136">
        <v>40</v>
      </c>
      <c r="L136">
        <v>83</v>
      </c>
      <c r="M136">
        <v>50</v>
      </c>
      <c r="N136" s="8">
        <v>4</v>
      </c>
      <c r="O136">
        <v>92</v>
      </c>
      <c r="P136">
        <v>50</v>
      </c>
      <c r="Q136" s="3">
        <v>0.75</v>
      </c>
      <c r="R136">
        <v>160</v>
      </c>
      <c r="S136">
        <v>368</v>
      </c>
      <c r="T136" t="s">
        <v>3877</v>
      </c>
      <c r="U136" t="s">
        <v>3837</v>
      </c>
      <c r="V136" s="14">
        <v>636</v>
      </c>
      <c r="W136">
        <f t="shared" si="4"/>
        <v>43</v>
      </c>
      <c r="X136">
        <f t="shared" si="5"/>
        <v>200</v>
      </c>
    </row>
    <row r="137" spans="1:24" x14ac:dyDescent="0.35">
      <c r="A137" t="s">
        <v>690</v>
      </c>
      <c r="B137" t="s">
        <v>36</v>
      </c>
      <c r="C137" t="s">
        <v>1202</v>
      </c>
      <c r="D137" t="s">
        <v>1486</v>
      </c>
      <c r="E137" t="s">
        <v>21</v>
      </c>
      <c r="F137" t="s">
        <v>1487</v>
      </c>
      <c r="G137" t="s">
        <v>1488</v>
      </c>
      <c r="H137" s="1">
        <v>46360</v>
      </c>
      <c r="I137" s="6">
        <v>45676</v>
      </c>
      <c r="J137" s="6">
        <v>46207</v>
      </c>
      <c r="K137">
        <v>35</v>
      </c>
      <c r="L137">
        <v>78</v>
      </c>
      <c r="M137">
        <v>68</v>
      </c>
      <c r="N137" s="8">
        <v>2.5</v>
      </c>
      <c r="O137">
        <v>95</v>
      </c>
      <c r="P137">
        <v>91</v>
      </c>
      <c r="Q137" s="3">
        <v>0.31</v>
      </c>
      <c r="R137">
        <v>87.5</v>
      </c>
      <c r="S137">
        <v>237.5</v>
      </c>
      <c r="T137" t="s">
        <v>3877</v>
      </c>
      <c r="U137" t="s">
        <v>3836</v>
      </c>
      <c r="V137" s="14">
        <v>498</v>
      </c>
      <c r="W137">
        <f t="shared" si="4"/>
        <v>43</v>
      </c>
      <c r="X137">
        <f t="shared" si="5"/>
        <v>170</v>
      </c>
    </row>
    <row r="138" spans="1:24" x14ac:dyDescent="0.35">
      <c r="A138" t="s">
        <v>408</v>
      </c>
      <c r="B138" t="s">
        <v>18</v>
      </c>
      <c r="C138" t="s">
        <v>1559</v>
      </c>
      <c r="D138" t="s">
        <v>1560</v>
      </c>
      <c r="E138" t="s">
        <v>68</v>
      </c>
      <c r="F138" t="s">
        <v>1561</v>
      </c>
      <c r="G138" t="s">
        <v>1562</v>
      </c>
      <c r="H138" s="1">
        <v>46368</v>
      </c>
      <c r="I138" s="6">
        <v>45451</v>
      </c>
      <c r="J138" s="6">
        <v>46222</v>
      </c>
      <c r="K138">
        <v>26</v>
      </c>
      <c r="L138">
        <v>69</v>
      </c>
      <c r="M138">
        <v>90</v>
      </c>
      <c r="N138" s="8">
        <v>4</v>
      </c>
      <c r="O138">
        <v>47</v>
      </c>
      <c r="P138">
        <v>35</v>
      </c>
      <c r="Q138" s="3">
        <v>0.71</v>
      </c>
      <c r="R138">
        <v>104</v>
      </c>
      <c r="S138">
        <v>188</v>
      </c>
      <c r="T138" t="s">
        <v>3877</v>
      </c>
      <c r="U138" t="s">
        <v>3836</v>
      </c>
      <c r="V138" s="14">
        <v>723</v>
      </c>
      <c r="W138">
        <f t="shared" si="4"/>
        <v>43</v>
      </c>
      <c r="X138">
        <f t="shared" si="5"/>
        <v>360</v>
      </c>
    </row>
    <row r="139" spans="1:24" x14ac:dyDescent="0.35">
      <c r="A139" t="s">
        <v>690</v>
      </c>
      <c r="B139" t="s">
        <v>36</v>
      </c>
      <c r="C139" t="s">
        <v>804</v>
      </c>
      <c r="D139" t="s">
        <v>1799</v>
      </c>
      <c r="E139" t="s">
        <v>30</v>
      </c>
      <c r="F139" t="s">
        <v>1800</v>
      </c>
      <c r="G139" t="s">
        <v>1801</v>
      </c>
      <c r="H139" s="1">
        <v>46692</v>
      </c>
      <c r="I139" s="6">
        <v>45353</v>
      </c>
      <c r="J139" s="6">
        <v>46154</v>
      </c>
      <c r="K139">
        <v>50</v>
      </c>
      <c r="L139">
        <v>93</v>
      </c>
      <c r="M139">
        <v>37</v>
      </c>
      <c r="N139" s="8">
        <v>2.4500000000000002</v>
      </c>
      <c r="O139">
        <v>78</v>
      </c>
      <c r="P139">
        <v>79</v>
      </c>
      <c r="Q139" s="3">
        <v>-4</v>
      </c>
      <c r="R139">
        <v>122.50000000000001</v>
      </c>
      <c r="S139">
        <v>191.10000000000002</v>
      </c>
      <c r="T139" t="s">
        <v>3877</v>
      </c>
      <c r="U139" t="s">
        <v>3838</v>
      </c>
      <c r="V139" s="14">
        <v>821</v>
      </c>
      <c r="W139">
        <f t="shared" si="4"/>
        <v>43</v>
      </c>
      <c r="X139">
        <f t="shared" si="5"/>
        <v>90.65</v>
      </c>
    </row>
    <row r="140" spans="1:24" x14ac:dyDescent="0.35">
      <c r="A140" t="s">
        <v>194</v>
      </c>
      <c r="B140" t="s">
        <v>114</v>
      </c>
      <c r="C140" t="s">
        <v>672</v>
      </c>
      <c r="D140" t="s">
        <v>1944</v>
      </c>
      <c r="E140" t="s">
        <v>68</v>
      </c>
      <c r="F140" t="s">
        <v>1945</v>
      </c>
      <c r="G140" t="s">
        <v>1946</v>
      </c>
      <c r="H140" s="1">
        <v>46415</v>
      </c>
      <c r="I140" s="6">
        <v>45624</v>
      </c>
      <c r="J140" s="6">
        <v>46338</v>
      </c>
      <c r="K140">
        <v>41</v>
      </c>
      <c r="L140">
        <v>84</v>
      </c>
      <c r="M140">
        <v>90</v>
      </c>
      <c r="N140" s="8">
        <v>4</v>
      </c>
      <c r="O140">
        <v>42</v>
      </c>
      <c r="P140">
        <v>65</v>
      </c>
      <c r="Q140" s="3">
        <v>0.57999999999999996</v>
      </c>
      <c r="R140">
        <v>164</v>
      </c>
      <c r="S140">
        <v>168</v>
      </c>
      <c r="T140" t="s">
        <v>3877</v>
      </c>
      <c r="U140" t="s">
        <v>3836</v>
      </c>
      <c r="V140" s="14">
        <v>550</v>
      </c>
      <c r="W140">
        <f t="shared" si="4"/>
        <v>43</v>
      </c>
      <c r="X140">
        <f t="shared" si="5"/>
        <v>360</v>
      </c>
    </row>
    <row r="141" spans="1:24" x14ac:dyDescent="0.35">
      <c r="A141" t="s">
        <v>240</v>
      </c>
      <c r="B141" t="s">
        <v>36</v>
      </c>
      <c r="C141" t="s">
        <v>635</v>
      </c>
      <c r="D141" t="s">
        <v>885</v>
      </c>
      <c r="E141" t="s">
        <v>30</v>
      </c>
      <c r="F141" t="s">
        <v>886</v>
      </c>
      <c r="G141" t="s">
        <v>887</v>
      </c>
      <c r="H141" s="1">
        <v>46184</v>
      </c>
      <c r="I141" s="6">
        <v>45646</v>
      </c>
      <c r="J141" s="6">
        <v>46133</v>
      </c>
      <c r="K141">
        <v>12</v>
      </c>
      <c r="L141">
        <v>54</v>
      </c>
      <c r="M141">
        <v>48</v>
      </c>
      <c r="N141" s="8">
        <v>1</v>
      </c>
      <c r="O141">
        <v>31</v>
      </c>
      <c r="P141">
        <v>88</v>
      </c>
      <c r="Q141" s="3">
        <v>-0.2</v>
      </c>
      <c r="R141">
        <v>12</v>
      </c>
      <c r="S141">
        <v>31</v>
      </c>
      <c r="T141" t="s">
        <v>3877</v>
      </c>
      <c r="U141" t="s">
        <v>3838</v>
      </c>
      <c r="V141" s="14">
        <v>528</v>
      </c>
      <c r="W141">
        <f t="shared" si="4"/>
        <v>42</v>
      </c>
      <c r="X141">
        <f t="shared" si="5"/>
        <v>48</v>
      </c>
    </row>
    <row r="142" spans="1:24" x14ac:dyDescent="0.35">
      <c r="A142" t="s">
        <v>222</v>
      </c>
      <c r="B142" t="s">
        <v>65</v>
      </c>
      <c r="C142" t="s">
        <v>1088</v>
      </c>
      <c r="D142" t="s">
        <v>1089</v>
      </c>
      <c r="E142" t="s">
        <v>21</v>
      </c>
      <c r="F142" t="s">
        <v>1090</v>
      </c>
      <c r="G142" t="s">
        <v>1091</v>
      </c>
      <c r="H142" s="1">
        <v>46244</v>
      </c>
      <c r="I142" s="6">
        <v>45606</v>
      </c>
      <c r="J142" s="6">
        <v>46440</v>
      </c>
      <c r="K142">
        <v>21</v>
      </c>
      <c r="L142">
        <v>63</v>
      </c>
      <c r="M142">
        <v>65</v>
      </c>
      <c r="N142" s="8">
        <v>1.5</v>
      </c>
      <c r="O142">
        <v>38</v>
      </c>
      <c r="P142">
        <v>73</v>
      </c>
      <c r="Q142" s="3">
        <v>-1.25</v>
      </c>
      <c r="R142">
        <v>31.5</v>
      </c>
      <c r="S142">
        <v>57</v>
      </c>
      <c r="T142" t="s">
        <v>3877</v>
      </c>
      <c r="U142" t="s">
        <v>3836</v>
      </c>
      <c r="V142" s="14">
        <v>568</v>
      </c>
      <c r="W142">
        <f t="shared" si="4"/>
        <v>42</v>
      </c>
      <c r="X142">
        <f t="shared" si="5"/>
        <v>97.5</v>
      </c>
    </row>
    <row r="143" spans="1:24" x14ac:dyDescent="0.35">
      <c r="A143" t="s">
        <v>619</v>
      </c>
      <c r="B143" t="s">
        <v>18</v>
      </c>
      <c r="C143" t="s">
        <v>1098</v>
      </c>
      <c r="D143" t="s">
        <v>1099</v>
      </c>
      <c r="E143" t="s">
        <v>30</v>
      </c>
      <c r="F143" t="s">
        <v>1100</v>
      </c>
      <c r="G143" t="s">
        <v>1101</v>
      </c>
      <c r="H143" s="1">
        <v>46244</v>
      </c>
      <c r="I143" s="6">
        <v>45634</v>
      </c>
      <c r="J143" s="6">
        <v>46113</v>
      </c>
      <c r="K143">
        <v>46</v>
      </c>
      <c r="L143">
        <v>88</v>
      </c>
      <c r="M143">
        <v>20</v>
      </c>
      <c r="N143" s="8">
        <v>4.8</v>
      </c>
      <c r="O143">
        <v>59</v>
      </c>
      <c r="P143">
        <v>79</v>
      </c>
      <c r="Q143" s="3">
        <v>-2.83</v>
      </c>
      <c r="R143">
        <v>220.79999999999998</v>
      </c>
      <c r="S143">
        <v>283.2</v>
      </c>
      <c r="T143" t="s">
        <v>3877</v>
      </c>
      <c r="U143" t="s">
        <v>3838</v>
      </c>
      <c r="V143" s="14">
        <v>540</v>
      </c>
      <c r="W143">
        <f t="shared" si="4"/>
        <v>42</v>
      </c>
      <c r="X143">
        <f t="shared" si="5"/>
        <v>96</v>
      </c>
    </row>
    <row r="144" spans="1:24" x14ac:dyDescent="0.35">
      <c r="A144" t="s">
        <v>162</v>
      </c>
      <c r="B144" t="s">
        <v>163</v>
      </c>
      <c r="C144" t="s">
        <v>2023</v>
      </c>
      <c r="D144" t="s">
        <v>2024</v>
      </c>
      <c r="E144" t="s">
        <v>30</v>
      </c>
      <c r="F144" t="s">
        <v>2025</v>
      </c>
      <c r="G144" t="s">
        <v>2026</v>
      </c>
      <c r="H144" s="1">
        <v>46312</v>
      </c>
      <c r="I144" s="6">
        <v>45642</v>
      </c>
      <c r="J144" s="6">
        <v>46329</v>
      </c>
      <c r="K144">
        <v>13</v>
      </c>
      <c r="L144">
        <v>55</v>
      </c>
      <c r="M144">
        <v>77</v>
      </c>
      <c r="N144" s="8">
        <v>20</v>
      </c>
      <c r="O144">
        <v>67</v>
      </c>
      <c r="P144">
        <v>68</v>
      </c>
      <c r="Q144" s="3">
        <v>0.85</v>
      </c>
      <c r="R144">
        <v>260</v>
      </c>
      <c r="S144">
        <v>1340</v>
      </c>
      <c r="T144" t="s">
        <v>3877</v>
      </c>
      <c r="U144" t="s">
        <v>3836</v>
      </c>
      <c r="V144" s="14">
        <v>532</v>
      </c>
      <c r="W144">
        <f t="shared" si="4"/>
        <v>42</v>
      </c>
      <c r="X144">
        <f t="shared" si="5"/>
        <v>1540</v>
      </c>
    </row>
    <row r="145" spans="1:24" x14ac:dyDescent="0.35">
      <c r="A145" t="s">
        <v>26</v>
      </c>
      <c r="B145" t="s">
        <v>27</v>
      </c>
      <c r="C145" t="s">
        <v>1399</v>
      </c>
      <c r="D145" t="s">
        <v>3416</v>
      </c>
      <c r="E145" t="s">
        <v>30</v>
      </c>
      <c r="F145" t="s">
        <v>3417</v>
      </c>
      <c r="G145" t="s">
        <v>3418</v>
      </c>
      <c r="H145" s="1">
        <v>46228</v>
      </c>
      <c r="I145" s="6">
        <v>45437</v>
      </c>
      <c r="J145" s="6">
        <v>46131</v>
      </c>
      <c r="K145">
        <v>57</v>
      </c>
      <c r="L145">
        <v>99</v>
      </c>
      <c r="M145">
        <v>23</v>
      </c>
      <c r="N145" s="8">
        <v>2</v>
      </c>
      <c r="O145">
        <v>89</v>
      </c>
      <c r="P145">
        <v>21</v>
      </c>
      <c r="Q145" s="3">
        <v>0.27</v>
      </c>
      <c r="R145">
        <v>114</v>
      </c>
      <c r="S145">
        <v>178</v>
      </c>
      <c r="T145" t="s">
        <v>3877</v>
      </c>
      <c r="U145" t="s">
        <v>3838</v>
      </c>
      <c r="V145" s="14">
        <v>737</v>
      </c>
      <c r="W145">
        <f t="shared" si="4"/>
        <v>42</v>
      </c>
      <c r="X145">
        <f t="shared" si="5"/>
        <v>46</v>
      </c>
    </row>
    <row r="146" spans="1:24" x14ac:dyDescent="0.35">
      <c r="A146" t="s">
        <v>893</v>
      </c>
      <c r="B146" t="s">
        <v>65</v>
      </c>
      <c r="C146" t="s">
        <v>1133</v>
      </c>
      <c r="D146" t="s">
        <v>1134</v>
      </c>
      <c r="E146" t="s">
        <v>30</v>
      </c>
      <c r="F146" t="s">
        <v>1135</v>
      </c>
      <c r="G146" t="s">
        <v>1136</v>
      </c>
      <c r="H146" s="1">
        <v>46246</v>
      </c>
      <c r="I146" s="6">
        <v>45547</v>
      </c>
      <c r="J146" s="6">
        <v>46116</v>
      </c>
      <c r="K146">
        <v>26</v>
      </c>
      <c r="L146">
        <v>67</v>
      </c>
      <c r="M146">
        <v>46</v>
      </c>
      <c r="N146" s="8">
        <v>4.4000000000000004</v>
      </c>
      <c r="O146">
        <v>54</v>
      </c>
      <c r="P146">
        <v>46</v>
      </c>
      <c r="Q146" s="3">
        <v>0.32</v>
      </c>
      <c r="R146">
        <v>114.4</v>
      </c>
      <c r="S146">
        <v>237.60000000000002</v>
      </c>
      <c r="T146" t="s">
        <v>3877</v>
      </c>
      <c r="U146" t="s">
        <v>3838</v>
      </c>
      <c r="V146" s="14">
        <v>627</v>
      </c>
      <c r="W146">
        <f t="shared" si="4"/>
        <v>41</v>
      </c>
      <c r="X146">
        <f t="shared" si="5"/>
        <v>202.4</v>
      </c>
    </row>
    <row r="147" spans="1:24" x14ac:dyDescent="0.35">
      <c r="A147" t="s">
        <v>96</v>
      </c>
      <c r="B147" t="s">
        <v>36</v>
      </c>
      <c r="C147" t="s">
        <v>1217</v>
      </c>
      <c r="D147" t="s">
        <v>1218</v>
      </c>
      <c r="E147" t="s">
        <v>30</v>
      </c>
      <c r="F147" t="s">
        <v>1219</v>
      </c>
      <c r="G147" t="s">
        <v>1220</v>
      </c>
      <c r="H147" s="1">
        <v>46275</v>
      </c>
      <c r="I147" s="6">
        <v>45410</v>
      </c>
      <c r="J147" s="6">
        <v>46325</v>
      </c>
      <c r="K147">
        <v>40</v>
      </c>
      <c r="L147">
        <v>81</v>
      </c>
      <c r="M147">
        <v>40</v>
      </c>
      <c r="N147" s="8">
        <v>9</v>
      </c>
      <c r="O147">
        <v>40</v>
      </c>
      <c r="P147">
        <v>48</v>
      </c>
      <c r="Q147" s="3">
        <v>0.49</v>
      </c>
      <c r="R147">
        <v>360</v>
      </c>
      <c r="S147">
        <v>360</v>
      </c>
      <c r="T147" t="s">
        <v>3877</v>
      </c>
      <c r="U147" t="s">
        <v>3836</v>
      </c>
      <c r="V147" s="14">
        <v>764</v>
      </c>
      <c r="W147">
        <f t="shared" si="4"/>
        <v>41</v>
      </c>
      <c r="X147">
        <f t="shared" si="5"/>
        <v>360</v>
      </c>
    </row>
    <row r="148" spans="1:24" x14ac:dyDescent="0.35">
      <c r="A148" t="s">
        <v>96</v>
      </c>
      <c r="B148" t="s">
        <v>36</v>
      </c>
      <c r="C148" t="s">
        <v>1230</v>
      </c>
      <c r="D148" t="s">
        <v>1268</v>
      </c>
      <c r="E148" t="s">
        <v>68</v>
      </c>
      <c r="F148" t="s">
        <v>1269</v>
      </c>
      <c r="G148" t="s">
        <v>1270</v>
      </c>
      <c r="H148" s="1">
        <v>46299</v>
      </c>
      <c r="I148" s="6">
        <v>45589</v>
      </c>
      <c r="J148" s="6">
        <v>46427</v>
      </c>
      <c r="K148">
        <v>36</v>
      </c>
      <c r="L148">
        <v>77</v>
      </c>
      <c r="M148">
        <v>49</v>
      </c>
      <c r="N148" s="8">
        <v>9</v>
      </c>
      <c r="O148">
        <v>30</v>
      </c>
      <c r="P148">
        <v>84</v>
      </c>
      <c r="Q148" s="3">
        <v>-0.12</v>
      </c>
      <c r="R148">
        <v>324</v>
      </c>
      <c r="S148">
        <v>270</v>
      </c>
      <c r="T148" t="s">
        <v>3877</v>
      </c>
      <c r="U148" t="s">
        <v>3836</v>
      </c>
      <c r="V148" s="14">
        <v>585</v>
      </c>
      <c r="W148">
        <f t="shared" si="4"/>
        <v>41</v>
      </c>
      <c r="X148">
        <f t="shared" si="5"/>
        <v>441</v>
      </c>
    </row>
    <row r="149" spans="1:24" x14ac:dyDescent="0.35">
      <c r="A149" t="s">
        <v>1191</v>
      </c>
      <c r="B149" t="s">
        <v>75</v>
      </c>
      <c r="C149" t="s">
        <v>1275</v>
      </c>
      <c r="D149" t="s">
        <v>2576</v>
      </c>
      <c r="E149" t="s">
        <v>30</v>
      </c>
      <c r="F149" t="s">
        <v>2577</v>
      </c>
      <c r="G149" t="s">
        <v>2578</v>
      </c>
      <c r="H149" s="1">
        <v>46435</v>
      </c>
      <c r="I149" s="6">
        <v>45489</v>
      </c>
      <c r="J149" s="6">
        <v>46085</v>
      </c>
      <c r="K149">
        <v>40</v>
      </c>
      <c r="L149">
        <v>81</v>
      </c>
      <c r="M149">
        <v>78</v>
      </c>
      <c r="N149" s="8">
        <v>20</v>
      </c>
      <c r="O149">
        <v>39</v>
      </c>
      <c r="P149">
        <v>65</v>
      </c>
      <c r="Q149" s="3">
        <v>-0.32</v>
      </c>
      <c r="R149">
        <v>800</v>
      </c>
      <c r="S149">
        <v>780</v>
      </c>
      <c r="T149" t="s">
        <v>3877</v>
      </c>
      <c r="U149" t="s">
        <v>3838</v>
      </c>
      <c r="V149" s="14">
        <v>685</v>
      </c>
      <c r="W149">
        <f t="shared" si="4"/>
        <v>41</v>
      </c>
      <c r="X149">
        <f t="shared" si="5"/>
        <v>1560</v>
      </c>
    </row>
    <row r="150" spans="1:24" x14ac:dyDescent="0.35">
      <c r="A150" t="s">
        <v>135</v>
      </c>
      <c r="B150" t="s">
        <v>36</v>
      </c>
      <c r="C150" t="s">
        <v>1841</v>
      </c>
      <c r="D150" t="s">
        <v>2661</v>
      </c>
      <c r="E150" t="s">
        <v>30</v>
      </c>
      <c r="F150" t="s">
        <v>2662</v>
      </c>
      <c r="G150" t="s">
        <v>2663</v>
      </c>
      <c r="H150" s="1">
        <v>46081</v>
      </c>
      <c r="I150" s="6">
        <v>45490</v>
      </c>
      <c r="J150" s="6">
        <v>46355</v>
      </c>
      <c r="K150">
        <v>56</v>
      </c>
      <c r="L150">
        <v>97</v>
      </c>
      <c r="M150">
        <v>29</v>
      </c>
      <c r="N150" s="8">
        <v>2.5</v>
      </c>
      <c r="O150">
        <v>82</v>
      </c>
      <c r="P150">
        <v>100</v>
      </c>
      <c r="Q150" s="3">
        <v>0.09</v>
      </c>
      <c r="R150">
        <v>140</v>
      </c>
      <c r="S150">
        <v>205</v>
      </c>
      <c r="T150" t="s">
        <v>3877</v>
      </c>
      <c r="U150" t="s">
        <v>3836</v>
      </c>
      <c r="V150" s="14">
        <v>684</v>
      </c>
      <c r="W150">
        <f t="shared" si="4"/>
        <v>41</v>
      </c>
      <c r="X150">
        <f t="shared" si="5"/>
        <v>72.5</v>
      </c>
    </row>
    <row r="151" spans="1:24" x14ac:dyDescent="0.35">
      <c r="A151" t="s">
        <v>326</v>
      </c>
      <c r="B151" t="s">
        <v>18</v>
      </c>
      <c r="C151" t="s">
        <v>714</v>
      </c>
      <c r="D151" t="s">
        <v>3040</v>
      </c>
      <c r="E151" t="s">
        <v>21</v>
      </c>
      <c r="F151" t="s">
        <v>3041</v>
      </c>
      <c r="G151" t="s">
        <v>3042</v>
      </c>
      <c r="H151" s="1">
        <v>46158</v>
      </c>
      <c r="I151" s="6">
        <v>45423</v>
      </c>
      <c r="J151" s="6">
        <v>46179</v>
      </c>
      <c r="K151">
        <v>55</v>
      </c>
      <c r="L151">
        <v>96</v>
      </c>
      <c r="M151">
        <v>40</v>
      </c>
      <c r="N151" s="8">
        <v>5</v>
      </c>
      <c r="O151">
        <v>23</v>
      </c>
      <c r="P151">
        <v>47</v>
      </c>
      <c r="Q151" s="3">
        <v>0.65</v>
      </c>
      <c r="R151">
        <v>275</v>
      </c>
      <c r="S151">
        <v>115</v>
      </c>
      <c r="T151" t="s">
        <v>3877</v>
      </c>
      <c r="U151" t="s">
        <v>3837</v>
      </c>
      <c r="V151" s="14">
        <v>751</v>
      </c>
      <c r="W151">
        <f t="shared" si="4"/>
        <v>41</v>
      </c>
      <c r="X151">
        <f t="shared" si="5"/>
        <v>200</v>
      </c>
    </row>
    <row r="152" spans="1:24" x14ac:dyDescent="0.35">
      <c r="A152" t="s">
        <v>750</v>
      </c>
      <c r="B152" t="s">
        <v>36</v>
      </c>
      <c r="C152" t="s">
        <v>1445</v>
      </c>
      <c r="D152" t="s">
        <v>3379</v>
      </c>
      <c r="E152" t="s">
        <v>21</v>
      </c>
      <c r="F152" t="s">
        <v>3380</v>
      </c>
      <c r="G152" t="s">
        <v>3381</v>
      </c>
      <c r="H152" s="1">
        <v>46223</v>
      </c>
      <c r="I152" s="6">
        <v>45510</v>
      </c>
      <c r="J152" s="6">
        <v>46249</v>
      </c>
      <c r="K152">
        <v>39</v>
      </c>
      <c r="L152">
        <v>80</v>
      </c>
      <c r="M152">
        <v>68</v>
      </c>
      <c r="N152" s="8">
        <v>2.5</v>
      </c>
      <c r="O152">
        <v>46</v>
      </c>
      <c r="P152">
        <v>54</v>
      </c>
      <c r="Q152" s="3">
        <v>-0.45</v>
      </c>
      <c r="R152">
        <v>97.5</v>
      </c>
      <c r="S152">
        <v>115</v>
      </c>
      <c r="T152" t="s">
        <v>3877</v>
      </c>
      <c r="U152" t="s">
        <v>3836</v>
      </c>
      <c r="V152" s="14">
        <v>664</v>
      </c>
      <c r="W152">
        <f t="shared" si="4"/>
        <v>41</v>
      </c>
      <c r="X152">
        <f t="shared" si="5"/>
        <v>170</v>
      </c>
    </row>
    <row r="153" spans="1:24" x14ac:dyDescent="0.35">
      <c r="A153" t="s">
        <v>1782</v>
      </c>
      <c r="B153" t="s">
        <v>36</v>
      </c>
      <c r="C153" t="s">
        <v>1536</v>
      </c>
      <c r="D153" t="s">
        <v>1783</v>
      </c>
      <c r="E153" t="s">
        <v>21</v>
      </c>
      <c r="F153" t="s">
        <v>1784</v>
      </c>
      <c r="G153" t="s">
        <v>1785</v>
      </c>
      <c r="H153" s="1">
        <v>46662</v>
      </c>
      <c r="I153" s="6">
        <v>45361</v>
      </c>
      <c r="J153" s="6">
        <v>46297</v>
      </c>
      <c r="K153">
        <v>16</v>
      </c>
      <c r="L153">
        <v>56</v>
      </c>
      <c r="M153">
        <v>13</v>
      </c>
      <c r="N153" s="8">
        <v>7.2</v>
      </c>
      <c r="O153">
        <v>56</v>
      </c>
      <c r="P153">
        <v>28</v>
      </c>
      <c r="Q153" s="3">
        <v>0.23</v>
      </c>
      <c r="R153">
        <v>115.2</v>
      </c>
      <c r="S153">
        <v>403.2</v>
      </c>
      <c r="T153" t="s">
        <v>3877</v>
      </c>
      <c r="U153" t="s">
        <v>3836</v>
      </c>
      <c r="V153" s="14">
        <v>813</v>
      </c>
      <c r="W153">
        <f t="shared" si="4"/>
        <v>40</v>
      </c>
      <c r="X153">
        <f t="shared" si="5"/>
        <v>93.600000000000009</v>
      </c>
    </row>
    <row r="154" spans="1:24" x14ac:dyDescent="0.35">
      <c r="A154" t="s">
        <v>148</v>
      </c>
      <c r="B154" t="s">
        <v>18</v>
      </c>
      <c r="C154" t="s">
        <v>838</v>
      </c>
      <c r="D154" t="s">
        <v>3081</v>
      </c>
      <c r="E154" t="s">
        <v>68</v>
      </c>
      <c r="F154" t="s">
        <v>3082</v>
      </c>
      <c r="G154" t="s">
        <v>3083</v>
      </c>
      <c r="H154" s="1">
        <v>46166</v>
      </c>
      <c r="I154" s="6">
        <v>45515</v>
      </c>
      <c r="J154" s="6">
        <v>46159</v>
      </c>
      <c r="K154">
        <v>49</v>
      </c>
      <c r="L154">
        <v>89</v>
      </c>
      <c r="M154">
        <v>65</v>
      </c>
      <c r="N154" s="8">
        <v>3</v>
      </c>
      <c r="O154">
        <v>37</v>
      </c>
      <c r="P154">
        <v>48</v>
      </c>
      <c r="Q154" s="3">
        <v>0.54</v>
      </c>
      <c r="R154">
        <v>147</v>
      </c>
      <c r="S154">
        <v>111</v>
      </c>
      <c r="T154" t="s">
        <v>3877</v>
      </c>
      <c r="U154" t="s">
        <v>3838</v>
      </c>
      <c r="V154" s="14">
        <v>659</v>
      </c>
      <c r="W154">
        <f t="shared" si="4"/>
        <v>40</v>
      </c>
      <c r="X154">
        <f t="shared" si="5"/>
        <v>195</v>
      </c>
    </row>
    <row r="155" spans="1:24" x14ac:dyDescent="0.35">
      <c r="A155" t="s">
        <v>135</v>
      </c>
      <c r="B155" t="s">
        <v>36</v>
      </c>
      <c r="C155" t="s">
        <v>1714</v>
      </c>
      <c r="D155" t="s">
        <v>3469</v>
      </c>
      <c r="E155" t="s">
        <v>21</v>
      </c>
      <c r="F155" t="s">
        <v>3470</v>
      </c>
      <c r="G155" t="s">
        <v>3471</v>
      </c>
      <c r="H155" s="1">
        <v>46232</v>
      </c>
      <c r="I155" s="6">
        <v>45393</v>
      </c>
      <c r="J155" s="6">
        <v>46290</v>
      </c>
      <c r="K155">
        <v>44</v>
      </c>
      <c r="L155">
        <v>84</v>
      </c>
      <c r="M155">
        <v>63</v>
      </c>
      <c r="N155" s="8">
        <v>2.5</v>
      </c>
      <c r="O155">
        <v>51</v>
      </c>
      <c r="P155">
        <v>67</v>
      </c>
      <c r="Q155" s="3">
        <v>0.48</v>
      </c>
      <c r="R155">
        <v>110</v>
      </c>
      <c r="S155">
        <v>127.5</v>
      </c>
      <c r="T155" t="s">
        <v>3877</v>
      </c>
      <c r="U155" t="s">
        <v>3836</v>
      </c>
      <c r="V155" s="14">
        <v>781</v>
      </c>
      <c r="W155">
        <f t="shared" si="4"/>
        <v>40</v>
      </c>
      <c r="X155">
        <f t="shared" si="5"/>
        <v>157.5</v>
      </c>
    </row>
    <row r="156" spans="1:24" x14ac:dyDescent="0.35">
      <c r="A156" t="s">
        <v>296</v>
      </c>
      <c r="B156" t="s">
        <v>27</v>
      </c>
      <c r="C156" t="s">
        <v>828</v>
      </c>
      <c r="D156" t="s">
        <v>1054</v>
      </c>
      <c r="E156" t="s">
        <v>21</v>
      </c>
      <c r="F156" t="s">
        <v>1055</v>
      </c>
      <c r="G156" t="s">
        <v>1056</v>
      </c>
      <c r="H156" s="1">
        <v>46241</v>
      </c>
      <c r="I156" s="6">
        <v>45664</v>
      </c>
      <c r="J156" s="6">
        <v>46254</v>
      </c>
      <c r="K156">
        <v>44</v>
      </c>
      <c r="L156">
        <v>83</v>
      </c>
      <c r="M156">
        <v>78</v>
      </c>
      <c r="N156" s="8">
        <v>1.8</v>
      </c>
      <c r="O156">
        <v>46</v>
      </c>
      <c r="P156">
        <v>4</v>
      </c>
      <c r="Q156" s="3">
        <v>0.96</v>
      </c>
      <c r="R156">
        <v>79.2</v>
      </c>
      <c r="S156">
        <v>82.8</v>
      </c>
      <c r="T156" t="s">
        <v>3877</v>
      </c>
      <c r="U156" t="s">
        <v>3836</v>
      </c>
      <c r="V156" s="14">
        <v>510</v>
      </c>
      <c r="W156">
        <f t="shared" si="4"/>
        <v>39</v>
      </c>
      <c r="X156">
        <f t="shared" si="5"/>
        <v>140.4</v>
      </c>
    </row>
    <row r="157" spans="1:24" x14ac:dyDescent="0.35">
      <c r="A157" t="s">
        <v>308</v>
      </c>
      <c r="B157" t="s">
        <v>27</v>
      </c>
      <c r="C157" t="s">
        <v>265</v>
      </c>
      <c r="D157" t="s">
        <v>2179</v>
      </c>
      <c r="E157" t="s">
        <v>30</v>
      </c>
      <c r="F157" t="s">
        <v>2180</v>
      </c>
      <c r="G157" t="s">
        <v>2181</v>
      </c>
      <c r="H157" s="1">
        <v>46324</v>
      </c>
      <c r="I157" s="6">
        <v>45584</v>
      </c>
      <c r="J157" s="6">
        <v>46220</v>
      </c>
      <c r="K157">
        <v>39</v>
      </c>
      <c r="L157">
        <v>78</v>
      </c>
      <c r="M157">
        <v>97</v>
      </c>
      <c r="N157" s="8">
        <v>6.5</v>
      </c>
      <c r="O157">
        <v>54</v>
      </c>
      <c r="P157">
        <v>89</v>
      </c>
      <c r="Q157" s="3">
        <v>0.64</v>
      </c>
      <c r="R157">
        <v>253.5</v>
      </c>
      <c r="S157">
        <v>351</v>
      </c>
      <c r="T157" t="s">
        <v>3877</v>
      </c>
      <c r="U157" t="s">
        <v>3836</v>
      </c>
      <c r="V157" s="14">
        <v>590</v>
      </c>
      <c r="W157">
        <f t="shared" si="4"/>
        <v>39</v>
      </c>
      <c r="X157">
        <f t="shared" si="5"/>
        <v>630.5</v>
      </c>
    </row>
    <row r="158" spans="1:24" x14ac:dyDescent="0.35">
      <c r="A158" t="s">
        <v>1603</v>
      </c>
      <c r="B158" t="s">
        <v>36</v>
      </c>
      <c r="C158" t="s">
        <v>2862</v>
      </c>
      <c r="D158" t="s">
        <v>2863</v>
      </c>
      <c r="E158" t="s">
        <v>21</v>
      </c>
      <c r="F158" t="s">
        <v>2864</v>
      </c>
      <c r="G158" t="s">
        <v>2865</v>
      </c>
      <c r="H158" s="1">
        <v>46125</v>
      </c>
      <c r="I158" s="6">
        <v>45460</v>
      </c>
      <c r="J158" s="6">
        <v>46349</v>
      </c>
      <c r="K158">
        <v>36</v>
      </c>
      <c r="L158">
        <v>75</v>
      </c>
      <c r="M158">
        <v>35</v>
      </c>
      <c r="N158" s="8">
        <v>2.9</v>
      </c>
      <c r="O158">
        <v>26</v>
      </c>
      <c r="P158">
        <v>41</v>
      </c>
      <c r="Q158" s="3">
        <v>0.63</v>
      </c>
      <c r="R158">
        <v>104.39999999999999</v>
      </c>
      <c r="S158">
        <v>75.399999999999991</v>
      </c>
      <c r="T158" t="s">
        <v>3877</v>
      </c>
      <c r="U158" t="s">
        <v>3836</v>
      </c>
      <c r="V158" s="14">
        <v>714</v>
      </c>
      <c r="W158">
        <f t="shared" si="4"/>
        <v>39</v>
      </c>
      <c r="X158">
        <f t="shared" si="5"/>
        <v>101.5</v>
      </c>
    </row>
    <row r="159" spans="1:24" x14ac:dyDescent="0.35">
      <c r="A159" t="s">
        <v>183</v>
      </c>
      <c r="B159" t="s">
        <v>18</v>
      </c>
      <c r="C159" t="s">
        <v>654</v>
      </c>
      <c r="D159" t="s">
        <v>3373</v>
      </c>
      <c r="E159" t="s">
        <v>30</v>
      </c>
      <c r="F159" t="s">
        <v>3374</v>
      </c>
      <c r="G159" t="s">
        <v>3375</v>
      </c>
      <c r="H159" s="1">
        <v>46223</v>
      </c>
      <c r="I159" s="6">
        <v>45671</v>
      </c>
      <c r="J159" s="6">
        <v>46299</v>
      </c>
      <c r="K159">
        <v>61</v>
      </c>
      <c r="L159">
        <v>100</v>
      </c>
      <c r="M159">
        <v>94</v>
      </c>
      <c r="N159" s="8">
        <v>4</v>
      </c>
      <c r="O159">
        <v>76</v>
      </c>
      <c r="P159">
        <v>2</v>
      </c>
      <c r="Q159" s="3">
        <v>0.72</v>
      </c>
      <c r="R159">
        <v>244</v>
      </c>
      <c r="S159">
        <v>304</v>
      </c>
      <c r="T159" t="s">
        <v>3877</v>
      </c>
      <c r="U159" t="s">
        <v>3836</v>
      </c>
      <c r="V159" s="14">
        <v>503</v>
      </c>
      <c r="W159">
        <f t="shared" si="4"/>
        <v>39</v>
      </c>
      <c r="X159">
        <f t="shared" si="5"/>
        <v>376</v>
      </c>
    </row>
    <row r="160" spans="1:24" x14ac:dyDescent="0.35">
      <c r="A160" t="s">
        <v>194</v>
      </c>
      <c r="B160" t="s">
        <v>114</v>
      </c>
      <c r="C160" t="s">
        <v>178</v>
      </c>
      <c r="D160" t="s">
        <v>1179</v>
      </c>
      <c r="E160" t="s">
        <v>30</v>
      </c>
      <c r="F160" t="s">
        <v>1180</v>
      </c>
      <c r="G160" t="s">
        <v>1181</v>
      </c>
      <c r="H160" s="1">
        <v>46272</v>
      </c>
      <c r="I160" s="6">
        <v>45604</v>
      </c>
      <c r="J160" s="6">
        <v>46215</v>
      </c>
      <c r="K160">
        <v>22</v>
      </c>
      <c r="L160">
        <v>60</v>
      </c>
      <c r="M160">
        <v>73</v>
      </c>
      <c r="N160" s="8">
        <v>4.2</v>
      </c>
      <c r="O160">
        <v>62</v>
      </c>
      <c r="P160">
        <v>3</v>
      </c>
      <c r="Q160" s="3">
        <v>0.45</v>
      </c>
      <c r="R160">
        <v>92.4</v>
      </c>
      <c r="S160">
        <v>260.40000000000003</v>
      </c>
      <c r="T160" t="s">
        <v>3877</v>
      </c>
      <c r="U160" t="s">
        <v>3836</v>
      </c>
      <c r="V160" s="14">
        <v>570</v>
      </c>
      <c r="W160">
        <f t="shared" si="4"/>
        <v>38</v>
      </c>
      <c r="X160">
        <f t="shared" si="5"/>
        <v>306.60000000000002</v>
      </c>
    </row>
    <row r="161" spans="1:24" x14ac:dyDescent="0.35">
      <c r="A161" t="s">
        <v>162</v>
      </c>
      <c r="B161" t="s">
        <v>163</v>
      </c>
      <c r="C161" t="s">
        <v>3036</v>
      </c>
      <c r="D161" t="s">
        <v>3128</v>
      </c>
      <c r="E161" t="s">
        <v>68</v>
      </c>
      <c r="F161" t="s">
        <v>3129</v>
      </c>
      <c r="G161" t="s">
        <v>3130</v>
      </c>
      <c r="H161" s="1">
        <v>46171</v>
      </c>
      <c r="I161" s="6">
        <v>45604</v>
      </c>
      <c r="J161" s="6">
        <v>46147</v>
      </c>
      <c r="K161">
        <v>55</v>
      </c>
      <c r="L161">
        <v>93</v>
      </c>
      <c r="M161">
        <v>84</v>
      </c>
      <c r="N161" s="8">
        <v>20</v>
      </c>
      <c r="O161">
        <v>46</v>
      </c>
      <c r="P161">
        <v>84</v>
      </c>
      <c r="Q161" s="3">
        <v>-1.08</v>
      </c>
      <c r="R161">
        <v>1100</v>
      </c>
      <c r="S161">
        <v>920</v>
      </c>
      <c r="T161" t="s">
        <v>3877</v>
      </c>
      <c r="U161" t="s">
        <v>3838</v>
      </c>
      <c r="V161" s="14">
        <v>570</v>
      </c>
      <c r="W161">
        <f t="shared" si="4"/>
        <v>38</v>
      </c>
      <c r="X161">
        <f t="shared" si="5"/>
        <v>1680</v>
      </c>
    </row>
    <row r="162" spans="1:24" x14ac:dyDescent="0.35">
      <c r="A162" t="s">
        <v>212</v>
      </c>
      <c r="B162" t="s">
        <v>75</v>
      </c>
      <c r="C162" t="s">
        <v>3433</v>
      </c>
      <c r="D162" t="s">
        <v>3434</v>
      </c>
      <c r="E162" t="s">
        <v>21</v>
      </c>
      <c r="F162" t="s">
        <v>3435</v>
      </c>
      <c r="G162" t="s">
        <v>3436</v>
      </c>
      <c r="H162" s="1">
        <v>46229</v>
      </c>
      <c r="I162" s="6">
        <v>45486</v>
      </c>
      <c r="J162" s="6">
        <v>46226</v>
      </c>
      <c r="K162">
        <v>14</v>
      </c>
      <c r="L162">
        <v>52</v>
      </c>
      <c r="M162">
        <v>80</v>
      </c>
      <c r="N162" s="8">
        <v>6.8</v>
      </c>
      <c r="O162">
        <v>64</v>
      </c>
      <c r="P162">
        <v>17</v>
      </c>
      <c r="Q162" s="3">
        <v>-2.33</v>
      </c>
      <c r="R162">
        <v>95.2</v>
      </c>
      <c r="S162">
        <v>435.2</v>
      </c>
      <c r="T162" t="s">
        <v>3877</v>
      </c>
      <c r="U162" t="s">
        <v>3836</v>
      </c>
      <c r="V162" s="14">
        <v>688</v>
      </c>
      <c r="W162">
        <f t="shared" si="4"/>
        <v>38</v>
      </c>
      <c r="X162">
        <f t="shared" si="5"/>
        <v>544</v>
      </c>
    </row>
    <row r="163" spans="1:24" x14ac:dyDescent="0.35">
      <c r="A163" t="s">
        <v>148</v>
      </c>
      <c r="B163" t="s">
        <v>18</v>
      </c>
      <c r="C163" t="s">
        <v>149</v>
      </c>
      <c r="D163" t="s">
        <v>150</v>
      </c>
      <c r="E163" t="s">
        <v>30</v>
      </c>
      <c r="F163" t="s">
        <v>151</v>
      </c>
      <c r="G163" t="s">
        <v>152</v>
      </c>
      <c r="H163" s="1">
        <v>46032</v>
      </c>
      <c r="I163" s="6">
        <v>45627</v>
      </c>
      <c r="J163" s="6">
        <v>46272</v>
      </c>
      <c r="K163">
        <v>25</v>
      </c>
      <c r="L163">
        <v>62</v>
      </c>
      <c r="M163">
        <v>11</v>
      </c>
      <c r="N163" s="8">
        <v>3</v>
      </c>
      <c r="O163">
        <v>57</v>
      </c>
      <c r="P163">
        <v>98</v>
      </c>
      <c r="Q163" s="2">
        <v>2.6700000000000002E-2</v>
      </c>
      <c r="R163">
        <v>75</v>
      </c>
      <c r="S163">
        <v>171</v>
      </c>
      <c r="T163" t="s">
        <v>3877</v>
      </c>
      <c r="U163" t="s">
        <v>3836</v>
      </c>
      <c r="V163" s="14">
        <v>547</v>
      </c>
      <c r="W163">
        <f t="shared" si="4"/>
        <v>37</v>
      </c>
      <c r="X163">
        <f t="shared" si="5"/>
        <v>33</v>
      </c>
    </row>
    <row r="164" spans="1:24" x14ac:dyDescent="0.35">
      <c r="A164" t="s">
        <v>1157</v>
      </c>
      <c r="B164" t="s">
        <v>18</v>
      </c>
      <c r="C164" t="s">
        <v>1158</v>
      </c>
      <c r="D164" t="s">
        <v>1159</v>
      </c>
      <c r="E164" t="s">
        <v>68</v>
      </c>
      <c r="F164" t="s">
        <v>1160</v>
      </c>
      <c r="G164" t="s">
        <v>1161</v>
      </c>
      <c r="H164" s="1">
        <v>46270</v>
      </c>
      <c r="I164" s="6">
        <v>45351</v>
      </c>
      <c r="J164" s="6">
        <v>46166</v>
      </c>
      <c r="K164">
        <v>26</v>
      </c>
      <c r="L164">
        <v>63</v>
      </c>
      <c r="M164">
        <v>88</v>
      </c>
      <c r="N164" s="8">
        <v>1.2</v>
      </c>
      <c r="O164">
        <v>84</v>
      </c>
      <c r="P164">
        <v>70</v>
      </c>
      <c r="Q164" s="3">
        <v>0.44</v>
      </c>
      <c r="R164">
        <v>31.2</v>
      </c>
      <c r="S164">
        <v>100.8</v>
      </c>
      <c r="T164" t="s">
        <v>3877</v>
      </c>
      <c r="U164" t="s">
        <v>3838</v>
      </c>
      <c r="V164" s="14">
        <v>823</v>
      </c>
      <c r="W164">
        <f t="shared" si="4"/>
        <v>37</v>
      </c>
      <c r="X164">
        <f t="shared" si="5"/>
        <v>105.6</v>
      </c>
    </row>
    <row r="165" spans="1:24" x14ac:dyDescent="0.35">
      <c r="A165" t="s">
        <v>557</v>
      </c>
      <c r="B165" t="s">
        <v>18</v>
      </c>
      <c r="C165" t="s">
        <v>1403</v>
      </c>
      <c r="D165" t="s">
        <v>1404</v>
      </c>
      <c r="E165" t="s">
        <v>21</v>
      </c>
      <c r="F165" t="s">
        <v>1405</v>
      </c>
      <c r="G165" t="s">
        <v>1406</v>
      </c>
      <c r="H165" s="1">
        <v>46332</v>
      </c>
      <c r="I165" s="6">
        <v>45677</v>
      </c>
      <c r="J165" s="6">
        <v>46179</v>
      </c>
      <c r="K165">
        <v>16</v>
      </c>
      <c r="L165">
        <v>53</v>
      </c>
      <c r="M165">
        <v>12</v>
      </c>
      <c r="N165" s="8">
        <v>5</v>
      </c>
      <c r="O165">
        <v>21</v>
      </c>
      <c r="P165">
        <v>29</v>
      </c>
      <c r="Q165" s="3">
        <v>-1.78</v>
      </c>
      <c r="R165">
        <v>80</v>
      </c>
      <c r="S165">
        <v>105</v>
      </c>
      <c r="T165" t="s">
        <v>3877</v>
      </c>
      <c r="U165" t="s">
        <v>3837</v>
      </c>
      <c r="V165" s="14">
        <v>497</v>
      </c>
      <c r="W165">
        <f t="shared" si="4"/>
        <v>37</v>
      </c>
      <c r="X165">
        <f t="shared" si="5"/>
        <v>60</v>
      </c>
    </row>
    <row r="166" spans="1:24" x14ac:dyDescent="0.35">
      <c r="A166" t="s">
        <v>1320</v>
      </c>
      <c r="B166" t="s">
        <v>18</v>
      </c>
      <c r="C166" t="s">
        <v>606</v>
      </c>
      <c r="D166" t="s">
        <v>2189</v>
      </c>
      <c r="E166" t="s">
        <v>21</v>
      </c>
      <c r="F166" t="s">
        <v>2190</v>
      </c>
      <c r="G166" t="s">
        <v>2191</v>
      </c>
      <c r="H166" s="1">
        <v>46324</v>
      </c>
      <c r="I166" s="6">
        <v>45484</v>
      </c>
      <c r="J166" s="6">
        <v>46333</v>
      </c>
      <c r="K166">
        <v>29</v>
      </c>
      <c r="L166">
        <v>66</v>
      </c>
      <c r="M166">
        <v>21</v>
      </c>
      <c r="N166" s="8">
        <v>8</v>
      </c>
      <c r="O166">
        <v>74</v>
      </c>
      <c r="P166">
        <v>93</v>
      </c>
      <c r="Q166" s="3">
        <v>7.0000000000000007E-2</v>
      </c>
      <c r="R166">
        <v>232</v>
      </c>
      <c r="S166">
        <v>592</v>
      </c>
      <c r="T166" t="s">
        <v>3877</v>
      </c>
      <c r="U166" t="s">
        <v>3836</v>
      </c>
      <c r="V166" s="14">
        <v>690</v>
      </c>
      <c r="W166">
        <f t="shared" si="4"/>
        <v>37</v>
      </c>
      <c r="X166">
        <f t="shared" si="5"/>
        <v>168</v>
      </c>
    </row>
    <row r="167" spans="1:24" x14ac:dyDescent="0.35">
      <c r="A167" t="s">
        <v>1440</v>
      </c>
      <c r="B167" t="s">
        <v>18</v>
      </c>
      <c r="C167" t="s">
        <v>1004</v>
      </c>
      <c r="D167" t="s">
        <v>2218</v>
      </c>
      <c r="E167" t="s">
        <v>21</v>
      </c>
      <c r="F167" t="s">
        <v>2219</v>
      </c>
      <c r="G167" t="s">
        <v>2220</v>
      </c>
      <c r="H167" s="1">
        <v>46340</v>
      </c>
      <c r="I167" s="6">
        <v>45626</v>
      </c>
      <c r="J167" s="6">
        <v>46103</v>
      </c>
      <c r="K167">
        <v>27</v>
      </c>
      <c r="L167">
        <v>64</v>
      </c>
      <c r="M167">
        <v>43</v>
      </c>
      <c r="N167" s="8">
        <v>3</v>
      </c>
      <c r="O167">
        <v>70</v>
      </c>
      <c r="P167">
        <v>58</v>
      </c>
      <c r="Q167" s="3">
        <v>0.23</v>
      </c>
      <c r="R167">
        <v>81</v>
      </c>
      <c r="S167">
        <v>210</v>
      </c>
      <c r="T167" t="s">
        <v>3877</v>
      </c>
      <c r="U167" t="s">
        <v>3838</v>
      </c>
      <c r="V167" s="14">
        <v>548</v>
      </c>
      <c r="W167">
        <f t="shared" si="4"/>
        <v>37</v>
      </c>
      <c r="X167">
        <f t="shared" si="5"/>
        <v>129</v>
      </c>
    </row>
    <row r="168" spans="1:24" x14ac:dyDescent="0.35">
      <c r="A168" t="s">
        <v>1191</v>
      </c>
      <c r="B168" t="s">
        <v>75</v>
      </c>
      <c r="C168" t="s">
        <v>2336</v>
      </c>
      <c r="D168" t="s">
        <v>2898</v>
      </c>
      <c r="E168" t="s">
        <v>30</v>
      </c>
      <c r="F168" t="s">
        <v>2899</v>
      </c>
      <c r="G168" t="s">
        <v>2900</v>
      </c>
      <c r="H168" s="1">
        <v>46129</v>
      </c>
      <c r="I168" s="6">
        <v>45386</v>
      </c>
      <c r="J168" s="6">
        <v>46428</v>
      </c>
      <c r="K168">
        <v>35</v>
      </c>
      <c r="L168">
        <v>72</v>
      </c>
      <c r="M168">
        <v>70</v>
      </c>
      <c r="N168" s="8">
        <v>20</v>
      </c>
      <c r="O168">
        <v>74</v>
      </c>
      <c r="P168">
        <v>15</v>
      </c>
      <c r="Q168" s="3">
        <v>0.76</v>
      </c>
      <c r="R168">
        <v>700</v>
      </c>
      <c r="S168">
        <v>1480</v>
      </c>
      <c r="T168" t="s">
        <v>3877</v>
      </c>
      <c r="U168" t="s">
        <v>3836</v>
      </c>
      <c r="V168" s="14">
        <v>788</v>
      </c>
      <c r="W168">
        <f t="shared" si="4"/>
        <v>37</v>
      </c>
      <c r="X168">
        <f t="shared" si="5"/>
        <v>1400</v>
      </c>
    </row>
    <row r="169" spans="1:24" x14ac:dyDescent="0.35">
      <c r="A169" t="s">
        <v>718</v>
      </c>
      <c r="B169" t="s">
        <v>65</v>
      </c>
      <c r="C169" t="s">
        <v>1771</v>
      </c>
      <c r="D169" t="s">
        <v>3543</v>
      </c>
      <c r="E169" t="s">
        <v>68</v>
      </c>
      <c r="F169" t="s">
        <v>3544</v>
      </c>
      <c r="G169" t="s">
        <v>3545</v>
      </c>
      <c r="H169" s="1">
        <v>46251</v>
      </c>
      <c r="I169" s="6">
        <v>45416</v>
      </c>
      <c r="J169" s="6">
        <v>46165</v>
      </c>
      <c r="K169">
        <v>27</v>
      </c>
      <c r="L169">
        <v>64</v>
      </c>
      <c r="M169">
        <v>78</v>
      </c>
      <c r="N169" s="8">
        <v>2</v>
      </c>
      <c r="O169">
        <v>57</v>
      </c>
      <c r="P169">
        <v>4</v>
      </c>
      <c r="Q169" s="3">
        <v>0.77</v>
      </c>
      <c r="R169">
        <v>54</v>
      </c>
      <c r="S169">
        <v>114</v>
      </c>
      <c r="T169" t="s">
        <v>3877</v>
      </c>
      <c r="U169" t="s">
        <v>3838</v>
      </c>
      <c r="V169" s="14">
        <v>758</v>
      </c>
      <c r="W169">
        <f t="shared" si="4"/>
        <v>37</v>
      </c>
      <c r="X169">
        <f t="shared" si="5"/>
        <v>156</v>
      </c>
    </row>
    <row r="170" spans="1:24" x14ac:dyDescent="0.35">
      <c r="A170" t="s">
        <v>26</v>
      </c>
      <c r="B170" t="s">
        <v>27</v>
      </c>
      <c r="C170" t="s">
        <v>28</v>
      </c>
      <c r="D170" t="s">
        <v>29</v>
      </c>
      <c r="E170" t="s">
        <v>30</v>
      </c>
      <c r="F170" t="s">
        <v>31</v>
      </c>
      <c r="G170" t="s">
        <v>32</v>
      </c>
      <c r="H170" s="1">
        <v>46026</v>
      </c>
      <c r="I170" s="6">
        <v>45431</v>
      </c>
      <c r="J170" s="6">
        <v>46184</v>
      </c>
      <c r="K170">
        <v>51</v>
      </c>
      <c r="L170">
        <v>87</v>
      </c>
      <c r="M170">
        <v>86</v>
      </c>
      <c r="N170" s="8">
        <v>2</v>
      </c>
      <c r="O170">
        <v>24</v>
      </c>
      <c r="P170">
        <v>83</v>
      </c>
      <c r="Q170" s="2">
        <v>9.1000000000000004E-3</v>
      </c>
      <c r="R170">
        <v>102</v>
      </c>
      <c r="S170">
        <v>48</v>
      </c>
      <c r="T170" t="s">
        <v>3877</v>
      </c>
      <c r="U170" t="s">
        <v>3837</v>
      </c>
      <c r="V170" s="14">
        <v>743</v>
      </c>
      <c r="W170">
        <f t="shared" si="4"/>
        <v>36</v>
      </c>
      <c r="X170">
        <f t="shared" si="5"/>
        <v>172</v>
      </c>
    </row>
    <row r="171" spans="1:24" x14ac:dyDescent="0.35">
      <c r="A171" t="s">
        <v>101</v>
      </c>
      <c r="B171" t="s">
        <v>27</v>
      </c>
      <c r="C171" t="s">
        <v>102</v>
      </c>
      <c r="D171" t="s">
        <v>103</v>
      </c>
      <c r="E171" t="s">
        <v>30</v>
      </c>
      <c r="F171" t="s">
        <v>104</v>
      </c>
      <c r="G171" t="s">
        <v>105</v>
      </c>
      <c r="H171" s="1">
        <v>46029</v>
      </c>
      <c r="I171" s="6">
        <v>45388</v>
      </c>
      <c r="J171" s="6">
        <v>46301</v>
      </c>
      <c r="K171">
        <v>53</v>
      </c>
      <c r="L171">
        <v>89</v>
      </c>
      <c r="M171">
        <v>100</v>
      </c>
      <c r="N171" s="8">
        <v>10</v>
      </c>
      <c r="O171">
        <v>22</v>
      </c>
      <c r="P171">
        <v>83</v>
      </c>
      <c r="Q171" s="2">
        <v>2.7900000000000001E-2</v>
      </c>
      <c r="R171">
        <v>530</v>
      </c>
      <c r="S171">
        <v>220</v>
      </c>
      <c r="T171" t="s">
        <v>3877</v>
      </c>
      <c r="U171" t="s">
        <v>3836</v>
      </c>
      <c r="V171" s="14">
        <v>786</v>
      </c>
      <c r="W171">
        <f t="shared" si="4"/>
        <v>36</v>
      </c>
      <c r="X171">
        <f t="shared" si="5"/>
        <v>1000</v>
      </c>
    </row>
    <row r="172" spans="1:24" x14ac:dyDescent="0.35">
      <c r="A172" t="s">
        <v>356</v>
      </c>
      <c r="B172" t="s">
        <v>18</v>
      </c>
      <c r="C172" t="s">
        <v>1025</v>
      </c>
      <c r="D172" t="s">
        <v>1026</v>
      </c>
      <c r="E172" t="s">
        <v>68</v>
      </c>
      <c r="F172" t="s">
        <v>1027</v>
      </c>
      <c r="G172" t="s">
        <v>1028</v>
      </c>
      <c r="H172" s="1">
        <v>46239</v>
      </c>
      <c r="I172" s="6">
        <v>45434</v>
      </c>
      <c r="J172" s="6">
        <v>46435</v>
      </c>
      <c r="K172">
        <v>55</v>
      </c>
      <c r="L172">
        <v>91</v>
      </c>
      <c r="M172">
        <v>35</v>
      </c>
      <c r="N172" s="8">
        <v>3.5</v>
      </c>
      <c r="O172">
        <v>81</v>
      </c>
      <c r="P172">
        <v>19</v>
      </c>
      <c r="Q172" s="3">
        <v>0.98</v>
      </c>
      <c r="R172">
        <v>192.5</v>
      </c>
      <c r="S172">
        <v>283.5</v>
      </c>
      <c r="T172" t="s">
        <v>3877</v>
      </c>
      <c r="U172" t="s">
        <v>3836</v>
      </c>
      <c r="V172" s="14">
        <v>740</v>
      </c>
      <c r="W172">
        <f t="shared" si="4"/>
        <v>36</v>
      </c>
      <c r="X172">
        <f t="shared" si="5"/>
        <v>122.5</v>
      </c>
    </row>
    <row r="173" spans="1:24" x14ac:dyDescent="0.35">
      <c r="A173" t="s">
        <v>496</v>
      </c>
      <c r="B173" t="s">
        <v>18</v>
      </c>
      <c r="C173" t="s">
        <v>1206</v>
      </c>
      <c r="D173" t="s">
        <v>1207</v>
      </c>
      <c r="E173" t="s">
        <v>68</v>
      </c>
      <c r="F173" t="s">
        <v>1208</v>
      </c>
      <c r="G173" t="s">
        <v>1209</v>
      </c>
      <c r="H173" s="1">
        <v>46273</v>
      </c>
      <c r="I173" s="6">
        <v>45696</v>
      </c>
      <c r="J173" s="6">
        <v>46384</v>
      </c>
      <c r="K173">
        <v>30</v>
      </c>
      <c r="L173">
        <v>66</v>
      </c>
      <c r="M173">
        <v>28</v>
      </c>
      <c r="N173" s="8">
        <v>5.5</v>
      </c>
      <c r="O173">
        <v>63</v>
      </c>
      <c r="P173">
        <v>98</v>
      </c>
      <c r="Q173" s="3">
        <v>0.67</v>
      </c>
      <c r="R173">
        <v>165</v>
      </c>
      <c r="S173">
        <v>346.5</v>
      </c>
      <c r="T173" t="s">
        <v>3877</v>
      </c>
      <c r="U173" t="s">
        <v>3836</v>
      </c>
      <c r="V173" s="14">
        <v>478</v>
      </c>
      <c r="W173">
        <f t="shared" si="4"/>
        <v>36</v>
      </c>
      <c r="X173">
        <f t="shared" si="5"/>
        <v>154</v>
      </c>
    </row>
    <row r="174" spans="1:24" x14ac:dyDescent="0.35">
      <c r="A174" t="s">
        <v>1371</v>
      </c>
      <c r="B174" t="s">
        <v>36</v>
      </c>
      <c r="C174" t="s">
        <v>1714</v>
      </c>
      <c r="D174" t="s">
        <v>1715</v>
      </c>
      <c r="E174" t="s">
        <v>68</v>
      </c>
      <c r="F174" t="s">
        <v>1716</v>
      </c>
      <c r="G174" t="s">
        <v>1717</v>
      </c>
      <c r="H174" s="1">
        <v>46570</v>
      </c>
      <c r="I174" s="6">
        <v>45471</v>
      </c>
      <c r="J174" s="6">
        <v>46340</v>
      </c>
      <c r="K174">
        <v>22</v>
      </c>
      <c r="L174">
        <v>58</v>
      </c>
      <c r="M174">
        <v>2</v>
      </c>
      <c r="N174" s="8">
        <v>0.2</v>
      </c>
      <c r="O174">
        <v>33</v>
      </c>
      <c r="P174">
        <v>68</v>
      </c>
      <c r="Q174" s="3">
        <v>0.99</v>
      </c>
      <c r="R174">
        <v>4.4000000000000004</v>
      </c>
      <c r="S174">
        <v>6.6000000000000005</v>
      </c>
      <c r="T174" t="s">
        <v>3877</v>
      </c>
      <c r="U174" t="s">
        <v>3836</v>
      </c>
      <c r="V174" s="14">
        <v>703</v>
      </c>
      <c r="W174">
        <f t="shared" si="4"/>
        <v>36</v>
      </c>
      <c r="X174">
        <f t="shared" si="5"/>
        <v>0.4</v>
      </c>
    </row>
    <row r="175" spans="1:24" x14ac:dyDescent="0.35">
      <c r="A175" t="s">
        <v>337</v>
      </c>
      <c r="B175" t="s">
        <v>27</v>
      </c>
      <c r="C175" t="s">
        <v>1298</v>
      </c>
      <c r="D175" t="s">
        <v>3100</v>
      </c>
      <c r="E175" t="s">
        <v>21</v>
      </c>
      <c r="F175" t="s">
        <v>3101</v>
      </c>
      <c r="G175" t="s">
        <v>3102</v>
      </c>
      <c r="H175" s="1">
        <v>46169</v>
      </c>
      <c r="I175" s="6">
        <v>45417</v>
      </c>
      <c r="J175" s="6">
        <v>46339</v>
      </c>
      <c r="K175">
        <v>52</v>
      </c>
      <c r="L175">
        <v>88</v>
      </c>
      <c r="M175">
        <v>55</v>
      </c>
      <c r="N175" s="8">
        <v>6</v>
      </c>
      <c r="O175">
        <v>100</v>
      </c>
      <c r="P175">
        <v>46</v>
      </c>
      <c r="Q175" s="3">
        <v>0.15</v>
      </c>
      <c r="R175">
        <v>312</v>
      </c>
      <c r="S175">
        <v>600</v>
      </c>
      <c r="T175" t="s">
        <v>3877</v>
      </c>
      <c r="U175" t="s">
        <v>3836</v>
      </c>
      <c r="V175" s="14">
        <v>757</v>
      </c>
      <c r="W175">
        <f t="shared" si="4"/>
        <v>36</v>
      </c>
      <c r="X175">
        <f t="shared" si="5"/>
        <v>330</v>
      </c>
    </row>
    <row r="176" spans="1:24" x14ac:dyDescent="0.35">
      <c r="A176" t="s">
        <v>356</v>
      </c>
      <c r="B176" t="s">
        <v>18</v>
      </c>
      <c r="C176" t="s">
        <v>1420</v>
      </c>
      <c r="D176" t="s">
        <v>3662</v>
      </c>
      <c r="E176" t="s">
        <v>21</v>
      </c>
      <c r="F176" t="s">
        <v>3663</v>
      </c>
      <c r="G176" t="s">
        <v>3664</v>
      </c>
      <c r="H176" s="1">
        <v>46264</v>
      </c>
      <c r="I176" s="6">
        <v>45582</v>
      </c>
      <c r="J176" s="6">
        <v>46086</v>
      </c>
      <c r="K176">
        <v>44</v>
      </c>
      <c r="L176">
        <v>80</v>
      </c>
      <c r="M176">
        <v>84</v>
      </c>
      <c r="N176" s="8">
        <v>3.4</v>
      </c>
      <c r="O176">
        <v>96</v>
      </c>
      <c r="P176">
        <v>68</v>
      </c>
      <c r="Q176" s="3">
        <v>-0.31</v>
      </c>
      <c r="R176">
        <v>149.6</v>
      </c>
      <c r="S176">
        <v>326.39999999999998</v>
      </c>
      <c r="T176" t="s">
        <v>3877</v>
      </c>
      <c r="U176" t="s">
        <v>3838</v>
      </c>
      <c r="V176" s="14">
        <v>592</v>
      </c>
      <c r="W176">
        <f t="shared" si="4"/>
        <v>36</v>
      </c>
      <c r="X176">
        <f t="shared" si="5"/>
        <v>285.59999999999997</v>
      </c>
    </row>
    <row r="177" spans="1:24" x14ac:dyDescent="0.35">
      <c r="A177" t="s">
        <v>695</v>
      </c>
      <c r="B177" t="s">
        <v>65</v>
      </c>
      <c r="C177" t="s">
        <v>714</v>
      </c>
      <c r="D177" t="s">
        <v>715</v>
      </c>
      <c r="E177" t="s">
        <v>68</v>
      </c>
      <c r="F177" t="s">
        <v>716</v>
      </c>
      <c r="G177" t="s">
        <v>717</v>
      </c>
      <c r="H177" s="1">
        <v>46151</v>
      </c>
      <c r="I177" s="6">
        <v>45546</v>
      </c>
      <c r="J177" s="6">
        <v>46403</v>
      </c>
      <c r="K177">
        <v>46</v>
      </c>
      <c r="L177">
        <v>81</v>
      </c>
      <c r="M177">
        <v>47</v>
      </c>
      <c r="N177" s="8">
        <v>2.5</v>
      </c>
      <c r="O177">
        <v>48</v>
      </c>
      <c r="P177">
        <v>48</v>
      </c>
      <c r="Q177" s="3">
        <v>-1.55</v>
      </c>
      <c r="R177">
        <v>115</v>
      </c>
      <c r="S177">
        <v>120</v>
      </c>
      <c r="T177" t="s">
        <v>3877</v>
      </c>
      <c r="U177" t="s">
        <v>3836</v>
      </c>
      <c r="V177" s="14">
        <v>628</v>
      </c>
      <c r="W177">
        <f t="shared" si="4"/>
        <v>35</v>
      </c>
      <c r="X177">
        <f t="shared" si="5"/>
        <v>117.5</v>
      </c>
    </row>
    <row r="178" spans="1:24" x14ac:dyDescent="0.35">
      <c r="A178" t="s">
        <v>690</v>
      </c>
      <c r="B178" t="s">
        <v>36</v>
      </c>
      <c r="C178" t="s">
        <v>1142</v>
      </c>
      <c r="D178" t="s">
        <v>1143</v>
      </c>
      <c r="E178" t="s">
        <v>30</v>
      </c>
      <c r="F178" t="s">
        <v>1144</v>
      </c>
      <c r="G178" t="s">
        <v>1145</v>
      </c>
      <c r="H178" s="1">
        <v>46268</v>
      </c>
      <c r="I178" s="6">
        <v>45534</v>
      </c>
      <c r="J178" s="6">
        <v>46195</v>
      </c>
      <c r="K178">
        <v>43</v>
      </c>
      <c r="L178">
        <v>78</v>
      </c>
      <c r="M178">
        <v>85</v>
      </c>
      <c r="N178" s="8">
        <v>2.5</v>
      </c>
      <c r="O178">
        <v>48</v>
      </c>
      <c r="P178">
        <v>98</v>
      </c>
      <c r="Q178" s="3">
        <v>0.57999999999999996</v>
      </c>
      <c r="R178">
        <v>107.5</v>
      </c>
      <c r="S178">
        <v>120</v>
      </c>
      <c r="T178" t="s">
        <v>3877</v>
      </c>
      <c r="U178" t="s">
        <v>3837</v>
      </c>
      <c r="V178" s="14">
        <v>640</v>
      </c>
      <c r="W178">
        <f t="shared" si="4"/>
        <v>35</v>
      </c>
      <c r="X178">
        <f t="shared" si="5"/>
        <v>212.5</v>
      </c>
    </row>
    <row r="179" spans="1:24" x14ac:dyDescent="0.35">
      <c r="A179" t="s">
        <v>1234</v>
      </c>
      <c r="B179" t="s">
        <v>27</v>
      </c>
      <c r="C179" t="s">
        <v>332</v>
      </c>
      <c r="D179" t="s">
        <v>1235</v>
      </c>
      <c r="E179" t="s">
        <v>30</v>
      </c>
      <c r="F179" t="s">
        <v>1236</v>
      </c>
      <c r="G179" t="s">
        <v>1237</v>
      </c>
      <c r="H179" s="1">
        <v>46277</v>
      </c>
      <c r="I179" s="6">
        <v>45394</v>
      </c>
      <c r="J179" s="6">
        <v>46274</v>
      </c>
      <c r="K179">
        <v>20</v>
      </c>
      <c r="L179">
        <v>55</v>
      </c>
      <c r="M179">
        <v>15</v>
      </c>
      <c r="N179" s="8">
        <v>2.5</v>
      </c>
      <c r="O179">
        <v>86</v>
      </c>
      <c r="P179">
        <v>61</v>
      </c>
      <c r="Q179" s="3">
        <v>-1.03</v>
      </c>
      <c r="R179">
        <v>50</v>
      </c>
      <c r="S179">
        <v>215</v>
      </c>
      <c r="T179" t="s">
        <v>3877</v>
      </c>
      <c r="U179" t="s">
        <v>3836</v>
      </c>
      <c r="V179" s="14">
        <v>780</v>
      </c>
      <c r="W179">
        <f t="shared" si="4"/>
        <v>35</v>
      </c>
      <c r="X179">
        <f t="shared" si="5"/>
        <v>37.5</v>
      </c>
    </row>
    <row r="180" spans="1:24" x14ac:dyDescent="0.35">
      <c r="A180" t="s">
        <v>222</v>
      </c>
      <c r="B180" t="s">
        <v>65</v>
      </c>
      <c r="C180" t="s">
        <v>2572</v>
      </c>
      <c r="D180" t="s">
        <v>2573</v>
      </c>
      <c r="E180" t="s">
        <v>30</v>
      </c>
      <c r="F180" t="s">
        <v>2574</v>
      </c>
      <c r="G180" t="s">
        <v>2575</v>
      </c>
      <c r="H180" s="1">
        <v>46434</v>
      </c>
      <c r="I180" s="6">
        <v>45530</v>
      </c>
      <c r="J180" s="6">
        <v>46325</v>
      </c>
      <c r="K180">
        <v>25</v>
      </c>
      <c r="L180">
        <v>60</v>
      </c>
      <c r="M180">
        <v>36</v>
      </c>
      <c r="N180" s="8">
        <v>1.5</v>
      </c>
      <c r="O180">
        <v>31</v>
      </c>
      <c r="P180">
        <v>41</v>
      </c>
      <c r="Q180" s="3">
        <v>0.61</v>
      </c>
      <c r="R180">
        <v>37.5</v>
      </c>
      <c r="S180">
        <v>46.5</v>
      </c>
      <c r="T180" t="s">
        <v>3877</v>
      </c>
      <c r="U180" t="s">
        <v>3836</v>
      </c>
      <c r="V180" s="14">
        <v>644</v>
      </c>
      <c r="W180">
        <f t="shared" si="4"/>
        <v>35</v>
      </c>
      <c r="X180">
        <f t="shared" si="5"/>
        <v>54</v>
      </c>
    </row>
    <row r="181" spans="1:24" x14ac:dyDescent="0.35">
      <c r="A181" t="s">
        <v>154</v>
      </c>
      <c r="B181" t="s">
        <v>65</v>
      </c>
      <c r="C181" t="s">
        <v>735</v>
      </c>
      <c r="D181" t="s">
        <v>3697</v>
      </c>
      <c r="E181" t="s">
        <v>30</v>
      </c>
      <c r="F181" t="s">
        <v>3698</v>
      </c>
      <c r="G181" t="s">
        <v>3699</v>
      </c>
      <c r="H181" s="1">
        <v>46280</v>
      </c>
      <c r="I181" s="6">
        <v>45402</v>
      </c>
      <c r="J181" s="6">
        <v>46179</v>
      </c>
      <c r="K181">
        <v>41</v>
      </c>
      <c r="L181">
        <v>76</v>
      </c>
      <c r="M181">
        <v>47</v>
      </c>
      <c r="N181" s="8">
        <v>2.65</v>
      </c>
      <c r="O181">
        <v>50</v>
      </c>
      <c r="P181">
        <v>50</v>
      </c>
      <c r="Q181" s="3">
        <v>0.69</v>
      </c>
      <c r="R181">
        <v>108.64999999999999</v>
      </c>
      <c r="S181">
        <v>132.5</v>
      </c>
      <c r="T181" t="s">
        <v>3877</v>
      </c>
      <c r="U181" t="s">
        <v>3837</v>
      </c>
      <c r="V181" s="14">
        <v>772</v>
      </c>
      <c r="W181">
        <f t="shared" si="4"/>
        <v>35</v>
      </c>
      <c r="X181">
        <f t="shared" si="5"/>
        <v>124.55</v>
      </c>
    </row>
    <row r="182" spans="1:24" x14ac:dyDescent="0.35">
      <c r="A182" t="s">
        <v>96</v>
      </c>
      <c r="B182" t="s">
        <v>36</v>
      </c>
      <c r="C182" t="s">
        <v>471</v>
      </c>
      <c r="D182" t="s">
        <v>472</v>
      </c>
      <c r="E182" t="s">
        <v>30</v>
      </c>
      <c r="F182" t="s">
        <v>473</v>
      </c>
      <c r="G182" t="s">
        <v>474</v>
      </c>
      <c r="H182" s="1">
        <v>46093</v>
      </c>
      <c r="I182" s="6">
        <v>45582</v>
      </c>
      <c r="J182" s="6">
        <v>46087</v>
      </c>
      <c r="K182">
        <v>31</v>
      </c>
      <c r="L182">
        <v>65</v>
      </c>
      <c r="M182">
        <v>94</v>
      </c>
      <c r="N182" s="8">
        <v>9</v>
      </c>
      <c r="O182">
        <v>63</v>
      </c>
      <c r="P182">
        <v>7</v>
      </c>
      <c r="Q182" s="3">
        <v>-0.82</v>
      </c>
      <c r="R182">
        <v>279</v>
      </c>
      <c r="S182">
        <v>567</v>
      </c>
      <c r="T182" t="s">
        <v>3877</v>
      </c>
      <c r="U182" t="s">
        <v>3838</v>
      </c>
      <c r="V182" s="14">
        <v>592</v>
      </c>
      <c r="W182">
        <f t="shared" si="4"/>
        <v>34</v>
      </c>
      <c r="X182">
        <f t="shared" si="5"/>
        <v>846</v>
      </c>
    </row>
    <row r="183" spans="1:24" x14ac:dyDescent="0.35">
      <c r="A183" t="s">
        <v>893</v>
      </c>
      <c r="B183" t="s">
        <v>65</v>
      </c>
      <c r="C183" t="s">
        <v>229</v>
      </c>
      <c r="D183" t="s">
        <v>894</v>
      </c>
      <c r="E183" t="s">
        <v>21</v>
      </c>
      <c r="F183" t="s">
        <v>895</v>
      </c>
      <c r="G183" t="s">
        <v>896</v>
      </c>
      <c r="H183" s="1">
        <v>46185</v>
      </c>
      <c r="I183" s="6">
        <v>45457</v>
      </c>
      <c r="J183" s="6">
        <v>46279</v>
      </c>
      <c r="K183">
        <v>15</v>
      </c>
      <c r="L183">
        <v>49</v>
      </c>
      <c r="M183">
        <v>40</v>
      </c>
      <c r="N183" s="8">
        <v>4.5</v>
      </c>
      <c r="O183">
        <v>68</v>
      </c>
      <c r="P183">
        <v>74</v>
      </c>
      <c r="Q183" s="3">
        <v>0.32</v>
      </c>
      <c r="R183">
        <v>67.5</v>
      </c>
      <c r="S183">
        <v>306</v>
      </c>
      <c r="T183" t="s">
        <v>3877</v>
      </c>
      <c r="U183" t="s">
        <v>3836</v>
      </c>
      <c r="V183" s="14">
        <v>717</v>
      </c>
      <c r="W183">
        <f t="shared" si="4"/>
        <v>34</v>
      </c>
      <c r="X183">
        <f t="shared" si="5"/>
        <v>180</v>
      </c>
    </row>
    <row r="184" spans="1:24" x14ac:dyDescent="0.35">
      <c r="A184" t="s">
        <v>596</v>
      </c>
      <c r="B184" t="s">
        <v>18</v>
      </c>
      <c r="C184" t="s">
        <v>703</v>
      </c>
      <c r="D184" t="s">
        <v>912</v>
      </c>
      <c r="E184" t="s">
        <v>30</v>
      </c>
      <c r="F184" t="s">
        <v>913</v>
      </c>
      <c r="G184" t="s">
        <v>914</v>
      </c>
      <c r="H184" s="1">
        <v>46185</v>
      </c>
      <c r="I184" s="6">
        <v>45469</v>
      </c>
      <c r="J184" s="6">
        <v>46341</v>
      </c>
      <c r="K184">
        <v>45</v>
      </c>
      <c r="L184">
        <v>79</v>
      </c>
      <c r="M184">
        <v>95</v>
      </c>
      <c r="N184" s="8">
        <v>4</v>
      </c>
      <c r="O184">
        <v>84</v>
      </c>
      <c r="P184">
        <v>62</v>
      </c>
      <c r="Q184" s="3">
        <v>0.09</v>
      </c>
      <c r="R184">
        <v>180</v>
      </c>
      <c r="S184">
        <v>336</v>
      </c>
      <c r="T184" t="s">
        <v>3877</v>
      </c>
      <c r="U184" t="s">
        <v>3836</v>
      </c>
      <c r="V184" s="14">
        <v>705</v>
      </c>
      <c r="W184">
        <f t="shared" si="4"/>
        <v>34</v>
      </c>
      <c r="X184">
        <f t="shared" si="5"/>
        <v>380</v>
      </c>
    </row>
    <row r="185" spans="1:24" x14ac:dyDescent="0.35">
      <c r="A185" t="s">
        <v>408</v>
      </c>
      <c r="B185" t="s">
        <v>18</v>
      </c>
      <c r="C185" t="s">
        <v>1153</v>
      </c>
      <c r="D185" t="s">
        <v>1154</v>
      </c>
      <c r="E185" t="s">
        <v>21</v>
      </c>
      <c r="F185" t="s">
        <v>1155</v>
      </c>
      <c r="G185" t="s">
        <v>1156</v>
      </c>
      <c r="H185" s="1">
        <v>46269</v>
      </c>
      <c r="I185" s="6">
        <v>45451</v>
      </c>
      <c r="J185" s="6">
        <v>46359</v>
      </c>
      <c r="K185">
        <v>22</v>
      </c>
      <c r="L185">
        <v>56</v>
      </c>
      <c r="M185">
        <v>72</v>
      </c>
      <c r="N185" s="8">
        <v>4</v>
      </c>
      <c r="O185">
        <v>70</v>
      </c>
      <c r="P185">
        <v>39</v>
      </c>
      <c r="Q185" s="3">
        <v>0.14000000000000001</v>
      </c>
      <c r="R185">
        <v>88</v>
      </c>
      <c r="S185">
        <v>280</v>
      </c>
      <c r="T185" t="s">
        <v>3877</v>
      </c>
      <c r="U185" t="s">
        <v>3836</v>
      </c>
      <c r="V185" s="14">
        <v>723</v>
      </c>
      <c r="W185">
        <f t="shared" si="4"/>
        <v>34</v>
      </c>
      <c r="X185">
        <f t="shared" si="5"/>
        <v>288</v>
      </c>
    </row>
    <row r="186" spans="1:24" x14ac:dyDescent="0.35">
      <c r="A186" t="s">
        <v>496</v>
      </c>
      <c r="B186" t="s">
        <v>18</v>
      </c>
      <c r="C186" t="s">
        <v>1298</v>
      </c>
      <c r="D186" t="s">
        <v>1299</v>
      </c>
      <c r="E186" t="s">
        <v>68</v>
      </c>
      <c r="F186" t="s">
        <v>1300</v>
      </c>
      <c r="G186" t="s">
        <v>1301</v>
      </c>
      <c r="H186" s="1">
        <v>46302</v>
      </c>
      <c r="I186" s="6">
        <v>45467</v>
      </c>
      <c r="J186" s="6">
        <v>46305</v>
      </c>
      <c r="K186">
        <v>38</v>
      </c>
      <c r="L186">
        <v>72</v>
      </c>
      <c r="M186">
        <v>39</v>
      </c>
      <c r="N186" s="8">
        <v>5.5</v>
      </c>
      <c r="O186">
        <v>59</v>
      </c>
      <c r="P186">
        <v>8</v>
      </c>
      <c r="Q186" s="3">
        <v>-0.56000000000000005</v>
      </c>
      <c r="R186">
        <v>209</v>
      </c>
      <c r="S186">
        <v>324.5</v>
      </c>
      <c r="T186" t="s">
        <v>3877</v>
      </c>
      <c r="U186" t="s">
        <v>3836</v>
      </c>
      <c r="V186" s="14">
        <v>707</v>
      </c>
      <c r="W186">
        <f t="shared" si="4"/>
        <v>34</v>
      </c>
      <c r="X186">
        <f t="shared" si="5"/>
        <v>214.5</v>
      </c>
    </row>
    <row r="187" spans="1:24" x14ac:dyDescent="0.35">
      <c r="A187" t="s">
        <v>496</v>
      </c>
      <c r="B187" t="s">
        <v>18</v>
      </c>
      <c r="C187" t="s">
        <v>1810</v>
      </c>
      <c r="D187" t="s">
        <v>1811</v>
      </c>
      <c r="E187" t="s">
        <v>30</v>
      </c>
      <c r="F187" t="s">
        <v>1812</v>
      </c>
      <c r="G187" t="s">
        <v>1813</v>
      </c>
      <c r="H187" s="1">
        <v>46723</v>
      </c>
      <c r="I187" s="6">
        <v>45436</v>
      </c>
      <c r="J187" s="6">
        <v>46131</v>
      </c>
      <c r="K187">
        <v>54</v>
      </c>
      <c r="L187">
        <v>88</v>
      </c>
      <c r="M187">
        <v>43</v>
      </c>
      <c r="N187" s="8">
        <v>5.5</v>
      </c>
      <c r="O187">
        <v>81</v>
      </c>
      <c r="P187">
        <v>77</v>
      </c>
      <c r="Q187" s="3">
        <v>-0.44</v>
      </c>
      <c r="R187">
        <v>297</v>
      </c>
      <c r="S187">
        <v>445.5</v>
      </c>
      <c r="T187" t="s">
        <v>3877</v>
      </c>
      <c r="U187" t="s">
        <v>3838</v>
      </c>
      <c r="V187" s="14">
        <v>738</v>
      </c>
      <c r="W187">
        <f t="shared" si="4"/>
        <v>34</v>
      </c>
      <c r="X187">
        <f t="shared" si="5"/>
        <v>236.5</v>
      </c>
    </row>
    <row r="188" spans="1:24" x14ac:dyDescent="0.35">
      <c r="A188" t="s">
        <v>916</v>
      </c>
      <c r="B188" t="s">
        <v>114</v>
      </c>
      <c r="C188" t="s">
        <v>2813</v>
      </c>
      <c r="D188" t="s">
        <v>2814</v>
      </c>
      <c r="E188" t="s">
        <v>21</v>
      </c>
      <c r="F188" t="s">
        <v>2815</v>
      </c>
      <c r="G188" t="s">
        <v>2816</v>
      </c>
      <c r="H188" s="1">
        <v>46108</v>
      </c>
      <c r="I188" s="6">
        <v>45468</v>
      </c>
      <c r="J188" s="6">
        <v>46302</v>
      </c>
      <c r="K188">
        <v>28</v>
      </c>
      <c r="L188">
        <v>62</v>
      </c>
      <c r="M188">
        <v>81</v>
      </c>
      <c r="N188" s="8">
        <v>5</v>
      </c>
      <c r="O188">
        <v>28</v>
      </c>
      <c r="P188">
        <v>30</v>
      </c>
      <c r="Q188" s="3">
        <v>-0.94</v>
      </c>
      <c r="R188">
        <v>140</v>
      </c>
      <c r="S188">
        <v>140</v>
      </c>
      <c r="T188" t="s">
        <v>3877</v>
      </c>
      <c r="U188" t="s">
        <v>3836</v>
      </c>
      <c r="V188" s="14">
        <v>706</v>
      </c>
      <c r="W188">
        <f t="shared" si="4"/>
        <v>34</v>
      </c>
      <c r="X188">
        <f t="shared" si="5"/>
        <v>405</v>
      </c>
    </row>
    <row r="189" spans="1:24" x14ac:dyDescent="0.35">
      <c r="A189" t="s">
        <v>356</v>
      </c>
      <c r="B189" t="s">
        <v>18</v>
      </c>
      <c r="C189" t="s">
        <v>3595</v>
      </c>
      <c r="D189" t="s">
        <v>3596</v>
      </c>
      <c r="E189" t="s">
        <v>30</v>
      </c>
      <c r="F189" t="s">
        <v>3597</v>
      </c>
      <c r="G189" t="s">
        <v>3598</v>
      </c>
      <c r="H189" s="1">
        <v>46257</v>
      </c>
      <c r="I189" s="6">
        <v>45578</v>
      </c>
      <c r="J189" s="6">
        <v>46293</v>
      </c>
      <c r="K189">
        <v>18</v>
      </c>
      <c r="L189">
        <v>52</v>
      </c>
      <c r="M189">
        <v>22</v>
      </c>
      <c r="N189" s="8">
        <v>3.5</v>
      </c>
      <c r="O189">
        <v>42</v>
      </c>
      <c r="P189">
        <v>32</v>
      </c>
      <c r="Q189" s="3">
        <v>-0.96</v>
      </c>
      <c r="R189">
        <v>63</v>
      </c>
      <c r="S189">
        <v>147</v>
      </c>
      <c r="T189" t="s">
        <v>3877</v>
      </c>
      <c r="U189" t="s">
        <v>3836</v>
      </c>
      <c r="V189" s="14">
        <v>596</v>
      </c>
      <c r="W189">
        <f t="shared" si="4"/>
        <v>34</v>
      </c>
      <c r="X189">
        <f t="shared" si="5"/>
        <v>77</v>
      </c>
    </row>
    <row r="190" spans="1:24" x14ac:dyDescent="0.35">
      <c r="A190" t="s">
        <v>212</v>
      </c>
      <c r="B190" t="s">
        <v>75</v>
      </c>
      <c r="C190" t="s">
        <v>195</v>
      </c>
      <c r="D190" t="s">
        <v>3731</v>
      </c>
      <c r="E190" t="s">
        <v>21</v>
      </c>
      <c r="F190" t="s">
        <v>3732</v>
      </c>
      <c r="G190" t="s">
        <v>3733</v>
      </c>
      <c r="H190" s="1">
        <v>46284</v>
      </c>
      <c r="I190" s="6">
        <v>45450</v>
      </c>
      <c r="J190" s="6">
        <v>46190</v>
      </c>
      <c r="K190">
        <v>46</v>
      </c>
      <c r="L190">
        <v>80</v>
      </c>
      <c r="M190">
        <v>88</v>
      </c>
      <c r="N190" s="8">
        <v>7</v>
      </c>
      <c r="O190">
        <v>62</v>
      </c>
      <c r="P190">
        <v>22</v>
      </c>
      <c r="Q190" s="3">
        <v>0.39</v>
      </c>
      <c r="R190">
        <v>322</v>
      </c>
      <c r="S190">
        <v>434</v>
      </c>
      <c r="T190" t="s">
        <v>3877</v>
      </c>
      <c r="U190" t="s">
        <v>3837</v>
      </c>
      <c r="V190" s="14">
        <v>724</v>
      </c>
      <c r="W190">
        <f t="shared" si="4"/>
        <v>34</v>
      </c>
      <c r="X190">
        <f t="shared" si="5"/>
        <v>616</v>
      </c>
    </row>
    <row r="191" spans="1:24" x14ac:dyDescent="0.35">
      <c r="A191" t="s">
        <v>1307</v>
      </c>
      <c r="B191" t="s">
        <v>163</v>
      </c>
      <c r="C191" t="s">
        <v>963</v>
      </c>
      <c r="D191" t="s">
        <v>1308</v>
      </c>
      <c r="E191" t="s">
        <v>68</v>
      </c>
      <c r="F191" t="s">
        <v>1309</v>
      </c>
      <c r="G191" t="s">
        <v>1310</v>
      </c>
      <c r="H191" s="1">
        <v>46303</v>
      </c>
      <c r="I191" s="6">
        <v>45620</v>
      </c>
      <c r="J191" s="6">
        <v>46100</v>
      </c>
      <c r="K191">
        <v>26</v>
      </c>
      <c r="L191">
        <v>59</v>
      </c>
      <c r="M191">
        <v>54</v>
      </c>
      <c r="N191" s="8">
        <v>8</v>
      </c>
      <c r="O191">
        <v>92</v>
      </c>
      <c r="P191">
        <v>49</v>
      </c>
      <c r="Q191" s="3">
        <v>-0.56000000000000005</v>
      </c>
      <c r="R191">
        <v>208</v>
      </c>
      <c r="S191">
        <v>736</v>
      </c>
      <c r="T191" t="s">
        <v>3877</v>
      </c>
      <c r="U191" t="s">
        <v>3838</v>
      </c>
      <c r="V191" s="14">
        <v>554</v>
      </c>
      <c r="W191">
        <f t="shared" si="4"/>
        <v>33</v>
      </c>
      <c r="X191">
        <f t="shared" si="5"/>
        <v>432</v>
      </c>
    </row>
    <row r="192" spans="1:24" x14ac:dyDescent="0.35">
      <c r="A192" t="s">
        <v>527</v>
      </c>
      <c r="B192" t="s">
        <v>65</v>
      </c>
      <c r="C192" t="s">
        <v>254</v>
      </c>
      <c r="D192" t="s">
        <v>2308</v>
      </c>
      <c r="E192" t="s">
        <v>68</v>
      </c>
      <c r="F192" t="s">
        <v>2309</v>
      </c>
      <c r="G192" t="s">
        <v>2310</v>
      </c>
      <c r="H192" s="1">
        <v>46351</v>
      </c>
      <c r="I192" s="6">
        <v>45524</v>
      </c>
      <c r="J192" s="6">
        <v>46236</v>
      </c>
      <c r="K192">
        <v>64</v>
      </c>
      <c r="L192">
        <v>97</v>
      </c>
      <c r="M192">
        <v>91</v>
      </c>
      <c r="N192" s="8">
        <v>3</v>
      </c>
      <c r="O192">
        <v>48</v>
      </c>
      <c r="P192">
        <v>100</v>
      </c>
      <c r="Q192" s="3">
        <v>0.36</v>
      </c>
      <c r="R192">
        <v>192</v>
      </c>
      <c r="S192">
        <v>144</v>
      </c>
      <c r="T192" t="s">
        <v>3877</v>
      </c>
      <c r="U192" t="s">
        <v>3836</v>
      </c>
      <c r="V192" s="14">
        <v>650</v>
      </c>
      <c r="W192">
        <f t="shared" si="4"/>
        <v>33</v>
      </c>
      <c r="X192">
        <f t="shared" si="5"/>
        <v>273</v>
      </c>
    </row>
    <row r="193" spans="1:24" x14ac:dyDescent="0.35">
      <c r="A193" t="s">
        <v>170</v>
      </c>
      <c r="B193" t="s">
        <v>18</v>
      </c>
      <c r="C193" t="s">
        <v>290</v>
      </c>
      <c r="D193" t="s">
        <v>3448</v>
      </c>
      <c r="E193" t="s">
        <v>21</v>
      </c>
      <c r="F193" t="s">
        <v>3449</v>
      </c>
      <c r="G193" t="s">
        <v>3450</v>
      </c>
      <c r="H193" s="1">
        <v>46230</v>
      </c>
      <c r="I193" s="6">
        <v>45465</v>
      </c>
      <c r="J193" s="6">
        <v>46166</v>
      </c>
      <c r="K193">
        <v>44</v>
      </c>
      <c r="L193">
        <v>77</v>
      </c>
      <c r="M193">
        <v>45</v>
      </c>
      <c r="N193" s="8">
        <v>2</v>
      </c>
      <c r="O193">
        <v>89</v>
      </c>
      <c r="P193">
        <v>64</v>
      </c>
      <c r="Q193" s="3">
        <v>-0.14000000000000001</v>
      </c>
      <c r="R193">
        <v>88</v>
      </c>
      <c r="S193">
        <v>178</v>
      </c>
      <c r="T193" t="s">
        <v>3877</v>
      </c>
      <c r="U193" t="s">
        <v>3838</v>
      </c>
      <c r="V193" s="14">
        <v>709</v>
      </c>
      <c r="W193">
        <f t="shared" si="4"/>
        <v>33</v>
      </c>
      <c r="X193">
        <f t="shared" si="5"/>
        <v>90</v>
      </c>
    </row>
    <row r="194" spans="1:24" x14ac:dyDescent="0.35">
      <c r="A194" t="s">
        <v>527</v>
      </c>
      <c r="B194" t="s">
        <v>65</v>
      </c>
      <c r="C194" t="s">
        <v>2381</v>
      </c>
      <c r="D194" t="s">
        <v>3508</v>
      </c>
      <c r="E194" t="s">
        <v>21</v>
      </c>
      <c r="F194" t="s">
        <v>3509</v>
      </c>
      <c r="G194" t="s">
        <v>3510</v>
      </c>
      <c r="H194" s="1">
        <v>46248</v>
      </c>
      <c r="I194" s="6">
        <v>45692</v>
      </c>
      <c r="J194" s="6">
        <v>46332</v>
      </c>
      <c r="K194">
        <v>53</v>
      </c>
      <c r="L194">
        <v>86</v>
      </c>
      <c r="M194">
        <v>54</v>
      </c>
      <c r="N194" s="8">
        <v>3</v>
      </c>
      <c r="O194">
        <v>44</v>
      </c>
      <c r="P194">
        <v>3</v>
      </c>
      <c r="Q194" s="3">
        <v>0.83</v>
      </c>
      <c r="R194">
        <v>159</v>
      </c>
      <c r="S194">
        <v>132</v>
      </c>
      <c r="T194" t="s">
        <v>3877</v>
      </c>
      <c r="U194" t="s">
        <v>3836</v>
      </c>
      <c r="V194" s="14">
        <v>482</v>
      </c>
      <c r="W194">
        <f t="shared" ref="W194:W257" si="6">L194-K194</f>
        <v>33</v>
      </c>
      <c r="X194">
        <f t="shared" ref="X194:X257" si="7">M194*N194</f>
        <v>162</v>
      </c>
    </row>
    <row r="195" spans="1:24" x14ac:dyDescent="0.35">
      <c r="A195" t="s">
        <v>162</v>
      </c>
      <c r="B195" t="s">
        <v>163</v>
      </c>
      <c r="C195" t="s">
        <v>164</v>
      </c>
      <c r="D195" t="s">
        <v>165</v>
      </c>
      <c r="E195" t="s">
        <v>21</v>
      </c>
      <c r="F195" t="s">
        <v>166</v>
      </c>
      <c r="G195" t="s">
        <v>167</v>
      </c>
      <c r="H195" s="1">
        <v>46033</v>
      </c>
      <c r="I195" s="6">
        <v>45441</v>
      </c>
      <c r="J195" s="6">
        <v>46150</v>
      </c>
      <c r="K195">
        <v>45</v>
      </c>
      <c r="L195">
        <v>77</v>
      </c>
      <c r="M195">
        <v>2</v>
      </c>
      <c r="N195" s="8">
        <v>20</v>
      </c>
      <c r="O195">
        <v>85</v>
      </c>
      <c r="P195">
        <v>1</v>
      </c>
      <c r="Q195" s="2">
        <v>2.5499999999999998E-2</v>
      </c>
      <c r="R195">
        <v>900</v>
      </c>
      <c r="S195">
        <v>1700</v>
      </c>
      <c r="T195" t="s">
        <v>3877</v>
      </c>
      <c r="U195" t="s">
        <v>3838</v>
      </c>
      <c r="V195" s="14">
        <v>733</v>
      </c>
      <c r="W195">
        <f t="shared" si="6"/>
        <v>32</v>
      </c>
      <c r="X195">
        <f t="shared" si="7"/>
        <v>40</v>
      </c>
    </row>
    <row r="196" spans="1:24" x14ac:dyDescent="0.35">
      <c r="A196" t="s">
        <v>43</v>
      </c>
      <c r="B196" t="s">
        <v>18</v>
      </c>
      <c r="C196" t="s">
        <v>460</v>
      </c>
      <c r="D196" t="s">
        <v>461</v>
      </c>
      <c r="E196" t="s">
        <v>68</v>
      </c>
      <c r="F196" t="s">
        <v>462</v>
      </c>
      <c r="G196" t="s">
        <v>463</v>
      </c>
      <c r="H196" s="1">
        <v>46092</v>
      </c>
      <c r="I196" s="6">
        <v>45534</v>
      </c>
      <c r="J196" s="6">
        <v>46437</v>
      </c>
      <c r="K196">
        <v>18</v>
      </c>
      <c r="L196">
        <v>50</v>
      </c>
      <c r="M196">
        <v>77</v>
      </c>
      <c r="N196" s="8">
        <v>1.45</v>
      </c>
      <c r="O196">
        <v>44</v>
      </c>
      <c r="P196">
        <v>19</v>
      </c>
      <c r="Q196" s="3">
        <v>0.91</v>
      </c>
      <c r="R196">
        <v>26.099999999999998</v>
      </c>
      <c r="S196">
        <v>63.8</v>
      </c>
      <c r="T196" t="s">
        <v>3877</v>
      </c>
      <c r="U196" t="s">
        <v>3836</v>
      </c>
      <c r="V196" s="14">
        <v>640</v>
      </c>
      <c r="W196">
        <f t="shared" si="6"/>
        <v>32</v>
      </c>
      <c r="X196">
        <f t="shared" si="7"/>
        <v>111.64999999999999</v>
      </c>
    </row>
    <row r="197" spans="1:24" x14ac:dyDescent="0.35">
      <c r="A197" t="s">
        <v>1341</v>
      </c>
      <c r="B197" t="s">
        <v>18</v>
      </c>
      <c r="C197" t="s">
        <v>1275</v>
      </c>
      <c r="D197" t="s">
        <v>2145</v>
      </c>
      <c r="E197" t="s">
        <v>68</v>
      </c>
      <c r="F197" t="s">
        <v>2146</v>
      </c>
      <c r="G197" t="s">
        <v>2147</v>
      </c>
      <c r="H197" s="1">
        <v>46322</v>
      </c>
      <c r="I197" s="6">
        <v>45472</v>
      </c>
      <c r="J197" s="6">
        <v>46372</v>
      </c>
      <c r="K197">
        <v>59</v>
      </c>
      <c r="L197">
        <v>91</v>
      </c>
      <c r="M197">
        <v>24</v>
      </c>
      <c r="N197" s="8">
        <v>2.5</v>
      </c>
      <c r="O197">
        <v>54</v>
      </c>
      <c r="P197">
        <v>87</v>
      </c>
      <c r="Q197" s="3">
        <v>0</v>
      </c>
      <c r="R197">
        <v>147.5</v>
      </c>
      <c r="S197">
        <v>135</v>
      </c>
      <c r="T197" t="s">
        <v>3877</v>
      </c>
      <c r="U197" t="s">
        <v>3836</v>
      </c>
      <c r="V197" s="14">
        <v>702</v>
      </c>
      <c r="W197">
        <f t="shared" si="6"/>
        <v>32</v>
      </c>
      <c r="X197">
        <f t="shared" si="7"/>
        <v>60</v>
      </c>
    </row>
    <row r="198" spans="1:24" x14ac:dyDescent="0.35">
      <c r="A198" t="s">
        <v>741</v>
      </c>
      <c r="B198" t="s">
        <v>27</v>
      </c>
      <c r="C198" t="s">
        <v>1377</v>
      </c>
      <c r="D198" t="s">
        <v>2327</v>
      </c>
      <c r="E198" t="s">
        <v>21</v>
      </c>
      <c r="F198" t="s">
        <v>2328</v>
      </c>
      <c r="G198" t="s">
        <v>2329</v>
      </c>
      <c r="H198" s="1">
        <v>46352</v>
      </c>
      <c r="I198" s="6">
        <v>45519</v>
      </c>
      <c r="J198" s="6">
        <v>46120</v>
      </c>
      <c r="K198">
        <v>54</v>
      </c>
      <c r="L198">
        <v>86</v>
      </c>
      <c r="M198">
        <v>69</v>
      </c>
      <c r="N198" s="8">
        <v>5</v>
      </c>
      <c r="O198">
        <v>29</v>
      </c>
      <c r="P198">
        <v>8</v>
      </c>
      <c r="Q198" s="3">
        <v>-0.09</v>
      </c>
      <c r="R198">
        <v>270</v>
      </c>
      <c r="S198">
        <v>145</v>
      </c>
      <c r="T198" t="s">
        <v>3877</v>
      </c>
      <c r="U198" t="s">
        <v>3838</v>
      </c>
      <c r="V198" s="14">
        <v>655</v>
      </c>
      <c r="W198">
        <f t="shared" si="6"/>
        <v>32</v>
      </c>
      <c r="X198">
        <f t="shared" si="7"/>
        <v>345</v>
      </c>
    </row>
    <row r="199" spans="1:24" x14ac:dyDescent="0.35">
      <c r="A199" t="s">
        <v>356</v>
      </c>
      <c r="B199" t="s">
        <v>18</v>
      </c>
      <c r="C199" t="s">
        <v>357</v>
      </c>
      <c r="D199" t="s">
        <v>358</v>
      </c>
      <c r="E199" t="s">
        <v>68</v>
      </c>
      <c r="F199" t="s">
        <v>359</v>
      </c>
      <c r="G199" t="s">
        <v>360</v>
      </c>
      <c r="H199" s="1">
        <v>46085</v>
      </c>
      <c r="I199" s="6">
        <v>45681</v>
      </c>
      <c r="J199" s="6">
        <v>46430</v>
      </c>
      <c r="K199">
        <v>20</v>
      </c>
      <c r="L199">
        <v>51</v>
      </c>
      <c r="M199">
        <v>33</v>
      </c>
      <c r="N199" s="8">
        <v>3.5</v>
      </c>
      <c r="O199">
        <v>80</v>
      </c>
      <c r="P199">
        <v>41</v>
      </c>
      <c r="Q199" s="3">
        <v>0.01</v>
      </c>
      <c r="R199">
        <v>70</v>
      </c>
      <c r="S199">
        <v>280</v>
      </c>
      <c r="T199" t="s">
        <v>3877</v>
      </c>
      <c r="U199" t="s">
        <v>3836</v>
      </c>
      <c r="V199" s="14">
        <v>493</v>
      </c>
      <c r="W199">
        <f t="shared" si="6"/>
        <v>31</v>
      </c>
      <c r="X199">
        <f t="shared" si="7"/>
        <v>115.5</v>
      </c>
    </row>
    <row r="200" spans="1:24" x14ac:dyDescent="0.35">
      <c r="A200" t="s">
        <v>331</v>
      </c>
      <c r="B200" t="s">
        <v>27</v>
      </c>
      <c r="C200" t="s">
        <v>404</v>
      </c>
      <c r="D200" t="s">
        <v>405</v>
      </c>
      <c r="E200" t="s">
        <v>30</v>
      </c>
      <c r="F200" t="s">
        <v>406</v>
      </c>
      <c r="G200" t="s">
        <v>407</v>
      </c>
      <c r="H200" s="1">
        <v>46087</v>
      </c>
      <c r="I200" s="6">
        <v>45600</v>
      </c>
      <c r="J200" s="6">
        <v>46388</v>
      </c>
      <c r="K200">
        <v>21</v>
      </c>
      <c r="L200">
        <v>52</v>
      </c>
      <c r="M200">
        <v>80</v>
      </c>
      <c r="N200" s="8">
        <v>4</v>
      </c>
      <c r="O200">
        <v>49</v>
      </c>
      <c r="P200">
        <v>37</v>
      </c>
      <c r="Q200" s="3">
        <v>0.39</v>
      </c>
      <c r="R200">
        <v>84</v>
      </c>
      <c r="S200">
        <v>196</v>
      </c>
      <c r="T200" t="s">
        <v>3877</v>
      </c>
      <c r="U200" t="s">
        <v>3836</v>
      </c>
      <c r="V200" s="14">
        <v>574</v>
      </c>
      <c r="W200">
        <f t="shared" si="6"/>
        <v>31</v>
      </c>
      <c r="X200">
        <f t="shared" si="7"/>
        <v>320</v>
      </c>
    </row>
    <row r="201" spans="1:24" x14ac:dyDescent="0.35">
      <c r="A201" t="s">
        <v>177</v>
      </c>
      <c r="B201" t="s">
        <v>18</v>
      </c>
      <c r="C201" t="s">
        <v>1395</v>
      </c>
      <c r="D201" t="s">
        <v>2247</v>
      </c>
      <c r="E201" t="s">
        <v>21</v>
      </c>
      <c r="F201" t="s">
        <v>2248</v>
      </c>
      <c r="G201" t="s">
        <v>2249</v>
      </c>
      <c r="H201" s="1">
        <v>46343</v>
      </c>
      <c r="I201" s="6">
        <v>45498</v>
      </c>
      <c r="J201" s="6">
        <v>46335</v>
      </c>
      <c r="K201">
        <v>32</v>
      </c>
      <c r="L201">
        <v>63</v>
      </c>
      <c r="M201">
        <v>92</v>
      </c>
      <c r="N201" s="8">
        <v>4.9000000000000004</v>
      </c>
      <c r="O201">
        <v>84</v>
      </c>
      <c r="P201">
        <v>34</v>
      </c>
      <c r="Q201" s="3">
        <v>-0.14000000000000001</v>
      </c>
      <c r="R201">
        <v>156.80000000000001</v>
      </c>
      <c r="S201">
        <v>411.6</v>
      </c>
      <c r="T201" t="s">
        <v>3877</v>
      </c>
      <c r="U201" t="s">
        <v>3836</v>
      </c>
      <c r="V201" s="14">
        <v>676</v>
      </c>
      <c r="W201">
        <f t="shared" si="6"/>
        <v>31</v>
      </c>
      <c r="X201">
        <f t="shared" si="7"/>
        <v>450.8</v>
      </c>
    </row>
    <row r="202" spans="1:24" x14ac:dyDescent="0.35">
      <c r="A202" t="s">
        <v>350</v>
      </c>
      <c r="B202" t="s">
        <v>36</v>
      </c>
      <c r="C202" t="s">
        <v>2381</v>
      </c>
      <c r="D202" t="s">
        <v>2382</v>
      </c>
      <c r="E202" t="s">
        <v>21</v>
      </c>
      <c r="F202" t="s">
        <v>2383</v>
      </c>
      <c r="G202" t="s">
        <v>2384</v>
      </c>
      <c r="H202" s="1">
        <v>46370</v>
      </c>
      <c r="I202" s="6">
        <v>45625</v>
      </c>
      <c r="J202" s="6">
        <v>46236</v>
      </c>
      <c r="K202">
        <v>44</v>
      </c>
      <c r="L202">
        <v>75</v>
      </c>
      <c r="M202">
        <v>72</v>
      </c>
      <c r="N202" s="8">
        <v>1</v>
      </c>
      <c r="O202">
        <v>96</v>
      </c>
      <c r="P202">
        <v>38</v>
      </c>
      <c r="Q202" s="3">
        <v>-0.87</v>
      </c>
      <c r="R202">
        <v>44</v>
      </c>
      <c r="S202">
        <v>96</v>
      </c>
      <c r="T202" t="s">
        <v>3877</v>
      </c>
      <c r="U202" t="s">
        <v>3836</v>
      </c>
      <c r="V202" s="14">
        <v>549</v>
      </c>
      <c r="W202">
        <f t="shared" si="6"/>
        <v>31</v>
      </c>
      <c r="X202">
        <f t="shared" si="7"/>
        <v>72</v>
      </c>
    </row>
    <row r="203" spans="1:24" x14ac:dyDescent="0.35">
      <c r="A203" t="s">
        <v>64</v>
      </c>
      <c r="B203" t="s">
        <v>65</v>
      </c>
      <c r="C203" t="s">
        <v>630</v>
      </c>
      <c r="D203" t="s">
        <v>2735</v>
      </c>
      <c r="E203" t="s">
        <v>30</v>
      </c>
      <c r="F203" t="s">
        <v>2736</v>
      </c>
      <c r="G203" t="s">
        <v>2737</v>
      </c>
      <c r="H203" s="1">
        <v>46100</v>
      </c>
      <c r="I203" s="6">
        <v>45501</v>
      </c>
      <c r="J203" s="6">
        <v>46191</v>
      </c>
      <c r="K203">
        <v>20</v>
      </c>
      <c r="L203">
        <v>51</v>
      </c>
      <c r="M203">
        <v>21</v>
      </c>
      <c r="N203" s="8">
        <v>5</v>
      </c>
      <c r="O203">
        <v>71</v>
      </c>
      <c r="P203">
        <v>26</v>
      </c>
      <c r="Q203" s="3">
        <v>-2.0499999999999998</v>
      </c>
      <c r="R203">
        <v>100</v>
      </c>
      <c r="S203">
        <v>355</v>
      </c>
      <c r="T203" t="s">
        <v>3877</v>
      </c>
      <c r="U203" t="s">
        <v>3837</v>
      </c>
      <c r="V203" s="14">
        <v>673</v>
      </c>
      <c r="W203">
        <f t="shared" si="6"/>
        <v>31</v>
      </c>
      <c r="X203">
        <f t="shared" si="7"/>
        <v>105</v>
      </c>
    </row>
    <row r="204" spans="1:24" x14ac:dyDescent="0.35">
      <c r="A204" t="s">
        <v>1021</v>
      </c>
      <c r="B204" t="s">
        <v>36</v>
      </c>
      <c r="C204" t="s">
        <v>846</v>
      </c>
      <c r="D204" t="s">
        <v>2937</v>
      </c>
      <c r="E204" t="s">
        <v>30</v>
      </c>
      <c r="F204" t="s">
        <v>2938</v>
      </c>
      <c r="G204" t="s">
        <v>2939</v>
      </c>
      <c r="H204" s="1">
        <v>46134</v>
      </c>
      <c r="I204" s="6">
        <v>45535</v>
      </c>
      <c r="J204" s="6">
        <v>46363</v>
      </c>
      <c r="K204">
        <v>67</v>
      </c>
      <c r="L204">
        <v>98</v>
      </c>
      <c r="M204">
        <v>92</v>
      </c>
      <c r="N204" s="8">
        <v>5</v>
      </c>
      <c r="O204">
        <v>35</v>
      </c>
      <c r="P204">
        <v>98</v>
      </c>
      <c r="Q204" s="3">
        <v>-0.61</v>
      </c>
      <c r="R204">
        <v>335</v>
      </c>
      <c r="S204">
        <v>175</v>
      </c>
      <c r="T204" t="s">
        <v>3877</v>
      </c>
      <c r="U204" t="s">
        <v>3836</v>
      </c>
      <c r="V204" s="14">
        <v>639</v>
      </c>
      <c r="W204">
        <f t="shared" si="6"/>
        <v>31</v>
      </c>
      <c r="X204">
        <f t="shared" si="7"/>
        <v>460</v>
      </c>
    </row>
    <row r="205" spans="1:24" x14ac:dyDescent="0.35">
      <c r="A205" t="s">
        <v>177</v>
      </c>
      <c r="B205" t="s">
        <v>18</v>
      </c>
      <c r="C205" t="s">
        <v>2960</v>
      </c>
      <c r="D205" t="s">
        <v>2961</v>
      </c>
      <c r="E205" t="s">
        <v>21</v>
      </c>
      <c r="F205" t="s">
        <v>2962</v>
      </c>
      <c r="G205" t="s">
        <v>2963</v>
      </c>
      <c r="H205" s="1">
        <v>46138</v>
      </c>
      <c r="I205" s="6">
        <v>45712</v>
      </c>
      <c r="J205" s="6">
        <v>46351</v>
      </c>
      <c r="K205">
        <v>24</v>
      </c>
      <c r="L205">
        <v>55</v>
      </c>
      <c r="M205">
        <v>51</v>
      </c>
      <c r="N205" s="8">
        <v>5</v>
      </c>
      <c r="O205">
        <v>39</v>
      </c>
      <c r="P205">
        <v>15</v>
      </c>
      <c r="Q205" s="3">
        <v>0.57999999999999996</v>
      </c>
      <c r="R205">
        <v>120</v>
      </c>
      <c r="S205">
        <v>195</v>
      </c>
      <c r="T205" t="s">
        <v>3877</v>
      </c>
      <c r="U205" t="s">
        <v>3836</v>
      </c>
      <c r="V205" s="14">
        <v>462</v>
      </c>
      <c r="W205">
        <f t="shared" si="6"/>
        <v>31</v>
      </c>
      <c r="X205">
        <f t="shared" si="7"/>
        <v>255</v>
      </c>
    </row>
    <row r="206" spans="1:24" x14ac:dyDescent="0.35">
      <c r="A206" t="s">
        <v>142</v>
      </c>
      <c r="B206" t="s">
        <v>36</v>
      </c>
      <c r="C206" t="s">
        <v>3032</v>
      </c>
      <c r="D206" t="s">
        <v>3084</v>
      </c>
      <c r="E206" t="s">
        <v>21</v>
      </c>
      <c r="F206" t="s">
        <v>3085</v>
      </c>
      <c r="G206" t="s">
        <v>3086</v>
      </c>
      <c r="H206" s="1">
        <v>46166</v>
      </c>
      <c r="I206" s="6">
        <v>45526</v>
      </c>
      <c r="J206" s="6">
        <v>46159</v>
      </c>
      <c r="K206">
        <v>64</v>
      </c>
      <c r="L206">
        <v>95</v>
      </c>
      <c r="M206">
        <v>62</v>
      </c>
      <c r="N206" s="8">
        <v>6</v>
      </c>
      <c r="O206">
        <v>55</v>
      </c>
      <c r="P206">
        <v>1</v>
      </c>
      <c r="Q206" s="3">
        <v>-0.3</v>
      </c>
      <c r="R206">
        <v>384</v>
      </c>
      <c r="S206">
        <v>330</v>
      </c>
      <c r="T206" t="s">
        <v>3877</v>
      </c>
      <c r="U206" t="s">
        <v>3838</v>
      </c>
      <c r="V206" s="14">
        <v>648</v>
      </c>
      <c r="W206">
        <f t="shared" si="6"/>
        <v>31</v>
      </c>
      <c r="X206">
        <f t="shared" si="7"/>
        <v>372</v>
      </c>
    </row>
    <row r="207" spans="1:24" x14ac:dyDescent="0.35">
      <c r="A207" t="s">
        <v>975</v>
      </c>
      <c r="B207" t="s">
        <v>18</v>
      </c>
      <c r="C207" t="s">
        <v>1217</v>
      </c>
      <c r="D207" t="s">
        <v>1251</v>
      </c>
      <c r="E207" t="s">
        <v>68</v>
      </c>
      <c r="F207" t="s">
        <v>1252</v>
      </c>
      <c r="G207" t="s">
        <v>1253</v>
      </c>
      <c r="H207" s="1">
        <v>46298</v>
      </c>
      <c r="I207" s="6">
        <v>45482</v>
      </c>
      <c r="J207" s="6">
        <v>46251</v>
      </c>
      <c r="K207">
        <v>31</v>
      </c>
      <c r="L207">
        <v>61</v>
      </c>
      <c r="M207">
        <v>28</v>
      </c>
      <c r="N207" s="8">
        <v>2.1</v>
      </c>
      <c r="O207">
        <v>55</v>
      </c>
      <c r="P207">
        <v>70</v>
      </c>
      <c r="Q207" s="3">
        <v>0.9</v>
      </c>
      <c r="R207">
        <v>65.100000000000009</v>
      </c>
      <c r="S207">
        <v>115.5</v>
      </c>
      <c r="T207" t="s">
        <v>3877</v>
      </c>
      <c r="U207" t="s">
        <v>3836</v>
      </c>
      <c r="V207" s="14">
        <v>692</v>
      </c>
      <c r="W207">
        <f t="shared" si="6"/>
        <v>30</v>
      </c>
      <c r="X207">
        <f t="shared" si="7"/>
        <v>58.800000000000004</v>
      </c>
    </row>
    <row r="208" spans="1:24" x14ac:dyDescent="0.35">
      <c r="A208" t="s">
        <v>842</v>
      </c>
      <c r="B208" t="s">
        <v>75</v>
      </c>
      <c r="C208" t="s">
        <v>115</v>
      </c>
      <c r="D208" t="s">
        <v>1735</v>
      </c>
      <c r="E208" t="s">
        <v>68</v>
      </c>
      <c r="F208" t="s">
        <v>1736</v>
      </c>
      <c r="G208" t="s">
        <v>1737</v>
      </c>
      <c r="H208" s="1">
        <v>46600</v>
      </c>
      <c r="I208" s="6">
        <v>45531</v>
      </c>
      <c r="J208" s="6">
        <v>46182</v>
      </c>
      <c r="K208">
        <v>61</v>
      </c>
      <c r="L208">
        <v>91</v>
      </c>
      <c r="M208">
        <v>40</v>
      </c>
      <c r="N208" s="8">
        <v>9</v>
      </c>
      <c r="O208">
        <v>34</v>
      </c>
      <c r="P208">
        <v>76</v>
      </c>
      <c r="Q208" s="3">
        <v>0.89</v>
      </c>
      <c r="R208">
        <v>549</v>
      </c>
      <c r="S208">
        <v>306</v>
      </c>
      <c r="T208" t="s">
        <v>3877</v>
      </c>
      <c r="U208" t="s">
        <v>3837</v>
      </c>
      <c r="V208" s="14">
        <v>643</v>
      </c>
      <c r="W208">
        <f t="shared" si="6"/>
        <v>30</v>
      </c>
      <c r="X208">
        <f t="shared" si="7"/>
        <v>360</v>
      </c>
    </row>
    <row r="209" spans="1:24" x14ac:dyDescent="0.35">
      <c r="A209" t="s">
        <v>527</v>
      </c>
      <c r="B209" t="s">
        <v>65</v>
      </c>
      <c r="C209" t="s">
        <v>1889</v>
      </c>
      <c r="D209" t="s">
        <v>1890</v>
      </c>
      <c r="E209" t="s">
        <v>21</v>
      </c>
      <c r="F209" t="s">
        <v>1891</v>
      </c>
      <c r="G209" t="s">
        <v>1892</v>
      </c>
      <c r="H209" s="1">
        <v>46408</v>
      </c>
      <c r="I209" s="6">
        <v>45371</v>
      </c>
      <c r="J209" s="6">
        <v>46258</v>
      </c>
      <c r="K209">
        <v>60</v>
      </c>
      <c r="L209">
        <v>90</v>
      </c>
      <c r="M209">
        <v>85</v>
      </c>
      <c r="N209" s="8">
        <v>3</v>
      </c>
      <c r="O209">
        <v>47</v>
      </c>
      <c r="P209">
        <v>9</v>
      </c>
      <c r="Q209" s="3">
        <v>0.45</v>
      </c>
      <c r="R209">
        <v>180</v>
      </c>
      <c r="S209">
        <v>141</v>
      </c>
      <c r="T209" t="s">
        <v>3877</v>
      </c>
      <c r="U209" t="s">
        <v>3836</v>
      </c>
      <c r="V209" s="14">
        <v>803</v>
      </c>
      <c r="W209">
        <f t="shared" si="6"/>
        <v>30</v>
      </c>
      <c r="X209">
        <f t="shared" si="7"/>
        <v>255</v>
      </c>
    </row>
    <row r="210" spans="1:24" x14ac:dyDescent="0.35">
      <c r="A210" t="s">
        <v>1030</v>
      </c>
      <c r="B210" t="s">
        <v>114</v>
      </c>
      <c r="C210" t="s">
        <v>751</v>
      </c>
      <c r="D210" t="s">
        <v>2875</v>
      </c>
      <c r="E210" t="s">
        <v>30</v>
      </c>
      <c r="F210" t="s">
        <v>2876</v>
      </c>
      <c r="G210" t="s">
        <v>2877</v>
      </c>
      <c r="H210" s="1">
        <v>46127</v>
      </c>
      <c r="I210" s="6">
        <v>45411</v>
      </c>
      <c r="J210" s="6">
        <v>46121</v>
      </c>
      <c r="K210">
        <v>56</v>
      </c>
      <c r="L210">
        <v>86</v>
      </c>
      <c r="M210">
        <v>23</v>
      </c>
      <c r="N210" s="8">
        <v>3.2</v>
      </c>
      <c r="O210">
        <v>67</v>
      </c>
      <c r="P210">
        <v>56</v>
      </c>
      <c r="Q210" s="3">
        <v>0.63</v>
      </c>
      <c r="R210">
        <v>179.20000000000002</v>
      </c>
      <c r="S210">
        <v>214.4</v>
      </c>
      <c r="T210" t="s">
        <v>3877</v>
      </c>
      <c r="U210" t="s">
        <v>3838</v>
      </c>
      <c r="V210" s="14">
        <v>763</v>
      </c>
      <c r="W210">
        <f t="shared" si="6"/>
        <v>30</v>
      </c>
      <c r="X210">
        <f t="shared" si="7"/>
        <v>73.600000000000009</v>
      </c>
    </row>
    <row r="211" spans="1:24" x14ac:dyDescent="0.35">
      <c r="A211" t="s">
        <v>270</v>
      </c>
      <c r="B211" t="s">
        <v>36</v>
      </c>
      <c r="C211" t="s">
        <v>1360</v>
      </c>
      <c r="D211" t="s">
        <v>3463</v>
      </c>
      <c r="E211" t="s">
        <v>68</v>
      </c>
      <c r="F211" t="s">
        <v>3464</v>
      </c>
      <c r="G211" t="s">
        <v>3465</v>
      </c>
      <c r="H211" s="1">
        <v>46231</v>
      </c>
      <c r="I211" s="6">
        <v>45542</v>
      </c>
      <c r="J211" s="6">
        <v>46260</v>
      </c>
      <c r="K211">
        <v>43</v>
      </c>
      <c r="L211">
        <v>73</v>
      </c>
      <c r="M211">
        <v>14</v>
      </c>
      <c r="N211" s="8">
        <v>4</v>
      </c>
      <c r="O211">
        <v>59</v>
      </c>
      <c r="P211">
        <v>65</v>
      </c>
      <c r="Q211" s="3">
        <v>0.82</v>
      </c>
      <c r="R211">
        <v>172</v>
      </c>
      <c r="S211">
        <v>236</v>
      </c>
      <c r="T211" t="s">
        <v>3877</v>
      </c>
      <c r="U211" t="s">
        <v>3836</v>
      </c>
      <c r="V211" s="14">
        <v>632</v>
      </c>
      <c r="W211">
        <f t="shared" si="6"/>
        <v>30</v>
      </c>
      <c r="X211">
        <f t="shared" si="7"/>
        <v>56</v>
      </c>
    </row>
    <row r="212" spans="1:24" x14ac:dyDescent="0.35">
      <c r="A212" t="s">
        <v>35</v>
      </c>
      <c r="B212" t="s">
        <v>36</v>
      </c>
      <c r="C212" t="s">
        <v>37</v>
      </c>
      <c r="D212" t="s">
        <v>38</v>
      </c>
      <c r="E212" t="s">
        <v>21</v>
      </c>
      <c r="F212" t="s">
        <v>39</v>
      </c>
      <c r="G212" t="s">
        <v>40</v>
      </c>
      <c r="H212" s="1">
        <v>46026</v>
      </c>
      <c r="I212" s="6">
        <v>45647</v>
      </c>
      <c r="J212" s="6">
        <v>46120</v>
      </c>
      <c r="K212">
        <v>38</v>
      </c>
      <c r="L212">
        <v>67</v>
      </c>
      <c r="M212">
        <v>66</v>
      </c>
      <c r="N212" s="8">
        <v>12</v>
      </c>
      <c r="O212">
        <v>35</v>
      </c>
      <c r="P212">
        <v>24</v>
      </c>
      <c r="Q212" s="2">
        <v>1.3599999999999999E-2</v>
      </c>
      <c r="R212">
        <v>456</v>
      </c>
      <c r="S212">
        <v>420</v>
      </c>
      <c r="T212" t="s">
        <v>3877</v>
      </c>
      <c r="U212" t="s">
        <v>3838</v>
      </c>
      <c r="V212" s="14">
        <v>527</v>
      </c>
      <c r="W212">
        <f t="shared" si="6"/>
        <v>29</v>
      </c>
      <c r="X212">
        <f t="shared" si="7"/>
        <v>792</v>
      </c>
    </row>
    <row r="213" spans="1:24" x14ac:dyDescent="0.35">
      <c r="A213" t="s">
        <v>734</v>
      </c>
      <c r="B213" t="s">
        <v>163</v>
      </c>
      <c r="C213" t="s">
        <v>1950</v>
      </c>
      <c r="D213" t="s">
        <v>1951</v>
      </c>
      <c r="E213" t="s">
        <v>30</v>
      </c>
      <c r="F213" t="s">
        <v>1952</v>
      </c>
      <c r="G213" t="s">
        <v>1953</v>
      </c>
      <c r="H213" s="1">
        <v>46415</v>
      </c>
      <c r="I213" s="6">
        <v>45570</v>
      </c>
      <c r="J213" s="6">
        <v>46363</v>
      </c>
      <c r="K213">
        <v>48</v>
      </c>
      <c r="L213">
        <v>77</v>
      </c>
      <c r="M213">
        <v>81</v>
      </c>
      <c r="N213" s="8">
        <v>31</v>
      </c>
      <c r="O213">
        <v>70</v>
      </c>
      <c r="P213">
        <v>74</v>
      </c>
      <c r="Q213" s="3">
        <v>0.94</v>
      </c>
      <c r="R213">
        <v>1488</v>
      </c>
      <c r="S213">
        <v>2170</v>
      </c>
      <c r="T213" t="s">
        <v>3877</v>
      </c>
      <c r="U213" t="s">
        <v>3836</v>
      </c>
      <c r="V213" s="14">
        <v>604</v>
      </c>
      <c r="W213">
        <f t="shared" si="6"/>
        <v>29</v>
      </c>
      <c r="X213">
        <f t="shared" si="7"/>
        <v>2511</v>
      </c>
    </row>
    <row r="214" spans="1:24" x14ac:dyDescent="0.35">
      <c r="A214" t="s">
        <v>750</v>
      </c>
      <c r="B214" t="s">
        <v>36</v>
      </c>
      <c r="C214" t="s">
        <v>2182</v>
      </c>
      <c r="D214" t="s">
        <v>2183</v>
      </c>
      <c r="E214" t="s">
        <v>21</v>
      </c>
      <c r="F214" t="s">
        <v>2184</v>
      </c>
      <c r="G214" t="s">
        <v>2185</v>
      </c>
      <c r="H214" s="1">
        <v>46324</v>
      </c>
      <c r="I214" s="6">
        <v>45391</v>
      </c>
      <c r="J214" s="6">
        <v>46174</v>
      </c>
      <c r="K214">
        <v>69</v>
      </c>
      <c r="L214">
        <v>98</v>
      </c>
      <c r="M214">
        <v>89</v>
      </c>
      <c r="N214" s="8">
        <v>2.5499999999999998</v>
      </c>
      <c r="O214">
        <v>29</v>
      </c>
      <c r="P214">
        <v>34</v>
      </c>
      <c r="Q214" s="3">
        <v>-0.65</v>
      </c>
      <c r="R214">
        <v>175.95</v>
      </c>
      <c r="S214">
        <v>73.949999999999989</v>
      </c>
      <c r="T214" t="s">
        <v>3877</v>
      </c>
      <c r="U214" t="s">
        <v>3837</v>
      </c>
      <c r="V214" s="14">
        <v>783</v>
      </c>
      <c r="W214">
        <f t="shared" si="6"/>
        <v>29</v>
      </c>
      <c r="X214">
        <f t="shared" si="7"/>
        <v>226.95</v>
      </c>
    </row>
    <row r="215" spans="1:24" x14ac:dyDescent="0.35">
      <c r="A215" t="s">
        <v>1341</v>
      </c>
      <c r="B215" t="s">
        <v>18</v>
      </c>
      <c r="C215" t="s">
        <v>641</v>
      </c>
      <c r="D215" t="s">
        <v>2441</v>
      </c>
      <c r="E215" t="s">
        <v>21</v>
      </c>
      <c r="F215" t="s">
        <v>2442</v>
      </c>
      <c r="G215" t="s">
        <v>2443</v>
      </c>
      <c r="H215" s="1">
        <v>46378</v>
      </c>
      <c r="I215" s="6">
        <v>45542</v>
      </c>
      <c r="J215" s="6">
        <v>46284</v>
      </c>
      <c r="K215">
        <v>61</v>
      </c>
      <c r="L215">
        <v>90</v>
      </c>
      <c r="M215">
        <v>26</v>
      </c>
      <c r="N215" s="8">
        <v>2.5</v>
      </c>
      <c r="O215">
        <v>79</v>
      </c>
      <c r="P215">
        <v>84</v>
      </c>
      <c r="Q215" s="3">
        <v>-1.7</v>
      </c>
      <c r="R215">
        <v>152.5</v>
      </c>
      <c r="S215">
        <v>197.5</v>
      </c>
      <c r="T215" t="s">
        <v>3877</v>
      </c>
      <c r="U215" t="s">
        <v>3836</v>
      </c>
      <c r="V215" s="14">
        <v>632</v>
      </c>
      <c r="W215">
        <f t="shared" si="6"/>
        <v>29</v>
      </c>
      <c r="X215">
        <f t="shared" si="7"/>
        <v>65</v>
      </c>
    </row>
    <row r="216" spans="1:24" x14ac:dyDescent="0.35">
      <c r="A216" t="s">
        <v>1201</v>
      </c>
      <c r="B216" t="s">
        <v>18</v>
      </c>
      <c r="C216" t="s">
        <v>1432</v>
      </c>
      <c r="D216" t="s">
        <v>2741</v>
      </c>
      <c r="E216" t="s">
        <v>21</v>
      </c>
      <c r="F216" t="s">
        <v>2742</v>
      </c>
      <c r="G216" t="s">
        <v>2743</v>
      </c>
      <c r="H216" s="1">
        <v>46101</v>
      </c>
      <c r="I216" s="6">
        <v>45671</v>
      </c>
      <c r="J216" s="6">
        <v>46123</v>
      </c>
      <c r="K216">
        <v>30</v>
      </c>
      <c r="L216">
        <v>59</v>
      </c>
      <c r="M216">
        <v>76</v>
      </c>
      <c r="N216" s="8">
        <v>4</v>
      </c>
      <c r="O216">
        <v>61</v>
      </c>
      <c r="P216">
        <v>3</v>
      </c>
      <c r="Q216" s="3">
        <v>0.24</v>
      </c>
      <c r="R216">
        <v>120</v>
      </c>
      <c r="S216">
        <v>244</v>
      </c>
      <c r="T216" t="s">
        <v>3877</v>
      </c>
      <c r="U216" t="s">
        <v>3838</v>
      </c>
      <c r="V216" s="14">
        <v>503</v>
      </c>
      <c r="W216">
        <f t="shared" si="6"/>
        <v>29</v>
      </c>
      <c r="X216">
        <f t="shared" si="7"/>
        <v>304</v>
      </c>
    </row>
    <row r="217" spans="1:24" x14ac:dyDescent="0.35">
      <c r="A217" t="s">
        <v>690</v>
      </c>
      <c r="B217" t="s">
        <v>36</v>
      </c>
      <c r="C217" t="s">
        <v>377</v>
      </c>
      <c r="D217" t="s">
        <v>3493</v>
      </c>
      <c r="E217" t="s">
        <v>30</v>
      </c>
      <c r="F217" t="s">
        <v>3494</v>
      </c>
      <c r="G217" t="s">
        <v>3495</v>
      </c>
      <c r="H217" s="1">
        <v>46234</v>
      </c>
      <c r="I217" s="6">
        <v>45687</v>
      </c>
      <c r="J217" s="6">
        <v>46384</v>
      </c>
      <c r="K217">
        <v>65</v>
      </c>
      <c r="L217">
        <v>94</v>
      </c>
      <c r="M217">
        <v>4</v>
      </c>
      <c r="N217" s="8">
        <v>2.5</v>
      </c>
      <c r="O217">
        <v>66</v>
      </c>
      <c r="P217">
        <v>36</v>
      </c>
      <c r="Q217" s="3">
        <v>-2.48</v>
      </c>
      <c r="R217">
        <v>162.5</v>
      </c>
      <c r="S217">
        <v>165</v>
      </c>
      <c r="T217" t="s">
        <v>3877</v>
      </c>
      <c r="U217" t="s">
        <v>3836</v>
      </c>
      <c r="V217" s="14">
        <v>487</v>
      </c>
      <c r="W217">
        <f t="shared" si="6"/>
        <v>29</v>
      </c>
      <c r="X217">
        <f t="shared" si="7"/>
        <v>10</v>
      </c>
    </row>
    <row r="218" spans="1:24" x14ac:dyDescent="0.35">
      <c r="A218" t="s">
        <v>1307</v>
      </c>
      <c r="B218" t="s">
        <v>163</v>
      </c>
      <c r="C218" t="s">
        <v>3140</v>
      </c>
      <c r="D218" t="s">
        <v>3555</v>
      </c>
      <c r="E218" t="s">
        <v>68</v>
      </c>
      <c r="F218" t="s">
        <v>3556</v>
      </c>
      <c r="G218" t="s">
        <v>3557</v>
      </c>
      <c r="H218" s="1">
        <v>46252</v>
      </c>
      <c r="I218" s="6">
        <v>45700</v>
      </c>
      <c r="J218" s="6">
        <v>46141</v>
      </c>
      <c r="K218">
        <v>63</v>
      </c>
      <c r="L218">
        <v>92</v>
      </c>
      <c r="M218">
        <v>26</v>
      </c>
      <c r="N218" s="8">
        <v>8</v>
      </c>
      <c r="O218">
        <v>93</v>
      </c>
      <c r="P218">
        <v>99</v>
      </c>
      <c r="Q218" s="3">
        <v>0.41</v>
      </c>
      <c r="R218">
        <v>504</v>
      </c>
      <c r="S218">
        <v>744</v>
      </c>
      <c r="T218" t="s">
        <v>3877</v>
      </c>
      <c r="U218" t="s">
        <v>3838</v>
      </c>
      <c r="V218" s="14">
        <v>474</v>
      </c>
      <c r="W218">
        <f t="shared" si="6"/>
        <v>29</v>
      </c>
      <c r="X218">
        <f t="shared" si="7"/>
        <v>208</v>
      </c>
    </row>
    <row r="219" spans="1:24" x14ac:dyDescent="0.35">
      <c r="A219" t="s">
        <v>253</v>
      </c>
      <c r="B219" t="s">
        <v>65</v>
      </c>
      <c r="C219" t="s">
        <v>2225</v>
      </c>
      <c r="D219" t="s">
        <v>3650</v>
      </c>
      <c r="E219" t="s">
        <v>30</v>
      </c>
      <c r="F219" t="s">
        <v>3651</v>
      </c>
      <c r="G219" t="s">
        <v>3652</v>
      </c>
      <c r="H219" s="1">
        <v>46262</v>
      </c>
      <c r="I219" s="6">
        <v>45623</v>
      </c>
      <c r="J219" s="6">
        <v>46442</v>
      </c>
      <c r="K219">
        <v>52</v>
      </c>
      <c r="L219">
        <v>81</v>
      </c>
      <c r="M219">
        <v>53</v>
      </c>
      <c r="N219" s="8">
        <v>2</v>
      </c>
      <c r="O219">
        <v>95</v>
      </c>
      <c r="P219">
        <v>88</v>
      </c>
      <c r="Q219" s="3">
        <v>-0.05</v>
      </c>
      <c r="R219">
        <v>104</v>
      </c>
      <c r="S219">
        <v>190</v>
      </c>
      <c r="T219" t="s">
        <v>3877</v>
      </c>
      <c r="U219" t="s">
        <v>3836</v>
      </c>
      <c r="V219" s="14">
        <v>551</v>
      </c>
      <c r="W219">
        <f t="shared" si="6"/>
        <v>29</v>
      </c>
      <c r="X219">
        <f t="shared" si="7"/>
        <v>106</v>
      </c>
    </row>
    <row r="220" spans="1:24" x14ac:dyDescent="0.35">
      <c r="A220" t="s">
        <v>106</v>
      </c>
      <c r="B220" t="s">
        <v>18</v>
      </c>
      <c r="C220" t="s">
        <v>229</v>
      </c>
      <c r="D220" t="s">
        <v>3675</v>
      </c>
      <c r="E220" t="s">
        <v>21</v>
      </c>
      <c r="F220" t="s">
        <v>3676</v>
      </c>
      <c r="G220" t="s">
        <v>3677</v>
      </c>
      <c r="H220" s="1">
        <v>46265</v>
      </c>
      <c r="I220" s="6">
        <v>45701</v>
      </c>
      <c r="J220" s="6">
        <v>46140</v>
      </c>
      <c r="K220">
        <v>15</v>
      </c>
      <c r="L220">
        <v>44</v>
      </c>
      <c r="M220">
        <v>88</v>
      </c>
      <c r="N220" s="8">
        <v>3</v>
      </c>
      <c r="O220">
        <v>56</v>
      </c>
      <c r="P220">
        <v>12</v>
      </c>
      <c r="Q220" s="3">
        <v>0.34</v>
      </c>
      <c r="R220">
        <v>45</v>
      </c>
      <c r="S220">
        <v>168</v>
      </c>
      <c r="T220" t="s">
        <v>3877</v>
      </c>
      <c r="U220" t="s">
        <v>3838</v>
      </c>
      <c r="V220" s="14">
        <v>473</v>
      </c>
      <c r="W220">
        <f t="shared" si="6"/>
        <v>29</v>
      </c>
      <c r="X220">
        <f t="shared" si="7"/>
        <v>264</v>
      </c>
    </row>
    <row r="221" spans="1:24" x14ac:dyDescent="0.35">
      <c r="A221" t="s">
        <v>382</v>
      </c>
      <c r="B221" t="s">
        <v>36</v>
      </c>
      <c r="C221" t="s">
        <v>3740</v>
      </c>
      <c r="D221" t="s">
        <v>3741</v>
      </c>
      <c r="E221" t="s">
        <v>21</v>
      </c>
      <c r="F221" t="s">
        <v>3742</v>
      </c>
      <c r="G221" t="s">
        <v>3743</v>
      </c>
      <c r="H221" s="1">
        <v>46286</v>
      </c>
      <c r="I221" s="6">
        <v>45443</v>
      </c>
      <c r="J221" s="6">
        <v>46364</v>
      </c>
      <c r="K221">
        <v>62</v>
      </c>
      <c r="L221">
        <v>91</v>
      </c>
      <c r="M221">
        <v>14</v>
      </c>
      <c r="N221" s="8">
        <v>2.5</v>
      </c>
      <c r="O221">
        <v>41</v>
      </c>
      <c r="P221">
        <v>77</v>
      </c>
      <c r="Q221" s="3">
        <v>-0.33</v>
      </c>
      <c r="R221">
        <v>155</v>
      </c>
      <c r="S221">
        <v>102.5</v>
      </c>
      <c r="T221" t="s">
        <v>3877</v>
      </c>
      <c r="U221" t="s">
        <v>3836</v>
      </c>
      <c r="V221" s="14">
        <v>731</v>
      </c>
      <c r="W221">
        <f t="shared" si="6"/>
        <v>29</v>
      </c>
      <c r="X221">
        <f t="shared" si="7"/>
        <v>35</v>
      </c>
    </row>
    <row r="222" spans="1:24" x14ac:dyDescent="0.35">
      <c r="A222" t="s">
        <v>1191</v>
      </c>
      <c r="B222" t="s">
        <v>75</v>
      </c>
      <c r="C222" t="s">
        <v>1261</v>
      </c>
      <c r="D222" t="s">
        <v>1262</v>
      </c>
      <c r="E222" t="s">
        <v>30</v>
      </c>
      <c r="F222" t="s">
        <v>1263</v>
      </c>
      <c r="G222" t="s">
        <v>1264</v>
      </c>
      <c r="H222" s="1">
        <v>46299</v>
      </c>
      <c r="I222" s="6">
        <v>45575</v>
      </c>
      <c r="J222" s="6">
        <v>46278</v>
      </c>
      <c r="K222">
        <v>18</v>
      </c>
      <c r="L222">
        <v>46</v>
      </c>
      <c r="M222">
        <v>26</v>
      </c>
      <c r="N222" s="8">
        <v>20</v>
      </c>
      <c r="O222">
        <v>57</v>
      </c>
      <c r="P222">
        <v>95</v>
      </c>
      <c r="Q222" s="3">
        <v>0.86</v>
      </c>
      <c r="R222">
        <v>360</v>
      </c>
      <c r="S222">
        <v>1140</v>
      </c>
      <c r="T222" t="s">
        <v>3877</v>
      </c>
      <c r="U222" t="s">
        <v>3836</v>
      </c>
      <c r="V222" s="14">
        <v>599</v>
      </c>
      <c r="W222">
        <f t="shared" si="6"/>
        <v>28</v>
      </c>
      <c r="X222">
        <f t="shared" si="7"/>
        <v>520</v>
      </c>
    </row>
    <row r="223" spans="1:24" x14ac:dyDescent="0.35">
      <c r="A223" t="s">
        <v>832</v>
      </c>
      <c r="B223" t="s">
        <v>18</v>
      </c>
      <c r="C223" t="s">
        <v>959</v>
      </c>
      <c r="D223" t="s">
        <v>1694</v>
      </c>
      <c r="E223" t="s">
        <v>21</v>
      </c>
      <c r="F223" t="s">
        <v>1695</v>
      </c>
      <c r="G223" t="s">
        <v>1696</v>
      </c>
      <c r="H223" s="1">
        <v>46540</v>
      </c>
      <c r="I223" s="6">
        <v>45568</v>
      </c>
      <c r="J223" s="6">
        <v>46206</v>
      </c>
      <c r="K223">
        <v>47</v>
      </c>
      <c r="L223">
        <v>75</v>
      </c>
      <c r="M223">
        <v>53</v>
      </c>
      <c r="N223" s="8">
        <v>6</v>
      </c>
      <c r="O223">
        <v>70</v>
      </c>
      <c r="P223">
        <v>20</v>
      </c>
      <c r="Q223" s="3">
        <v>0.26</v>
      </c>
      <c r="R223">
        <v>282</v>
      </c>
      <c r="S223">
        <v>420</v>
      </c>
      <c r="T223" t="s">
        <v>3877</v>
      </c>
      <c r="U223" t="s">
        <v>3836</v>
      </c>
      <c r="V223" s="14">
        <v>606</v>
      </c>
      <c r="W223">
        <f t="shared" si="6"/>
        <v>28</v>
      </c>
      <c r="X223">
        <f t="shared" si="7"/>
        <v>318</v>
      </c>
    </row>
    <row r="224" spans="1:24" x14ac:dyDescent="0.35">
      <c r="A224" t="s">
        <v>591</v>
      </c>
      <c r="B224" t="s">
        <v>36</v>
      </c>
      <c r="C224" t="s">
        <v>394</v>
      </c>
      <c r="D224" t="s">
        <v>2009</v>
      </c>
      <c r="E224" t="s">
        <v>68</v>
      </c>
      <c r="F224" t="s">
        <v>2010</v>
      </c>
      <c r="G224" t="s">
        <v>2011</v>
      </c>
      <c r="H224" s="1">
        <v>46310</v>
      </c>
      <c r="I224" s="6">
        <v>45462</v>
      </c>
      <c r="J224" s="6">
        <v>46408</v>
      </c>
      <c r="K224">
        <v>26</v>
      </c>
      <c r="L224">
        <v>54</v>
      </c>
      <c r="M224">
        <v>90</v>
      </c>
      <c r="N224" s="8">
        <v>3</v>
      </c>
      <c r="O224">
        <v>25</v>
      </c>
      <c r="P224">
        <v>81</v>
      </c>
      <c r="Q224" s="3">
        <v>0.37</v>
      </c>
      <c r="R224">
        <v>78</v>
      </c>
      <c r="S224">
        <v>75</v>
      </c>
      <c r="T224" t="s">
        <v>3877</v>
      </c>
      <c r="U224" t="s">
        <v>3836</v>
      </c>
      <c r="V224" s="14">
        <v>712</v>
      </c>
      <c r="W224">
        <f t="shared" si="6"/>
        <v>28</v>
      </c>
      <c r="X224">
        <f t="shared" si="7"/>
        <v>270</v>
      </c>
    </row>
    <row r="225" spans="1:24" x14ac:dyDescent="0.35">
      <c r="A225" t="s">
        <v>557</v>
      </c>
      <c r="B225" t="s">
        <v>18</v>
      </c>
      <c r="C225" t="s">
        <v>660</v>
      </c>
      <c r="D225" t="s">
        <v>2405</v>
      </c>
      <c r="E225" t="s">
        <v>21</v>
      </c>
      <c r="F225" t="s">
        <v>2406</v>
      </c>
      <c r="G225" t="s">
        <v>2407</v>
      </c>
      <c r="H225" s="1">
        <v>46374</v>
      </c>
      <c r="I225" s="6">
        <v>45712</v>
      </c>
      <c r="J225" s="6">
        <v>46415</v>
      </c>
      <c r="K225">
        <v>19</v>
      </c>
      <c r="L225">
        <v>47</v>
      </c>
      <c r="M225">
        <v>25</v>
      </c>
      <c r="N225" s="8">
        <v>5</v>
      </c>
      <c r="O225">
        <v>96</v>
      </c>
      <c r="P225">
        <v>37</v>
      </c>
      <c r="Q225" s="3">
        <v>0.57999999999999996</v>
      </c>
      <c r="R225">
        <v>95</v>
      </c>
      <c r="S225">
        <v>480</v>
      </c>
      <c r="T225" t="s">
        <v>3877</v>
      </c>
      <c r="U225" t="s">
        <v>3836</v>
      </c>
      <c r="V225" s="14">
        <v>462</v>
      </c>
      <c r="W225">
        <f t="shared" si="6"/>
        <v>28</v>
      </c>
      <c r="X225">
        <f t="shared" si="7"/>
        <v>125</v>
      </c>
    </row>
    <row r="226" spans="1:24" x14ac:dyDescent="0.35">
      <c r="A226" t="s">
        <v>162</v>
      </c>
      <c r="B226" t="s">
        <v>163</v>
      </c>
      <c r="C226" t="s">
        <v>1217</v>
      </c>
      <c r="D226" t="s">
        <v>2692</v>
      </c>
      <c r="E226" t="s">
        <v>30</v>
      </c>
      <c r="F226" t="s">
        <v>2693</v>
      </c>
      <c r="G226" t="s">
        <v>2694</v>
      </c>
      <c r="H226" s="1">
        <v>46096</v>
      </c>
      <c r="I226" s="6">
        <v>45706</v>
      </c>
      <c r="J226" s="6">
        <v>46111</v>
      </c>
      <c r="K226">
        <v>36</v>
      </c>
      <c r="L226">
        <v>64</v>
      </c>
      <c r="M226">
        <v>63</v>
      </c>
      <c r="N226" s="8">
        <v>20</v>
      </c>
      <c r="O226">
        <v>91</v>
      </c>
      <c r="P226">
        <v>35</v>
      </c>
      <c r="Q226" s="3">
        <v>-0.32</v>
      </c>
      <c r="R226">
        <v>720</v>
      </c>
      <c r="S226">
        <v>1820</v>
      </c>
      <c r="T226" t="s">
        <v>3877</v>
      </c>
      <c r="U226" t="s">
        <v>3838</v>
      </c>
      <c r="V226" s="14">
        <v>468</v>
      </c>
      <c r="W226">
        <f t="shared" si="6"/>
        <v>28</v>
      </c>
      <c r="X226">
        <f t="shared" si="7"/>
        <v>1260</v>
      </c>
    </row>
    <row r="227" spans="1:24" x14ac:dyDescent="0.35">
      <c r="A227" t="s">
        <v>435</v>
      </c>
      <c r="B227" t="s">
        <v>18</v>
      </c>
      <c r="C227" t="s">
        <v>3419</v>
      </c>
      <c r="D227" t="s">
        <v>3420</v>
      </c>
      <c r="E227" t="s">
        <v>68</v>
      </c>
      <c r="F227" t="s">
        <v>3421</v>
      </c>
      <c r="G227" t="s">
        <v>3422</v>
      </c>
      <c r="H227" s="1">
        <v>46228</v>
      </c>
      <c r="I227" s="6">
        <v>45385</v>
      </c>
      <c r="J227" s="6">
        <v>46305</v>
      </c>
      <c r="K227">
        <v>17</v>
      </c>
      <c r="L227">
        <v>45</v>
      </c>
      <c r="M227">
        <v>44</v>
      </c>
      <c r="N227" s="8">
        <v>6</v>
      </c>
      <c r="O227">
        <v>37</v>
      </c>
      <c r="P227">
        <v>16</v>
      </c>
      <c r="Q227" s="3">
        <v>0.76</v>
      </c>
      <c r="R227">
        <v>102</v>
      </c>
      <c r="S227">
        <v>222</v>
      </c>
      <c r="T227" t="s">
        <v>3877</v>
      </c>
      <c r="U227" t="s">
        <v>3836</v>
      </c>
      <c r="V227" s="14">
        <v>789</v>
      </c>
      <c r="W227">
        <f t="shared" si="6"/>
        <v>28</v>
      </c>
      <c r="X227">
        <f t="shared" si="7"/>
        <v>264</v>
      </c>
    </row>
    <row r="228" spans="1:24" x14ac:dyDescent="0.35">
      <c r="A228" t="s">
        <v>331</v>
      </c>
      <c r="B228" t="s">
        <v>27</v>
      </c>
      <c r="C228" t="s">
        <v>1213</v>
      </c>
      <c r="D228" t="s">
        <v>3656</v>
      </c>
      <c r="E228" t="s">
        <v>68</v>
      </c>
      <c r="F228" t="s">
        <v>3657</v>
      </c>
      <c r="G228" t="s">
        <v>3658</v>
      </c>
      <c r="H228" s="1">
        <v>46263</v>
      </c>
      <c r="I228" s="6">
        <v>45673</v>
      </c>
      <c r="J228" s="6">
        <v>46188</v>
      </c>
      <c r="K228">
        <v>60</v>
      </c>
      <c r="L228">
        <v>88</v>
      </c>
      <c r="M228">
        <v>65</v>
      </c>
      <c r="N228" s="8">
        <v>4</v>
      </c>
      <c r="O228">
        <v>94</v>
      </c>
      <c r="P228">
        <v>15</v>
      </c>
      <c r="Q228" s="3">
        <v>0.87</v>
      </c>
      <c r="R228">
        <v>240</v>
      </c>
      <c r="S228">
        <v>376</v>
      </c>
      <c r="T228" t="s">
        <v>3877</v>
      </c>
      <c r="U228" t="s">
        <v>3837</v>
      </c>
      <c r="V228" s="14">
        <v>501</v>
      </c>
      <c r="W228">
        <f t="shared" si="6"/>
        <v>28</v>
      </c>
      <c r="X228">
        <f t="shared" si="7"/>
        <v>260</v>
      </c>
    </row>
    <row r="229" spans="1:24" x14ac:dyDescent="0.35">
      <c r="A229" t="s">
        <v>162</v>
      </c>
      <c r="B229" t="s">
        <v>163</v>
      </c>
      <c r="C229" t="s">
        <v>606</v>
      </c>
      <c r="D229" t="s">
        <v>1081</v>
      </c>
      <c r="E229" t="s">
        <v>21</v>
      </c>
      <c r="F229" t="s">
        <v>1082</v>
      </c>
      <c r="G229" t="s">
        <v>1083</v>
      </c>
      <c r="H229" s="1">
        <v>46243</v>
      </c>
      <c r="I229" s="6">
        <v>45449</v>
      </c>
      <c r="J229" s="6">
        <v>46402</v>
      </c>
      <c r="K229">
        <v>62</v>
      </c>
      <c r="L229">
        <v>89</v>
      </c>
      <c r="M229">
        <v>6</v>
      </c>
      <c r="N229" s="8">
        <v>20</v>
      </c>
      <c r="O229">
        <v>23</v>
      </c>
      <c r="P229">
        <v>11</v>
      </c>
      <c r="Q229" s="3">
        <v>0.89</v>
      </c>
      <c r="R229">
        <v>1240</v>
      </c>
      <c r="S229">
        <v>460</v>
      </c>
      <c r="T229" t="s">
        <v>3877</v>
      </c>
      <c r="U229" t="s">
        <v>3836</v>
      </c>
      <c r="V229" s="14">
        <v>725</v>
      </c>
      <c r="W229">
        <f t="shared" si="6"/>
        <v>27</v>
      </c>
      <c r="X229">
        <f t="shared" si="7"/>
        <v>120</v>
      </c>
    </row>
    <row r="230" spans="1:24" x14ac:dyDescent="0.35">
      <c r="A230" t="s">
        <v>1341</v>
      </c>
      <c r="B230" t="s">
        <v>18</v>
      </c>
      <c r="C230" t="s">
        <v>1399</v>
      </c>
      <c r="D230" t="s">
        <v>1400</v>
      </c>
      <c r="E230" t="s">
        <v>21</v>
      </c>
      <c r="F230" t="s">
        <v>1401</v>
      </c>
      <c r="G230" t="s">
        <v>1402</v>
      </c>
      <c r="H230" s="1">
        <v>46332</v>
      </c>
      <c r="I230" s="6">
        <v>45386</v>
      </c>
      <c r="J230" s="6">
        <v>46091</v>
      </c>
      <c r="K230">
        <v>52</v>
      </c>
      <c r="L230">
        <v>79</v>
      </c>
      <c r="M230">
        <v>87</v>
      </c>
      <c r="N230" s="8">
        <v>2.5</v>
      </c>
      <c r="O230">
        <v>36</v>
      </c>
      <c r="P230">
        <v>100</v>
      </c>
      <c r="Q230" s="3">
        <v>-0.81</v>
      </c>
      <c r="R230">
        <v>130</v>
      </c>
      <c r="S230">
        <v>90</v>
      </c>
      <c r="T230" t="s">
        <v>3877</v>
      </c>
      <c r="U230" t="s">
        <v>3838</v>
      </c>
      <c r="V230" s="14">
        <v>788</v>
      </c>
      <c r="W230">
        <f t="shared" si="6"/>
        <v>27</v>
      </c>
      <c r="X230">
        <f t="shared" si="7"/>
        <v>217.5</v>
      </c>
    </row>
    <row r="231" spans="1:24" x14ac:dyDescent="0.35">
      <c r="A231" t="s">
        <v>200</v>
      </c>
      <c r="B231" t="s">
        <v>163</v>
      </c>
      <c r="C231" t="s">
        <v>1478</v>
      </c>
      <c r="D231" t="s">
        <v>1479</v>
      </c>
      <c r="E231" t="s">
        <v>68</v>
      </c>
      <c r="F231" t="s">
        <v>1480</v>
      </c>
      <c r="G231" t="s">
        <v>1481</v>
      </c>
      <c r="H231" s="1">
        <v>46359</v>
      </c>
      <c r="I231" s="6">
        <v>45700</v>
      </c>
      <c r="J231" s="6">
        <v>46354</v>
      </c>
      <c r="K231">
        <v>62</v>
      </c>
      <c r="L231">
        <v>89</v>
      </c>
      <c r="M231">
        <v>18</v>
      </c>
      <c r="N231" s="8">
        <v>12</v>
      </c>
      <c r="O231">
        <v>35</v>
      </c>
      <c r="P231">
        <v>36</v>
      </c>
      <c r="Q231" s="3">
        <v>0.32</v>
      </c>
      <c r="R231">
        <v>744</v>
      </c>
      <c r="S231">
        <v>420</v>
      </c>
      <c r="T231" t="s">
        <v>3877</v>
      </c>
      <c r="U231" t="s">
        <v>3836</v>
      </c>
      <c r="V231" s="14">
        <v>474</v>
      </c>
      <c r="W231">
        <f t="shared" si="6"/>
        <v>27</v>
      </c>
      <c r="X231">
        <f t="shared" si="7"/>
        <v>216</v>
      </c>
    </row>
    <row r="232" spans="1:24" x14ac:dyDescent="0.35">
      <c r="A232" t="s">
        <v>1157</v>
      </c>
      <c r="B232" t="s">
        <v>18</v>
      </c>
      <c r="C232" t="s">
        <v>1874</v>
      </c>
      <c r="D232" t="s">
        <v>1875</v>
      </c>
      <c r="E232" t="s">
        <v>68</v>
      </c>
      <c r="F232" t="s">
        <v>1876</v>
      </c>
      <c r="G232" t="s">
        <v>1877</v>
      </c>
      <c r="H232" s="1">
        <v>46406</v>
      </c>
      <c r="I232" s="6">
        <v>45357</v>
      </c>
      <c r="J232" s="6">
        <v>46082</v>
      </c>
      <c r="K232">
        <v>42</v>
      </c>
      <c r="L232">
        <v>69</v>
      </c>
      <c r="M232">
        <v>54</v>
      </c>
      <c r="N232" s="8">
        <v>1.2</v>
      </c>
      <c r="O232">
        <v>43</v>
      </c>
      <c r="P232">
        <v>96</v>
      </c>
      <c r="Q232" s="3">
        <v>0.61</v>
      </c>
      <c r="R232">
        <v>50.4</v>
      </c>
      <c r="S232">
        <v>51.6</v>
      </c>
      <c r="T232" t="s">
        <v>3877</v>
      </c>
      <c r="U232" t="s">
        <v>3838</v>
      </c>
      <c r="V232" s="14">
        <v>817</v>
      </c>
      <c r="W232">
        <f t="shared" si="6"/>
        <v>27</v>
      </c>
      <c r="X232">
        <f t="shared" si="7"/>
        <v>64.8</v>
      </c>
    </row>
    <row r="233" spans="1:24" x14ac:dyDescent="0.35">
      <c r="A233" t="s">
        <v>1350</v>
      </c>
      <c r="B233" t="s">
        <v>114</v>
      </c>
      <c r="C233" t="s">
        <v>2817</v>
      </c>
      <c r="D233" t="s">
        <v>3175</v>
      </c>
      <c r="E233" t="s">
        <v>21</v>
      </c>
      <c r="F233" t="s">
        <v>3176</v>
      </c>
      <c r="G233" t="s">
        <v>3177</v>
      </c>
      <c r="H233" s="1">
        <v>46189</v>
      </c>
      <c r="I233" s="6">
        <v>45436</v>
      </c>
      <c r="J233" s="6">
        <v>46384</v>
      </c>
      <c r="K233">
        <v>33</v>
      </c>
      <c r="L233">
        <v>60</v>
      </c>
      <c r="M233">
        <v>67</v>
      </c>
      <c r="N233" s="8">
        <v>6</v>
      </c>
      <c r="O233">
        <v>20</v>
      </c>
      <c r="P233">
        <v>7</v>
      </c>
      <c r="Q233" s="3">
        <v>0.61</v>
      </c>
      <c r="R233">
        <v>198</v>
      </c>
      <c r="S233">
        <v>120</v>
      </c>
      <c r="T233" t="s">
        <v>3877</v>
      </c>
      <c r="U233" t="s">
        <v>3836</v>
      </c>
      <c r="V233" s="14">
        <v>738</v>
      </c>
      <c r="W233">
        <f t="shared" si="6"/>
        <v>27</v>
      </c>
      <c r="X233">
        <f t="shared" si="7"/>
        <v>402</v>
      </c>
    </row>
    <row r="234" spans="1:24" x14ac:dyDescent="0.35">
      <c r="A234" t="s">
        <v>240</v>
      </c>
      <c r="B234" t="s">
        <v>36</v>
      </c>
      <c r="C234" t="s">
        <v>241</v>
      </c>
      <c r="D234" t="s">
        <v>242</v>
      </c>
      <c r="E234" t="s">
        <v>30</v>
      </c>
      <c r="F234" t="s">
        <v>243</v>
      </c>
      <c r="G234" t="s">
        <v>244</v>
      </c>
      <c r="H234" s="1">
        <v>46059</v>
      </c>
      <c r="I234" s="6">
        <v>45601</v>
      </c>
      <c r="J234" s="6">
        <v>46283</v>
      </c>
      <c r="K234">
        <v>13</v>
      </c>
      <c r="L234">
        <v>39</v>
      </c>
      <c r="M234">
        <v>98</v>
      </c>
      <c r="N234" s="8">
        <v>0.9</v>
      </c>
      <c r="O234">
        <v>46</v>
      </c>
      <c r="P234">
        <v>46</v>
      </c>
      <c r="Q234" s="2">
        <v>1.9900000000000001E-2</v>
      </c>
      <c r="R234">
        <v>11.700000000000001</v>
      </c>
      <c r="S234">
        <v>41.4</v>
      </c>
      <c r="T234" t="s">
        <v>3877</v>
      </c>
      <c r="U234" t="s">
        <v>3836</v>
      </c>
      <c r="V234" s="14">
        <v>573</v>
      </c>
      <c r="W234">
        <f t="shared" si="6"/>
        <v>26</v>
      </c>
      <c r="X234">
        <f t="shared" si="7"/>
        <v>88.2</v>
      </c>
    </row>
    <row r="235" spans="1:24" x14ac:dyDescent="0.35">
      <c r="A235" t="s">
        <v>96</v>
      </c>
      <c r="B235" t="s">
        <v>36</v>
      </c>
      <c r="C235" t="s">
        <v>1739</v>
      </c>
      <c r="D235" t="s">
        <v>1740</v>
      </c>
      <c r="E235" t="s">
        <v>30</v>
      </c>
      <c r="F235" t="s">
        <v>1741</v>
      </c>
      <c r="G235" t="s">
        <v>1742</v>
      </c>
      <c r="H235" s="1">
        <v>46601</v>
      </c>
      <c r="I235" s="6">
        <v>45467</v>
      </c>
      <c r="J235" s="6">
        <v>46404</v>
      </c>
      <c r="K235">
        <v>70</v>
      </c>
      <c r="L235">
        <v>96</v>
      </c>
      <c r="M235">
        <v>35</v>
      </c>
      <c r="N235" s="8">
        <v>9</v>
      </c>
      <c r="O235">
        <v>63</v>
      </c>
      <c r="P235">
        <v>84</v>
      </c>
      <c r="Q235" s="3">
        <v>-1.24</v>
      </c>
      <c r="R235">
        <v>630</v>
      </c>
      <c r="S235">
        <v>567</v>
      </c>
      <c r="T235" t="s">
        <v>3877</v>
      </c>
      <c r="U235" t="s">
        <v>3836</v>
      </c>
      <c r="V235" s="14">
        <v>707</v>
      </c>
      <c r="W235">
        <f t="shared" si="6"/>
        <v>26</v>
      </c>
      <c r="X235">
        <f t="shared" si="7"/>
        <v>315</v>
      </c>
    </row>
    <row r="236" spans="1:24" x14ac:dyDescent="0.35">
      <c r="A236" t="s">
        <v>26</v>
      </c>
      <c r="B236" t="s">
        <v>27</v>
      </c>
      <c r="C236" t="s">
        <v>838</v>
      </c>
      <c r="D236" t="s">
        <v>2318</v>
      </c>
      <c r="E236" t="s">
        <v>21</v>
      </c>
      <c r="F236" t="s">
        <v>2319</v>
      </c>
      <c r="G236" t="s">
        <v>2320</v>
      </c>
      <c r="H236" s="1">
        <v>46352</v>
      </c>
      <c r="I236" s="6">
        <v>45545</v>
      </c>
      <c r="J236" s="6">
        <v>46237</v>
      </c>
      <c r="K236">
        <v>70</v>
      </c>
      <c r="L236">
        <v>96</v>
      </c>
      <c r="M236">
        <v>21</v>
      </c>
      <c r="N236" s="8">
        <v>2</v>
      </c>
      <c r="O236">
        <v>100</v>
      </c>
      <c r="P236">
        <v>15</v>
      </c>
      <c r="Q236" s="3">
        <v>0.68</v>
      </c>
      <c r="R236">
        <v>140</v>
      </c>
      <c r="S236">
        <v>200</v>
      </c>
      <c r="T236" t="s">
        <v>3877</v>
      </c>
      <c r="U236" t="s">
        <v>3836</v>
      </c>
      <c r="V236" s="14">
        <v>629</v>
      </c>
      <c r="W236">
        <f t="shared" si="6"/>
        <v>26</v>
      </c>
      <c r="X236">
        <f t="shared" si="7"/>
        <v>42</v>
      </c>
    </row>
    <row r="237" spans="1:24" x14ac:dyDescent="0.35">
      <c r="A237" t="s">
        <v>194</v>
      </c>
      <c r="B237" t="s">
        <v>114</v>
      </c>
      <c r="C237" t="s">
        <v>2340</v>
      </c>
      <c r="D237" t="s">
        <v>2341</v>
      </c>
      <c r="E237" t="s">
        <v>21</v>
      </c>
      <c r="F237" t="s">
        <v>2342</v>
      </c>
      <c r="G237" t="s">
        <v>2343</v>
      </c>
      <c r="H237" s="1">
        <v>46353</v>
      </c>
      <c r="I237" s="6">
        <v>45348</v>
      </c>
      <c r="J237" s="6">
        <v>46210</v>
      </c>
      <c r="K237">
        <v>71</v>
      </c>
      <c r="L237">
        <v>97</v>
      </c>
      <c r="M237">
        <v>44</v>
      </c>
      <c r="N237" s="8">
        <v>4</v>
      </c>
      <c r="O237">
        <v>58</v>
      </c>
      <c r="P237">
        <v>14</v>
      </c>
      <c r="Q237" s="3">
        <v>0.35</v>
      </c>
      <c r="R237">
        <v>284</v>
      </c>
      <c r="S237">
        <v>232</v>
      </c>
      <c r="T237" t="s">
        <v>3877</v>
      </c>
      <c r="U237" t="s">
        <v>3836</v>
      </c>
      <c r="V237" s="14">
        <v>826</v>
      </c>
      <c r="W237">
        <f t="shared" si="6"/>
        <v>26</v>
      </c>
      <c r="X237">
        <f t="shared" si="7"/>
        <v>176</v>
      </c>
    </row>
    <row r="238" spans="1:24" x14ac:dyDescent="0.35">
      <c r="A238" t="s">
        <v>1234</v>
      </c>
      <c r="B238" t="s">
        <v>27</v>
      </c>
      <c r="C238" t="s">
        <v>2641</v>
      </c>
      <c r="D238" t="s">
        <v>2642</v>
      </c>
      <c r="E238" t="s">
        <v>68</v>
      </c>
      <c r="F238" t="s">
        <v>2643</v>
      </c>
      <c r="G238" t="s">
        <v>2644</v>
      </c>
      <c r="H238" s="1">
        <v>46079</v>
      </c>
      <c r="I238" s="6">
        <v>45538</v>
      </c>
      <c r="J238" s="6">
        <v>46322</v>
      </c>
      <c r="K238">
        <v>70</v>
      </c>
      <c r="L238">
        <v>96</v>
      </c>
      <c r="M238">
        <v>85</v>
      </c>
      <c r="N238" s="8">
        <v>2.5</v>
      </c>
      <c r="O238">
        <v>34</v>
      </c>
      <c r="P238">
        <v>3</v>
      </c>
      <c r="Q238" s="3">
        <v>0.93</v>
      </c>
      <c r="R238">
        <v>175</v>
      </c>
      <c r="S238">
        <v>85</v>
      </c>
      <c r="T238" t="s">
        <v>3877</v>
      </c>
      <c r="U238" t="s">
        <v>3836</v>
      </c>
      <c r="V238" s="14">
        <v>636</v>
      </c>
      <c r="W238">
        <f t="shared" si="6"/>
        <v>26</v>
      </c>
      <c r="X238">
        <f t="shared" si="7"/>
        <v>212.5</v>
      </c>
    </row>
    <row r="239" spans="1:24" x14ac:dyDescent="0.35">
      <c r="A239" t="s">
        <v>222</v>
      </c>
      <c r="B239" t="s">
        <v>65</v>
      </c>
      <c r="C239" t="s">
        <v>1884</v>
      </c>
      <c r="D239" t="s">
        <v>2910</v>
      </c>
      <c r="E239" t="s">
        <v>30</v>
      </c>
      <c r="F239" t="s">
        <v>2911</v>
      </c>
      <c r="G239" t="s">
        <v>2912</v>
      </c>
      <c r="H239" s="1">
        <v>46130</v>
      </c>
      <c r="I239" s="6">
        <v>45590</v>
      </c>
      <c r="J239" s="6">
        <v>46170</v>
      </c>
      <c r="K239">
        <v>70</v>
      </c>
      <c r="L239">
        <v>96</v>
      </c>
      <c r="M239">
        <v>92</v>
      </c>
      <c r="N239" s="8">
        <v>1.5</v>
      </c>
      <c r="O239">
        <v>27</v>
      </c>
      <c r="P239">
        <v>58</v>
      </c>
      <c r="Q239" s="3">
        <v>-0.1</v>
      </c>
      <c r="R239">
        <v>105</v>
      </c>
      <c r="S239">
        <v>40.5</v>
      </c>
      <c r="T239" t="s">
        <v>3877</v>
      </c>
      <c r="U239" t="s">
        <v>3838</v>
      </c>
      <c r="V239" s="14">
        <v>584</v>
      </c>
      <c r="W239">
        <f t="shared" si="6"/>
        <v>26</v>
      </c>
      <c r="X239">
        <f t="shared" si="7"/>
        <v>138</v>
      </c>
    </row>
    <row r="240" spans="1:24" x14ac:dyDescent="0.35">
      <c r="A240" t="s">
        <v>872</v>
      </c>
      <c r="B240" t="s">
        <v>18</v>
      </c>
      <c r="C240" t="s">
        <v>1302</v>
      </c>
      <c r="D240" t="s">
        <v>1303</v>
      </c>
      <c r="E240" t="s">
        <v>30</v>
      </c>
      <c r="F240" t="s">
        <v>1304</v>
      </c>
      <c r="G240" t="s">
        <v>1305</v>
      </c>
      <c r="H240" s="1">
        <v>46303</v>
      </c>
      <c r="I240" s="6">
        <v>45500</v>
      </c>
      <c r="J240" s="6">
        <v>46151</v>
      </c>
      <c r="K240">
        <v>45</v>
      </c>
      <c r="L240">
        <v>70</v>
      </c>
      <c r="M240">
        <v>98</v>
      </c>
      <c r="N240" s="8">
        <v>2.4500000000000002</v>
      </c>
      <c r="O240">
        <v>25</v>
      </c>
      <c r="P240">
        <v>39</v>
      </c>
      <c r="Q240" s="3">
        <v>0.86</v>
      </c>
      <c r="R240">
        <v>110.25000000000001</v>
      </c>
      <c r="S240">
        <v>61.250000000000007</v>
      </c>
      <c r="T240" t="s">
        <v>3877</v>
      </c>
      <c r="U240" t="s">
        <v>3838</v>
      </c>
      <c r="V240" s="14">
        <v>674</v>
      </c>
      <c r="W240">
        <f t="shared" si="6"/>
        <v>25</v>
      </c>
      <c r="X240">
        <f t="shared" si="7"/>
        <v>240.10000000000002</v>
      </c>
    </row>
    <row r="241" spans="1:24" x14ac:dyDescent="0.35">
      <c r="A241" t="s">
        <v>1320</v>
      </c>
      <c r="B241" t="s">
        <v>18</v>
      </c>
      <c r="C241" t="s">
        <v>1004</v>
      </c>
      <c r="D241" t="s">
        <v>1321</v>
      </c>
      <c r="E241" t="s">
        <v>68</v>
      </c>
      <c r="F241" t="s">
        <v>1322</v>
      </c>
      <c r="G241" t="s">
        <v>1323</v>
      </c>
      <c r="H241" s="1">
        <v>46304</v>
      </c>
      <c r="I241" s="6">
        <v>45616</v>
      </c>
      <c r="J241" s="6">
        <v>46184</v>
      </c>
      <c r="K241">
        <v>57</v>
      </c>
      <c r="L241">
        <v>82</v>
      </c>
      <c r="M241">
        <v>59</v>
      </c>
      <c r="N241" s="8">
        <v>8</v>
      </c>
      <c r="O241">
        <v>44</v>
      </c>
      <c r="P241">
        <v>57</v>
      </c>
      <c r="Q241" s="3">
        <v>0.35</v>
      </c>
      <c r="R241">
        <v>456</v>
      </c>
      <c r="S241">
        <v>352</v>
      </c>
      <c r="T241" t="s">
        <v>3877</v>
      </c>
      <c r="U241" t="s">
        <v>3837</v>
      </c>
      <c r="V241" s="14">
        <v>558</v>
      </c>
      <c r="W241">
        <f t="shared" si="6"/>
        <v>25</v>
      </c>
      <c r="X241">
        <f t="shared" si="7"/>
        <v>472</v>
      </c>
    </row>
    <row r="242" spans="1:24" x14ac:dyDescent="0.35">
      <c r="A242" t="s">
        <v>718</v>
      </c>
      <c r="B242" t="s">
        <v>65</v>
      </c>
      <c r="C242" t="s">
        <v>1536</v>
      </c>
      <c r="D242" t="s">
        <v>2158</v>
      </c>
      <c r="E242" t="s">
        <v>30</v>
      </c>
      <c r="F242" t="s">
        <v>2159</v>
      </c>
      <c r="G242" t="s">
        <v>2160</v>
      </c>
      <c r="H242" s="1">
        <v>46322</v>
      </c>
      <c r="I242" s="6">
        <v>45712</v>
      </c>
      <c r="J242" s="6">
        <v>46381</v>
      </c>
      <c r="K242">
        <v>29</v>
      </c>
      <c r="L242">
        <v>54</v>
      </c>
      <c r="M242">
        <v>54</v>
      </c>
      <c r="N242" s="8">
        <v>2</v>
      </c>
      <c r="O242">
        <v>58</v>
      </c>
      <c r="P242">
        <v>63</v>
      </c>
      <c r="Q242" s="3">
        <v>-0.17</v>
      </c>
      <c r="R242">
        <v>58</v>
      </c>
      <c r="S242">
        <v>116</v>
      </c>
      <c r="T242" t="s">
        <v>3877</v>
      </c>
      <c r="U242" t="s">
        <v>3836</v>
      </c>
      <c r="V242" s="14">
        <v>462</v>
      </c>
      <c r="W242">
        <f t="shared" si="6"/>
        <v>25</v>
      </c>
      <c r="X242">
        <f t="shared" si="7"/>
        <v>108</v>
      </c>
    </row>
    <row r="243" spans="1:24" x14ac:dyDescent="0.35">
      <c r="A243" t="s">
        <v>26</v>
      </c>
      <c r="B243" t="s">
        <v>27</v>
      </c>
      <c r="C243" t="s">
        <v>1238</v>
      </c>
      <c r="D243" t="s">
        <v>2585</v>
      </c>
      <c r="E243" t="s">
        <v>30</v>
      </c>
      <c r="F243" t="s">
        <v>2586</v>
      </c>
      <c r="G243" t="s">
        <v>2587</v>
      </c>
      <c r="H243" s="1">
        <v>46436</v>
      </c>
      <c r="I243" s="6">
        <v>45503</v>
      </c>
      <c r="J243" s="6">
        <v>46097</v>
      </c>
      <c r="K243">
        <v>41</v>
      </c>
      <c r="L243">
        <v>66</v>
      </c>
      <c r="M243">
        <v>50</v>
      </c>
      <c r="N243" s="8">
        <v>2</v>
      </c>
      <c r="O243">
        <v>55</v>
      </c>
      <c r="P243">
        <v>74</v>
      </c>
      <c r="Q243" s="3">
        <v>-0.4</v>
      </c>
      <c r="R243">
        <v>82</v>
      </c>
      <c r="S243">
        <v>110</v>
      </c>
      <c r="T243" t="s">
        <v>3877</v>
      </c>
      <c r="U243" t="s">
        <v>3838</v>
      </c>
      <c r="V243" s="14">
        <v>671</v>
      </c>
      <c r="W243">
        <f t="shared" si="6"/>
        <v>25</v>
      </c>
      <c r="X243">
        <f t="shared" si="7"/>
        <v>100</v>
      </c>
    </row>
    <row r="244" spans="1:24" x14ac:dyDescent="0.35">
      <c r="A244" t="s">
        <v>596</v>
      </c>
      <c r="B244" t="s">
        <v>18</v>
      </c>
      <c r="C244" t="s">
        <v>866</v>
      </c>
      <c r="D244" t="s">
        <v>3059</v>
      </c>
      <c r="E244" t="s">
        <v>30</v>
      </c>
      <c r="F244" t="s">
        <v>3060</v>
      </c>
      <c r="G244" t="s">
        <v>3061</v>
      </c>
      <c r="H244" s="1">
        <v>46163</v>
      </c>
      <c r="I244" s="6">
        <v>45381</v>
      </c>
      <c r="J244" s="6">
        <v>46142</v>
      </c>
      <c r="K244">
        <v>47</v>
      </c>
      <c r="L244">
        <v>72</v>
      </c>
      <c r="M244">
        <v>73</v>
      </c>
      <c r="N244" s="8">
        <v>4</v>
      </c>
      <c r="O244">
        <v>93</v>
      </c>
      <c r="P244">
        <v>27</v>
      </c>
      <c r="Q244" s="3">
        <v>-0.55000000000000004</v>
      </c>
      <c r="R244">
        <v>188</v>
      </c>
      <c r="S244">
        <v>372</v>
      </c>
      <c r="T244" t="s">
        <v>3877</v>
      </c>
      <c r="U244" t="s">
        <v>3838</v>
      </c>
      <c r="V244" s="14">
        <v>793</v>
      </c>
      <c r="W244">
        <f t="shared" si="6"/>
        <v>25</v>
      </c>
      <c r="X244">
        <f t="shared" si="7"/>
        <v>292</v>
      </c>
    </row>
    <row r="245" spans="1:24" x14ac:dyDescent="0.35">
      <c r="A245" t="s">
        <v>388</v>
      </c>
      <c r="B245" t="s">
        <v>75</v>
      </c>
      <c r="C245" t="s">
        <v>1411</v>
      </c>
      <c r="D245" t="s">
        <v>3615</v>
      </c>
      <c r="E245" t="s">
        <v>68</v>
      </c>
      <c r="F245" t="s">
        <v>3616</v>
      </c>
      <c r="G245" t="s">
        <v>3617</v>
      </c>
      <c r="H245" s="1">
        <v>46259</v>
      </c>
      <c r="I245" s="6">
        <v>45501</v>
      </c>
      <c r="J245" s="6">
        <v>46418</v>
      </c>
      <c r="K245">
        <v>30</v>
      </c>
      <c r="L245">
        <v>55</v>
      </c>
      <c r="M245">
        <v>4</v>
      </c>
      <c r="N245" s="8">
        <v>6</v>
      </c>
      <c r="O245">
        <v>56</v>
      </c>
      <c r="P245">
        <v>31</v>
      </c>
      <c r="Q245" s="3">
        <v>-0.77</v>
      </c>
      <c r="R245">
        <v>180</v>
      </c>
      <c r="S245">
        <v>336</v>
      </c>
      <c r="T245" t="s">
        <v>3877</v>
      </c>
      <c r="U245" t="s">
        <v>3836</v>
      </c>
      <c r="V245" s="14">
        <v>673</v>
      </c>
      <c r="W245">
        <f t="shared" si="6"/>
        <v>25</v>
      </c>
      <c r="X245">
        <f t="shared" si="7"/>
        <v>24</v>
      </c>
    </row>
    <row r="246" spans="1:24" x14ac:dyDescent="0.35">
      <c r="A246" t="s">
        <v>222</v>
      </c>
      <c r="B246" t="s">
        <v>65</v>
      </c>
      <c r="C246" t="s">
        <v>223</v>
      </c>
      <c r="D246" t="s">
        <v>224</v>
      </c>
      <c r="E246" t="s">
        <v>30</v>
      </c>
      <c r="F246" t="s">
        <v>225</v>
      </c>
      <c r="G246" t="s">
        <v>226</v>
      </c>
      <c r="H246" s="1">
        <v>46058</v>
      </c>
      <c r="I246" s="6">
        <v>45619</v>
      </c>
      <c r="J246" s="6">
        <v>46208</v>
      </c>
      <c r="K246">
        <v>54</v>
      </c>
      <c r="L246">
        <v>78</v>
      </c>
      <c r="M246">
        <v>81</v>
      </c>
      <c r="N246" s="8">
        <v>1.5</v>
      </c>
      <c r="O246">
        <v>41</v>
      </c>
      <c r="P246">
        <v>63</v>
      </c>
      <c r="Q246" s="2">
        <v>2.3599999999999999E-2</v>
      </c>
      <c r="R246">
        <v>81</v>
      </c>
      <c r="S246">
        <v>61.5</v>
      </c>
      <c r="T246" t="s">
        <v>3877</v>
      </c>
      <c r="U246" t="s">
        <v>3836</v>
      </c>
      <c r="V246" s="14">
        <v>555</v>
      </c>
      <c r="W246">
        <f t="shared" si="6"/>
        <v>24</v>
      </c>
      <c r="X246">
        <f t="shared" si="7"/>
        <v>121.5</v>
      </c>
    </row>
    <row r="247" spans="1:24" x14ac:dyDescent="0.35">
      <c r="A247" t="s">
        <v>331</v>
      </c>
      <c r="B247" t="s">
        <v>27</v>
      </c>
      <c r="C247" t="s">
        <v>332</v>
      </c>
      <c r="D247" t="s">
        <v>333</v>
      </c>
      <c r="E247" t="s">
        <v>21</v>
      </c>
      <c r="F247" t="s">
        <v>334</v>
      </c>
      <c r="G247" t="s">
        <v>335</v>
      </c>
      <c r="H247" s="1">
        <v>46065</v>
      </c>
      <c r="I247" s="6">
        <v>45638</v>
      </c>
      <c r="J247" s="6">
        <v>46339</v>
      </c>
      <c r="K247">
        <v>38</v>
      </c>
      <c r="L247">
        <v>62</v>
      </c>
      <c r="M247">
        <v>47</v>
      </c>
      <c r="N247" s="8">
        <v>4</v>
      </c>
      <c r="O247">
        <v>41</v>
      </c>
      <c r="P247">
        <v>34</v>
      </c>
      <c r="Q247" s="2">
        <v>3.7000000000000002E-3</v>
      </c>
      <c r="R247">
        <v>152</v>
      </c>
      <c r="S247">
        <v>164</v>
      </c>
      <c r="T247" t="s">
        <v>3877</v>
      </c>
      <c r="U247" t="s">
        <v>3836</v>
      </c>
      <c r="V247" s="14">
        <v>536</v>
      </c>
      <c r="W247">
        <f t="shared" si="6"/>
        <v>24</v>
      </c>
      <c r="X247">
        <f t="shared" si="7"/>
        <v>188</v>
      </c>
    </row>
    <row r="248" spans="1:24" x14ac:dyDescent="0.35">
      <c r="A248" t="s">
        <v>975</v>
      </c>
      <c r="B248" t="s">
        <v>18</v>
      </c>
      <c r="C248" t="s">
        <v>937</v>
      </c>
      <c r="D248" t="s">
        <v>1315</v>
      </c>
      <c r="E248" t="s">
        <v>68</v>
      </c>
      <c r="F248" t="s">
        <v>1316</v>
      </c>
      <c r="G248" t="s">
        <v>1317</v>
      </c>
      <c r="H248" s="1">
        <v>46304</v>
      </c>
      <c r="I248" s="6">
        <v>45706</v>
      </c>
      <c r="J248" s="6">
        <v>46324</v>
      </c>
      <c r="K248">
        <v>31</v>
      </c>
      <c r="L248">
        <v>55</v>
      </c>
      <c r="M248">
        <v>5</v>
      </c>
      <c r="N248" s="8">
        <v>2</v>
      </c>
      <c r="O248">
        <v>71</v>
      </c>
      <c r="P248">
        <v>46</v>
      </c>
      <c r="Q248" s="3">
        <v>0.22</v>
      </c>
      <c r="R248">
        <v>62</v>
      </c>
      <c r="S248">
        <v>142</v>
      </c>
      <c r="T248" t="s">
        <v>3877</v>
      </c>
      <c r="U248" t="s">
        <v>3836</v>
      </c>
      <c r="V248" s="14">
        <v>468</v>
      </c>
      <c r="W248">
        <f t="shared" si="6"/>
        <v>24</v>
      </c>
      <c r="X248">
        <f t="shared" si="7"/>
        <v>10</v>
      </c>
    </row>
    <row r="249" spans="1:24" x14ac:dyDescent="0.35">
      <c r="A249" t="s">
        <v>371</v>
      </c>
      <c r="B249" t="s">
        <v>75</v>
      </c>
      <c r="C249" t="s">
        <v>2616</v>
      </c>
      <c r="D249" t="s">
        <v>3537</v>
      </c>
      <c r="E249" t="s">
        <v>68</v>
      </c>
      <c r="F249" t="s">
        <v>3538</v>
      </c>
      <c r="G249" t="s">
        <v>3539</v>
      </c>
      <c r="H249" s="1">
        <v>46251</v>
      </c>
      <c r="I249" s="6">
        <v>45566</v>
      </c>
      <c r="J249" s="6">
        <v>46268</v>
      </c>
      <c r="K249">
        <v>49</v>
      </c>
      <c r="L249">
        <v>73</v>
      </c>
      <c r="M249">
        <v>48</v>
      </c>
      <c r="N249" s="8">
        <v>12</v>
      </c>
      <c r="O249">
        <v>52</v>
      </c>
      <c r="P249">
        <v>62</v>
      </c>
      <c r="Q249" s="3">
        <v>0.37</v>
      </c>
      <c r="R249">
        <v>588</v>
      </c>
      <c r="S249">
        <v>624</v>
      </c>
      <c r="T249" t="s">
        <v>3877</v>
      </c>
      <c r="U249" t="s">
        <v>3836</v>
      </c>
      <c r="V249" s="14">
        <v>608</v>
      </c>
      <c r="W249">
        <f t="shared" si="6"/>
        <v>24</v>
      </c>
      <c r="X249">
        <f t="shared" si="7"/>
        <v>576</v>
      </c>
    </row>
    <row r="250" spans="1:24" x14ac:dyDescent="0.35">
      <c r="A250" t="s">
        <v>1008</v>
      </c>
      <c r="B250" t="s">
        <v>18</v>
      </c>
      <c r="C250" t="s">
        <v>3718</v>
      </c>
      <c r="D250" t="s">
        <v>3719</v>
      </c>
      <c r="E250" t="s">
        <v>68</v>
      </c>
      <c r="F250" t="s">
        <v>3720</v>
      </c>
      <c r="G250" t="s">
        <v>3721</v>
      </c>
      <c r="H250" s="1">
        <v>46283</v>
      </c>
      <c r="I250" s="6">
        <v>45424</v>
      </c>
      <c r="J250" s="6">
        <v>46203</v>
      </c>
      <c r="K250">
        <v>48</v>
      </c>
      <c r="L250">
        <v>72</v>
      </c>
      <c r="M250">
        <v>55</v>
      </c>
      <c r="N250" s="8">
        <v>3</v>
      </c>
      <c r="O250">
        <v>51</v>
      </c>
      <c r="P250">
        <v>41</v>
      </c>
      <c r="Q250" s="3">
        <v>0.54</v>
      </c>
      <c r="R250">
        <v>144</v>
      </c>
      <c r="S250">
        <v>153</v>
      </c>
      <c r="T250" t="s">
        <v>3877</v>
      </c>
      <c r="U250" t="s">
        <v>3837</v>
      </c>
      <c r="V250" s="14">
        <v>750</v>
      </c>
      <c r="W250">
        <f t="shared" si="6"/>
        <v>24</v>
      </c>
      <c r="X250">
        <f t="shared" si="7"/>
        <v>165</v>
      </c>
    </row>
    <row r="251" spans="1:24" x14ac:dyDescent="0.35">
      <c r="A251" t="s">
        <v>58</v>
      </c>
      <c r="B251" t="s">
        <v>18</v>
      </c>
      <c r="C251" t="s">
        <v>241</v>
      </c>
      <c r="D251" t="s">
        <v>508</v>
      </c>
      <c r="E251" t="s">
        <v>21</v>
      </c>
      <c r="F251" t="s">
        <v>509</v>
      </c>
      <c r="G251" t="s">
        <v>510</v>
      </c>
      <c r="H251" s="1">
        <v>46117</v>
      </c>
      <c r="I251" s="6">
        <v>45376</v>
      </c>
      <c r="J251" s="6">
        <v>46084</v>
      </c>
      <c r="K251">
        <v>59</v>
      </c>
      <c r="L251">
        <v>82</v>
      </c>
      <c r="M251">
        <v>69</v>
      </c>
      <c r="N251" s="8">
        <v>2.4500000000000002</v>
      </c>
      <c r="O251">
        <v>30</v>
      </c>
      <c r="P251">
        <v>34</v>
      </c>
      <c r="Q251" s="3">
        <v>0.22</v>
      </c>
      <c r="R251">
        <v>144.55000000000001</v>
      </c>
      <c r="S251">
        <v>73.5</v>
      </c>
      <c r="T251" t="s">
        <v>3877</v>
      </c>
      <c r="U251" t="s">
        <v>3838</v>
      </c>
      <c r="V251" s="14">
        <v>798</v>
      </c>
      <c r="W251">
        <f t="shared" si="6"/>
        <v>23</v>
      </c>
      <c r="X251">
        <f t="shared" si="7"/>
        <v>169.05</v>
      </c>
    </row>
    <row r="252" spans="1:24" x14ac:dyDescent="0.35">
      <c r="A252" t="s">
        <v>388</v>
      </c>
      <c r="B252" t="s">
        <v>75</v>
      </c>
      <c r="C252" t="s">
        <v>703</v>
      </c>
      <c r="D252" t="s">
        <v>704</v>
      </c>
      <c r="E252" t="s">
        <v>68</v>
      </c>
      <c r="F252" t="s">
        <v>705</v>
      </c>
      <c r="G252" t="s">
        <v>706</v>
      </c>
      <c r="H252" s="1">
        <v>46151</v>
      </c>
      <c r="I252" s="6">
        <v>45556</v>
      </c>
      <c r="J252" s="6">
        <v>46105</v>
      </c>
      <c r="K252">
        <v>44</v>
      </c>
      <c r="L252">
        <v>67</v>
      </c>
      <c r="M252">
        <v>48</v>
      </c>
      <c r="N252" s="8">
        <v>6</v>
      </c>
      <c r="O252">
        <v>90</v>
      </c>
      <c r="P252">
        <v>11</v>
      </c>
      <c r="Q252" s="3">
        <v>-0.13</v>
      </c>
      <c r="R252">
        <v>264</v>
      </c>
      <c r="S252">
        <v>540</v>
      </c>
      <c r="T252" t="s">
        <v>3877</v>
      </c>
      <c r="U252" t="s">
        <v>3838</v>
      </c>
      <c r="V252" s="14">
        <v>618</v>
      </c>
      <c r="W252">
        <f t="shared" si="6"/>
        <v>23</v>
      </c>
      <c r="X252">
        <f t="shared" si="7"/>
        <v>288</v>
      </c>
    </row>
    <row r="253" spans="1:24" x14ac:dyDescent="0.35">
      <c r="A253" t="s">
        <v>106</v>
      </c>
      <c r="B253" t="s">
        <v>18</v>
      </c>
      <c r="C253" t="s">
        <v>562</v>
      </c>
      <c r="D253" t="s">
        <v>1057</v>
      </c>
      <c r="E253" t="s">
        <v>21</v>
      </c>
      <c r="F253" t="s">
        <v>1058</v>
      </c>
      <c r="G253" t="s">
        <v>1059</v>
      </c>
      <c r="H253" s="1">
        <v>46241</v>
      </c>
      <c r="I253" s="6">
        <v>45635</v>
      </c>
      <c r="J253" s="6">
        <v>46337</v>
      </c>
      <c r="K253">
        <v>36</v>
      </c>
      <c r="L253">
        <v>59</v>
      </c>
      <c r="M253">
        <v>90</v>
      </c>
      <c r="N253" s="8">
        <v>3</v>
      </c>
      <c r="O253">
        <v>25</v>
      </c>
      <c r="P253">
        <v>60</v>
      </c>
      <c r="Q253" s="3">
        <v>0.91</v>
      </c>
      <c r="R253">
        <v>108</v>
      </c>
      <c r="S253">
        <v>75</v>
      </c>
      <c r="T253" t="s">
        <v>3877</v>
      </c>
      <c r="U253" t="s">
        <v>3836</v>
      </c>
      <c r="V253" s="14">
        <v>539</v>
      </c>
      <c r="W253">
        <f t="shared" si="6"/>
        <v>23</v>
      </c>
      <c r="X253">
        <f t="shared" si="7"/>
        <v>270</v>
      </c>
    </row>
    <row r="254" spans="1:24" x14ac:dyDescent="0.35">
      <c r="A254" t="s">
        <v>653</v>
      </c>
      <c r="B254" t="s">
        <v>163</v>
      </c>
      <c r="C254" t="s">
        <v>611</v>
      </c>
      <c r="D254" t="s">
        <v>1701</v>
      </c>
      <c r="E254" t="s">
        <v>68</v>
      </c>
      <c r="F254" t="s">
        <v>1702</v>
      </c>
      <c r="G254" t="s">
        <v>1703</v>
      </c>
      <c r="H254" s="1">
        <v>46569</v>
      </c>
      <c r="I254" s="6">
        <v>45349</v>
      </c>
      <c r="J254" s="6">
        <v>46110</v>
      </c>
      <c r="K254">
        <v>20</v>
      </c>
      <c r="L254">
        <v>43</v>
      </c>
      <c r="M254">
        <v>43</v>
      </c>
      <c r="N254" s="8">
        <v>25</v>
      </c>
      <c r="O254">
        <v>73</v>
      </c>
      <c r="P254">
        <v>6</v>
      </c>
      <c r="Q254" s="3">
        <v>0.78</v>
      </c>
      <c r="R254">
        <v>500</v>
      </c>
      <c r="S254">
        <v>1825</v>
      </c>
      <c r="T254" t="s">
        <v>3877</v>
      </c>
      <c r="U254" t="s">
        <v>3838</v>
      </c>
      <c r="V254" s="14">
        <v>825</v>
      </c>
      <c r="W254">
        <f t="shared" si="6"/>
        <v>23</v>
      </c>
      <c r="X254">
        <f t="shared" si="7"/>
        <v>1075</v>
      </c>
    </row>
    <row r="255" spans="1:24" x14ac:dyDescent="0.35">
      <c r="A255" t="s">
        <v>58</v>
      </c>
      <c r="B255" t="s">
        <v>18</v>
      </c>
      <c r="C255" t="s">
        <v>1649</v>
      </c>
      <c r="D255" t="s">
        <v>1960</v>
      </c>
      <c r="E255" t="s">
        <v>30</v>
      </c>
      <c r="F255" t="s">
        <v>1961</v>
      </c>
      <c r="G255" t="s">
        <v>1962</v>
      </c>
      <c r="H255" s="1">
        <v>46415</v>
      </c>
      <c r="I255" s="6">
        <v>45616</v>
      </c>
      <c r="J255" s="6">
        <v>46232</v>
      </c>
      <c r="K255">
        <v>65</v>
      </c>
      <c r="L255">
        <v>88</v>
      </c>
      <c r="M255">
        <v>20</v>
      </c>
      <c r="N255" s="8">
        <v>2.5</v>
      </c>
      <c r="O255">
        <v>89</v>
      </c>
      <c r="P255">
        <v>37</v>
      </c>
      <c r="Q255" s="3">
        <v>0.26</v>
      </c>
      <c r="R255">
        <v>162.5</v>
      </c>
      <c r="S255">
        <v>222.5</v>
      </c>
      <c r="T255" t="s">
        <v>3877</v>
      </c>
      <c r="U255" t="s">
        <v>3836</v>
      </c>
      <c r="V255" s="14">
        <v>558</v>
      </c>
      <c r="W255">
        <f t="shared" si="6"/>
        <v>23</v>
      </c>
      <c r="X255">
        <f t="shared" si="7"/>
        <v>50</v>
      </c>
    </row>
    <row r="256" spans="1:24" x14ac:dyDescent="0.35">
      <c r="A256" t="s">
        <v>1201</v>
      </c>
      <c r="B256" t="s">
        <v>18</v>
      </c>
      <c r="C256" t="s">
        <v>2304</v>
      </c>
      <c r="D256" t="s">
        <v>2603</v>
      </c>
      <c r="E256" t="s">
        <v>68</v>
      </c>
      <c r="F256" t="s">
        <v>2604</v>
      </c>
      <c r="G256" t="s">
        <v>2605</v>
      </c>
      <c r="H256" s="1">
        <v>46438</v>
      </c>
      <c r="I256" s="6">
        <v>45634</v>
      </c>
      <c r="J256" s="6">
        <v>46369</v>
      </c>
      <c r="K256">
        <v>31</v>
      </c>
      <c r="L256">
        <v>54</v>
      </c>
      <c r="M256">
        <v>52</v>
      </c>
      <c r="N256" s="8">
        <v>4</v>
      </c>
      <c r="O256">
        <v>69</v>
      </c>
      <c r="P256">
        <v>77</v>
      </c>
      <c r="Q256" s="3">
        <v>-0.14000000000000001</v>
      </c>
      <c r="R256">
        <v>124</v>
      </c>
      <c r="S256">
        <v>276</v>
      </c>
      <c r="T256" t="s">
        <v>3877</v>
      </c>
      <c r="U256" t="s">
        <v>3836</v>
      </c>
      <c r="V256" s="14">
        <v>540</v>
      </c>
      <c r="W256">
        <f t="shared" si="6"/>
        <v>23</v>
      </c>
      <c r="X256">
        <f t="shared" si="7"/>
        <v>208</v>
      </c>
    </row>
    <row r="257" spans="1:24" x14ac:dyDescent="0.35">
      <c r="A257" t="s">
        <v>856</v>
      </c>
      <c r="B257" t="s">
        <v>18</v>
      </c>
      <c r="C257" t="s">
        <v>265</v>
      </c>
      <c r="D257" t="s">
        <v>2680</v>
      </c>
      <c r="E257" t="s">
        <v>68</v>
      </c>
      <c r="F257" t="s">
        <v>2681</v>
      </c>
      <c r="G257" t="s">
        <v>2682</v>
      </c>
      <c r="H257" s="1">
        <v>46094</v>
      </c>
      <c r="I257" s="6">
        <v>45361</v>
      </c>
      <c r="J257" s="6">
        <v>46104</v>
      </c>
      <c r="K257">
        <v>44</v>
      </c>
      <c r="L257">
        <v>67</v>
      </c>
      <c r="M257">
        <v>15</v>
      </c>
      <c r="N257" s="8">
        <v>2.5</v>
      </c>
      <c r="O257">
        <v>82</v>
      </c>
      <c r="P257">
        <v>51</v>
      </c>
      <c r="Q257" s="3">
        <v>-1.68</v>
      </c>
      <c r="R257">
        <v>110</v>
      </c>
      <c r="S257">
        <v>205</v>
      </c>
      <c r="T257" t="s">
        <v>3877</v>
      </c>
      <c r="U257" t="s">
        <v>3838</v>
      </c>
      <c r="V257" s="14">
        <v>813</v>
      </c>
      <c r="W257">
        <f t="shared" si="6"/>
        <v>23</v>
      </c>
      <c r="X257">
        <f t="shared" si="7"/>
        <v>37.5</v>
      </c>
    </row>
    <row r="258" spans="1:24" x14ac:dyDescent="0.35">
      <c r="A258" t="s">
        <v>1341</v>
      </c>
      <c r="B258" t="s">
        <v>18</v>
      </c>
      <c r="C258" t="s">
        <v>1649</v>
      </c>
      <c r="D258" t="s">
        <v>2925</v>
      </c>
      <c r="E258" t="s">
        <v>21</v>
      </c>
      <c r="F258" t="s">
        <v>2926</v>
      </c>
      <c r="G258" t="s">
        <v>2927</v>
      </c>
      <c r="H258" s="1">
        <v>46132</v>
      </c>
      <c r="I258" s="6">
        <v>45549</v>
      </c>
      <c r="J258" s="6">
        <v>46131</v>
      </c>
      <c r="K258">
        <v>43</v>
      </c>
      <c r="L258">
        <v>66</v>
      </c>
      <c r="M258">
        <v>85</v>
      </c>
      <c r="N258" s="8">
        <v>2.5</v>
      </c>
      <c r="O258">
        <v>66</v>
      </c>
      <c r="P258">
        <v>65</v>
      </c>
      <c r="Q258" s="3">
        <v>-0.37</v>
      </c>
      <c r="R258">
        <v>107.5</v>
      </c>
      <c r="S258">
        <v>165</v>
      </c>
      <c r="T258" t="s">
        <v>3877</v>
      </c>
      <c r="U258" t="s">
        <v>3838</v>
      </c>
      <c r="V258" s="14">
        <v>625</v>
      </c>
      <c r="W258">
        <f t="shared" ref="W258:W321" si="8">L258-K258</f>
        <v>23</v>
      </c>
      <c r="X258">
        <f t="shared" ref="X258:X321" si="9">M258*N258</f>
        <v>212.5</v>
      </c>
    </row>
    <row r="259" spans="1:24" x14ac:dyDescent="0.35">
      <c r="A259" t="s">
        <v>1603</v>
      </c>
      <c r="B259" t="s">
        <v>36</v>
      </c>
      <c r="C259" t="s">
        <v>1217</v>
      </c>
      <c r="D259" t="s">
        <v>2988</v>
      </c>
      <c r="E259" t="s">
        <v>21</v>
      </c>
      <c r="F259" t="s">
        <v>2989</v>
      </c>
      <c r="G259" t="s">
        <v>2990</v>
      </c>
      <c r="H259" s="1">
        <v>46141</v>
      </c>
      <c r="I259" s="6">
        <v>45475</v>
      </c>
      <c r="J259" s="6">
        <v>46263</v>
      </c>
      <c r="K259">
        <v>48</v>
      </c>
      <c r="L259">
        <v>71</v>
      </c>
      <c r="M259">
        <v>86</v>
      </c>
      <c r="N259" s="8">
        <v>3</v>
      </c>
      <c r="O259">
        <v>95</v>
      </c>
      <c r="P259">
        <v>3</v>
      </c>
      <c r="Q259" s="3">
        <v>0.79</v>
      </c>
      <c r="R259">
        <v>144</v>
      </c>
      <c r="S259">
        <v>285</v>
      </c>
      <c r="T259" t="s">
        <v>3877</v>
      </c>
      <c r="U259" t="s">
        <v>3836</v>
      </c>
      <c r="V259" s="14">
        <v>699</v>
      </c>
      <c r="W259">
        <f t="shared" si="8"/>
        <v>23</v>
      </c>
      <c r="X259">
        <f t="shared" si="9"/>
        <v>258</v>
      </c>
    </row>
    <row r="260" spans="1:24" x14ac:dyDescent="0.35">
      <c r="A260" t="s">
        <v>653</v>
      </c>
      <c r="B260" t="s">
        <v>163</v>
      </c>
      <c r="C260" t="s">
        <v>696</v>
      </c>
      <c r="D260" t="s">
        <v>3258</v>
      </c>
      <c r="E260" t="s">
        <v>68</v>
      </c>
      <c r="F260" t="s">
        <v>3259</v>
      </c>
      <c r="G260" t="s">
        <v>3260</v>
      </c>
      <c r="H260" s="1">
        <v>46197</v>
      </c>
      <c r="I260" s="6">
        <v>45701</v>
      </c>
      <c r="J260" s="6">
        <v>46389</v>
      </c>
      <c r="K260">
        <v>58</v>
      </c>
      <c r="L260">
        <v>81</v>
      </c>
      <c r="M260">
        <v>66</v>
      </c>
      <c r="N260" s="8">
        <v>25</v>
      </c>
      <c r="O260">
        <v>85</v>
      </c>
      <c r="P260">
        <v>78</v>
      </c>
      <c r="Q260" s="3">
        <v>0.94</v>
      </c>
      <c r="R260">
        <v>1450</v>
      </c>
      <c r="S260">
        <v>2125</v>
      </c>
      <c r="T260" t="s">
        <v>3877</v>
      </c>
      <c r="U260" t="s">
        <v>3836</v>
      </c>
      <c r="V260" s="14">
        <v>473</v>
      </c>
      <c r="W260">
        <f t="shared" si="8"/>
        <v>23</v>
      </c>
      <c r="X260">
        <f t="shared" si="9"/>
        <v>1650</v>
      </c>
    </row>
    <row r="261" spans="1:24" x14ac:dyDescent="0.35">
      <c r="A261" t="s">
        <v>695</v>
      </c>
      <c r="B261" t="s">
        <v>65</v>
      </c>
      <c r="C261" t="s">
        <v>1619</v>
      </c>
      <c r="D261" t="s">
        <v>3335</v>
      </c>
      <c r="E261" t="s">
        <v>21</v>
      </c>
      <c r="F261" t="s">
        <v>3336</v>
      </c>
      <c r="G261" t="s">
        <v>3337</v>
      </c>
      <c r="H261" s="1">
        <v>46217</v>
      </c>
      <c r="I261" s="6">
        <v>45369</v>
      </c>
      <c r="J261" s="6">
        <v>46178</v>
      </c>
      <c r="K261">
        <v>44</v>
      </c>
      <c r="L261">
        <v>67</v>
      </c>
      <c r="M261">
        <v>31</v>
      </c>
      <c r="N261" s="8">
        <v>2.5</v>
      </c>
      <c r="O261">
        <v>44</v>
      </c>
      <c r="P261">
        <v>72</v>
      </c>
      <c r="Q261" s="3">
        <v>-1.34</v>
      </c>
      <c r="R261">
        <v>110</v>
      </c>
      <c r="S261">
        <v>110</v>
      </c>
      <c r="T261" t="s">
        <v>3877</v>
      </c>
      <c r="U261" t="s">
        <v>3837</v>
      </c>
      <c r="V261" s="14">
        <v>805</v>
      </c>
      <c r="W261">
        <f t="shared" si="8"/>
        <v>23</v>
      </c>
      <c r="X261">
        <f t="shared" si="9"/>
        <v>77.5</v>
      </c>
    </row>
    <row r="262" spans="1:24" x14ac:dyDescent="0.35">
      <c r="A262" t="s">
        <v>861</v>
      </c>
      <c r="B262" t="s">
        <v>36</v>
      </c>
      <c r="C262" t="s">
        <v>1226</v>
      </c>
      <c r="D262" t="s">
        <v>1227</v>
      </c>
      <c r="E262" t="s">
        <v>21</v>
      </c>
      <c r="F262" t="s">
        <v>1228</v>
      </c>
      <c r="G262" t="s">
        <v>1229</v>
      </c>
      <c r="H262" s="1">
        <v>46275</v>
      </c>
      <c r="I262" s="6">
        <v>45523</v>
      </c>
      <c r="J262" s="6">
        <v>46421</v>
      </c>
      <c r="K262">
        <v>71</v>
      </c>
      <c r="L262">
        <v>93</v>
      </c>
      <c r="M262">
        <v>75</v>
      </c>
      <c r="N262" s="8">
        <v>7</v>
      </c>
      <c r="O262">
        <v>77</v>
      </c>
      <c r="P262">
        <v>58</v>
      </c>
      <c r="Q262" s="3">
        <v>0.02</v>
      </c>
      <c r="R262">
        <v>497</v>
      </c>
      <c r="S262">
        <v>539</v>
      </c>
      <c r="T262" t="s">
        <v>3877</v>
      </c>
      <c r="U262" t="s">
        <v>3836</v>
      </c>
      <c r="V262" s="14">
        <v>651</v>
      </c>
      <c r="W262">
        <f t="shared" si="8"/>
        <v>22</v>
      </c>
      <c r="X262">
        <f t="shared" si="9"/>
        <v>525</v>
      </c>
    </row>
    <row r="263" spans="1:24" x14ac:dyDescent="0.35">
      <c r="A263" t="s">
        <v>89</v>
      </c>
      <c r="B263" t="s">
        <v>36</v>
      </c>
      <c r="C263" t="s">
        <v>1950</v>
      </c>
      <c r="D263" t="s">
        <v>2215</v>
      </c>
      <c r="E263" t="s">
        <v>30</v>
      </c>
      <c r="F263" t="s">
        <v>2216</v>
      </c>
      <c r="G263" t="s">
        <v>2217</v>
      </c>
      <c r="H263" s="1">
        <v>46340</v>
      </c>
      <c r="I263" s="6">
        <v>45435</v>
      </c>
      <c r="J263" s="6">
        <v>46309</v>
      </c>
      <c r="K263">
        <v>76</v>
      </c>
      <c r="L263">
        <v>98</v>
      </c>
      <c r="M263">
        <v>41</v>
      </c>
      <c r="N263" s="8">
        <v>1.75</v>
      </c>
      <c r="O263">
        <v>62</v>
      </c>
      <c r="P263">
        <v>48</v>
      </c>
      <c r="Q263" s="3">
        <v>0.97</v>
      </c>
      <c r="R263">
        <v>133</v>
      </c>
      <c r="S263">
        <v>108.5</v>
      </c>
      <c r="T263" t="s">
        <v>3877</v>
      </c>
      <c r="U263" t="s">
        <v>3836</v>
      </c>
      <c r="V263" s="14">
        <v>739</v>
      </c>
      <c r="W263">
        <f t="shared" si="8"/>
        <v>22</v>
      </c>
      <c r="X263">
        <f t="shared" si="9"/>
        <v>71.75</v>
      </c>
    </row>
    <row r="264" spans="1:24" x14ac:dyDescent="0.35">
      <c r="A264" t="s">
        <v>408</v>
      </c>
      <c r="B264" t="s">
        <v>18</v>
      </c>
      <c r="C264" t="s">
        <v>2348</v>
      </c>
      <c r="D264" t="s">
        <v>2349</v>
      </c>
      <c r="E264" t="s">
        <v>21</v>
      </c>
      <c r="F264" t="s">
        <v>2350</v>
      </c>
      <c r="G264" t="s">
        <v>2351</v>
      </c>
      <c r="H264" s="1">
        <v>46354</v>
      </c>
      <c r="I264" s="6">
        <v>45684</v>
      </c>
      <c r="J264" s="6">
        <v>46438</v>
      </c>
      <c r="K264">
        <v>20</v>
      </c>
      <c r="L264">
        <v>42</v>
      </c>
      <c r="M264">
        <v>21</v>
      </c>
      <c r="N264" s="8">
        <v>3.85</v>
      </c>
      <c r="O264">
        <v>61</v>
      </c>
      <c r="P264">
        <v>25</v>
      </c>
      <c r="Q264" s="3">
        <v>0.24</v>
      </c>
      <c r="R264">
        <v>77</v>
      </c>
      <c r="S264">
        <v>234.85</v>
      </c>
      <c r="T264" t="s">
        <v>3877</v>
      </c>
      <c r="U264" t="s">
        <v>3836</v>
      </c>
      <c r="V264" s="14">
        <v>490</v>
      </c>
      <c r="W264">
        <f t="shared" si="8"/>
        <v>22</v>
      </c>
      <c r="X264">
        <f t="shared" si="9"/>
        <v>80.850000000000009</v>
      </c>
    </row>
    <row r="265" spans="1:24" x14ac:dyDescent="0.35">
      <c r="A265" t="s">
        <v>350</v>
      </c>
      <c r="B265" t="s">
        <v>36</v>
      </c>
      <c r="C265" t="s">
        <v>2002</v>
      </c>
      <c r="D265" t="s">
        <v>2362</v>
      </c>
      <c r="E265" t="s">
        <v>30</v>
      </c>
      <c r="F265" t="s">
        <v>2363</v>
      </c>
      <c r="G265" t="s">
        <v>2364</v>
      </c>
      <c r="H265" s="1">
        <v>46356</v>
      </c>
      <c r="I265" s="6">
        <v>45521</v>
      </c>
      <c r="J265" s="6">
        <v>46214</v>
      </c>
      <c r="K265">
        <v>70</v>
      </c>
      <c r="L265">
        <v>92</v>
      </c>
      <c r="M265">
        <v>74</v>
      </c>
      <c r="N265" s="8">
        <v>1</v>
      </c>
      <c r="O265">
        <v>95</v>
      </c>
      <c r="P265">
        <v>26</v>
      </c>
      <c r="Q265" s="3">
        <v>-0.61</v>
      </c>
      <c r="R265">
        <v>70</v>
      </c>
      <c r="S265">
        <v>95</v>
      </c>
      <c r="T265" t="s">
        <v>3877</v>
      </c>
      <c r="U265" t="s">
        <v>3836</v>
      </c>
      <c r="V265" s="14">
        <v>653</v>
      </c>
      <c r="W265">
        <f t="shared" si="8"/>
        <v>22</v>
      </c>
      <c r="X265">
        <f t="shared" si="9"/>
        <v>74</v>
      </c>
    </row>
    <row r="266" spans="1:24" x14ac:dyDescent="0.35">
      <c r="A266" t="s">
        <v>435</v>
      </c>
      <c r="B266" t="s">
        <v>18</v>
      </c>
      <c r="C266" t="s">
        <v>2434</v>
      </c>
      <c r="D266" t="s">
        <v>2435</v>
      </c>
      <c r="E266" t="s">
        <v>30</v>
      </c>
      <c r="F266" t="s">
        <v>2436</v>
      </c>
      <c r="G266" t="s">
        <v>2437</v>
      </c>
      <c r="H266" s="1">
        <v>46377</v>
      </c>
      <c r="I266" s="6">
        <v>45538</v>
      </c>
      <c r="J266" s="6">
        <v>46403</v>
      </c>
      <c r="K266">
        <v>43</v>
      </c>
      <c r="L266">
        <v>65</v>
      </c>
      <c r="M266">
        <v>66</v>
      </c>
      <c r="N266" s="8">
        <v>6</v>
      </c>
      <c r="O266">
        <v>78</v>
      </c>
      <c r="P266">
        <v>73</v>
      </c>
      <c r="Q266" s="3">
        <v>0.88</v>
      </c>
      <c r="R266">
        <v>258</v>
      </c>
      <c r="S266">
        <v>468</v>
      </c>
      <c r="T266" t="s">
        <v>3877</v>
      </c>
      <c r="U266" t="s">
        <v>3836</v>
      </c>
      <c r="V266" s="14">
        <v>636</v>
      </c>
      <c r="W266">
        <f t="shared" si="8"/>
        <v>22</v>
      </c>
      <c r="X266">
        <f t="shared" si="9"/>
        <v>396</v>
      </c>
    </row>
    <row r="267" spans="1:24" x14ac:dyDescent="0.35">
      <c r="A267" t="s">
        <v>283</v>
      </c>
      <c r="B267" t="s">
        <v>163</v>
      </c>
      <c r="C267" t="s">
        <v>2760</v>
      </c>
      <c r="D267" t="s">
        <v>2761</v>
      </c>
      <c r="E267" t="s">
        <v>21</v>
      </c>
      <c r="F267" t="s">
        <v>2762</v>
      </c>
      <c r="G267" t="s">
        <v>2763</v>
      </c>
      <c r="H267" s="1">
        <v>46103</v>
      </c>
      <c r="I267" s="6">
        <v>45468</v>
      </c>
      <c r="J267" s="6">
        <v>46287</v>
      </c>
      <c r="K267">
        <v>20</v>
      </c>
      <c r="L267">
        <v>42</v>
      </c>
      <c r="M267">
        <v>45</v>
      </c>
      <c r="N267" s="8">
        <v>10</v>
      </c>
      <c r="O267">
        <v>72</v>
      </c>
      <c r="P267">
        <v>28</v>
      </c>
      <c r="Q267" s="3">
        <v>0.08</v>
      </c>
      <c r="R267">
        <v>200</v>
      </c>
      <c r="S267">
        <v>720</v>
      </c>
      <c r="T267" t="s">
        <v>3877</v>
      </c>
      <c r="U267" t="s">
        <v>3836</v>
      </c>
      <c r="V267" s="14">
        <v>706</v>
      </c>
      <c r="W267">
        <f t="shared" si="8"/>
        <v>22</v>
      </c>
      <c r="X267">
        <f t="shared" si="9"/>
        <v>450</v>
      </c>
    </row>
    <row r="268" spans="1:24" x14ac:dyDescent="0.35">
      <c r="A268" t="s">
        <v>671</v>
      </c>
      <c r="B268" t="s">
        <v>65</v>
      </c>
      <c r="C268" t="s">
        <v>799</v>
      </c>
      <c r="D268" t="s">
        <v>800</v>
      </c>
      <c r="E268" t="s">
        <v>21</v>
      </c>
      <c r="F268" t="s">
        <v>801</v>
      </c>
      <c r="G268" t="s">
        <v>802</v>
      </c>
      <c r="H268" s="1">
        <v>46177</v>
      </c>
      <c r="I268" s="6">
        <v>45413</v>
      </c>
      <c r="J268" s="6">
        <v>46343</v>
      </c>
      <c r="K268">
        <v>67</v>
      </c>
      <c r="L268">
        <v>88</v>
      </c>
      <c r="M268">
        <v>32</v>
      </c>
      <c r="N268" s="8">
        <v>1.5</v>
      </c>
      <c r="O268">
        <v>66</v>
      </c>
      <c r="P268">
        <v>42</v>
      </c>
      <c r="Q268" s="3">
        <v>0.3</v>
      </c>
      <c r="R268">
        <v>100.5</v>
      </c>
      <c r="S268">
        <v>99</v>
      </c>
      <c r="T268" t="s">
        <v>3877</v>
      </c>
      <c r="U268" t="s">
        <v>3836</v>
      </c>
      <c r="V268" s="14">
        <v>761</v>
      </c>
      <c r="W268">
        <f t="shared" si="8"/>
        <v>21</v>
      </c>
      <c r="X268">
        <f t="shared" si="9"/>
        <v>48</v>
      </c>
    </row>
    <row r="269" spans="1:24" x14ac:dyDescent="0.35">
      <c r="A269" t="s">
        <v>916</v>
      </c>
      <c r="B269" t="s">
        <v>114</v>
      </c>
      <c r="C269" t="s">
        <v>1454</v>
      </c>
      <c r="D269" t="s">
        <v>1455</v>
      </c>
      <c r="E269" t="s">
        <v>68</v>
      </c>
      <c r="F269" t="s">
        <v>1456</v>
      </c>
      <c r="G269" t="s">
        <v>1457</v>
      </c>
      <c r="H269" s="1">
        <v>46336</v>
      </c>
      <c r="I269" s="6">
        <v>45472</v>
      </c>
      <c r="J269" s="6">
        <v>46341</v>
      </c>
      <c r="K269">
        <v>34</v>
      </c>
      <c r="L269">
        <v>55</v>
      </c>
      <c r="M269">
        <v>22</v>
      </c>
      <c r="N269" s="8">
        <v>5</v>
      </c>
      <c r="O269">
        <v>77</v>
      </c>
      <c r="P269">
        <v>85</v>
      </c>
      <c r="Q269" s="3">
        <v>-0.04</v>
      </c>
      <c r="R269">
        <v>170</v>
      </c>
      <c r="S269">
        <v>385</v>
      </c>
      <c r="T269" t="s">
        <v>3877</v>
      </c>
      <c r="U269" t="s">
        <v>3836</v>
      </c>
      <c r="V269" s="14">
        <v>702</v>
      </c>
      <c r="W269">
        <f t="shared" si="8"/>
        <v>21</v>
      </c>
      <c r="X269">
        <f t="shared" si="9"/>
        <v>110</v>
      </c>
    </row>
    <row r="270" spans="1:24" x14ac:dyDescent="0.35">
      <c r="A270" t="s">
        <v>270</v>
      </c>
      <c r="B270" t="s">
        <v>36</v>
      </c>
      <c r="C270" t="s">
        <v>1589</v>
      </c>
      <c r="D270" t="s">
        <v>1590</v>
      </c>
      <c r="E270" t="s">
        <v>30</v>
      </c>
      <c r="F270" t="s">
        <v>1591</v>
      </c>
      <c r="G270" t="s">
        <v>1592</v>
      </c>
      <c r="H270" s="1">
        <v>46389</v>
      </c>
      <c r="I270" s="6">
        <v>45499</v>
      </c>
      <c r="J270" s="6">
        <v>46303</v>
      </c>
      <c r="K270">
        <v>22</v>
      </c>
      <c r="L270">
        <v>43</v>
      </c>
      <c r="M270">
        <v>3</v>
      </c>
      <c r="N270" s="8">
        <v>4.0999999999999996</v>
      </c>
      <c r="O270">
        <v>45</v>
      </c>
      <c r="P270">
        <v>87</v>
      </c>
      <c r="Q270" s="3">
        <v>-0.1</v>
      </c>
      <c r="R270">
        <v>90.199999999999989</v>
      </c>
      <c r="S270">
        <v>184.49999999999997</v>
      </c>
      <c r="T270" t="s">
        <v>3877</v>
      </c>
      <c r="U270" t="s">
        <v>3836</v>
      </c>
      <c r="V270" s="14">
        <v>675</v>
      </c>
      <c r="W270">
        <f t="shared" si="8"/>
        <v>21</v>
      </c>
      <c r="X270">
        <f t="shared" si="9"/>
        <v>12.299999999999999</v>
      </c>
    </row>
    <row r="271" spans="1:24" x14ac:dyDescent="0.35">
      <c r="A271" t="s">
        <v>842</v>
      </c>
      <c r="B271" t="s">
        <v>75</v>
      </c>
      <c r="C271" t="s">
        <v>2555</v>
      </c>
      <c r="D271" t="s">
        <v>2556</v>
      </c>
      <c r="E271" t="s">
        <v>68</v>
      </c>
      <c r="F271" t="s">
        <v>2557</v>
      </c>
      <c r="G271" t="s">
        <v>2558</v>
      </c>
      <c r="H271" s="1">
        <v>46432</v>
      </c>
      <c r="I271" s="6">
        <v>45524</v>
      </c>
      <c r="J271" s="6">
        <v>46231</v>
      </c>
      <c r="K271">
        <v>17</v>
      </c>
      <c r="L271">
        <v>38</v>
      </c>
      <c r="M271">
        <v>93</v>
      </c>
      <c r="N271" s="8">
        <v>9</v>
      </c>
      <c r="O271">
        <v>100</v>
      </c>
      <c r="P271">
        <v>63</v>
      </c>
      <c r="Q271" s="3">
        <v>-0.75</v>
      </c>
      <c r="R271">
        <v>153</v>
      </c>
      <c r="S271">
        <v>900</v>
      </c>
      <c r="T271" t="s">
        <v>3877</v>
      </c>
      <c r="U271" t="s">
        <v>3836</v>
      </c>
      <c r="V271" s="14">
        <v>650</v>
      </c>
      <c r="W271">
        <f t="shared" si="8"/>
        <v>21</v>
      </c>
      <c r="X271">
        <f t="shared" si="9"/>
        <v>837</v>
      </c>
    </row>
    <row r="272" spans="1:24" x14ac:dyDescent="0.35">
      <c r="A272" t="s">
        <v>1440</v>
      </c>
      <c r="B272" t="s">
        <v>18</v>
      </c>
      <c r="C272" t="s">
        <v>2764</v>
      </c>
      <c r="D272" t="s">
        <v>2765</v>
      </c>
      <c r="E272" t="s">
        <v>68</v>
      </c>
      <c r="F272" t="s">
        <v>2766</v>
      </c>
      <c r="G272" t="s">
        <v>2767</v>
      </c>
      <c r="H272" s="1">
        <v>46104</v>
      </c>
      <c r="I272" s="6">
        <v>45396</v>
      </c>
      <c r="J272" s="6">
        <v>46318</v>
      </c>
      <c r="K272">
        <v>51</v>
      </c>
      <c r="L272">
        <v>72</v>
      </c>
      <c r="M272">
        <v>85</v>
      </c>
      <c r="N272" s="8">
        <v>3</v>
      </c>
      <c r="O272">
        <v>23</v>
      </c>
      <c r="P272">
        <v>17</v>
      </c>
      <c r="Q272" s="3">
        <v>0.61</v>
      </c>
      <c r="R272">
        <v>153</v>
      </c>
      <c r="S272">
        <v>69</v>
      </c>
      <c r="T272" t="s">
        <v>3877</v>
      </c>
      <c r="U272" t="s">
        <v>3836</v>
      </c>
      <c r="V272" s="14">
        <v>778</v>
      </c>
      <c r="W272">
        <f t="shared" si="8"/>
        <v>21</v>
      </c>
      <c r="X272">
        <f t="shared" si="9"/>
        <v>255</v>
      </c>
    </row>
    <row r="273" spans="1:24" x14ac:dyDescent="0.35">
      <c r="A273" t="s">
        <v>50</v>
      </c>
      <c r="B273" t="s">
        <v>18</v>
      </c>
      <c r="C273" t="s">
        <v>2344</v>
      </c>
      <c r="D273" t="s">
        <v>2801</v>
      </c>
      <c r="E273" t="s">
        <v>21</v>
      </c>
      <c r="F273" t="s">
        <v>2802</v>
      </c>
      <c r="G273" t="s">
        <v>2803</v>
      </c>
      <c r="H273" s="1">
        <v>46108</v>
      </c>
      <c r="I273" s="6">
        <v>45528</v>
      </c>
      <c r="J273" s="6">
        <v>46153</v>
      </c>
      <c r="K273">
        <v>76</v>
      </c>
      <c r="L273">
        <v>97</v>
      </c>
      <c r="M273">
        <v>20</v>
      </c>
      <c r="N273" s="8">
        <v>7</v>
      </c>
      <c r="O273">
        <v>52</v>
      </c>
      <c r="P273">
        <v>82</v>
      </c>
      <c r="Q273" s="3">
        <v>0.96</v>
      </c>
      <c r="R273">
        <v>532</v>
      </c>
      <c r="S273">
        <v>364</v>
      </c>
      <c r="T273" t="s">
        <v>3877</v>
      </c>
      <c r="U273" t="s">
        <v>3838</v>
      </c>
      <c r="V273" s="14">
        <v>646</v>
      </c>
      <c r="W273">
        <f t="shared" si="8"/>
        <v>21</v>
      </c>
      <c r="X273">
        <f t="shared" si="9"/>
        <v>140</v>
      </c>
    </row>
    <row r="274" spans="1:24" x14ac:dyDescent="0.35">
      <c r="A274" t="s">
        <v>1704</v>
      </c>
      <c r="B274" t="s">
        <v>18</v>
      </c>
      <c r="C274" t="s">
        <v>1837</v>
      </c>
      <c r="D274" t="s">
        <v>3653</v>
      </c>
      <c r="E274" t="s">
        <v>21</v>
      </c>
      <c r="F274" t="s">
        <v>3654</v>
      </c>
      <c r="G274" t="s">
        <v>3655</v>
      </c>
      <c r="H274" s="1">
        <v>46262</v>
      </c>
      <c r="I274" s="6">
        <v>45454</v>
      </c>
      <c r="J274" s="6">
        <v>46169</v>
      </c>
      <c r="K274">
        <v>40</v>
      </c>
      <c r="L274">
        <v>61</v>
      </c>
      <c r="M274">
        <v>47</v>
      </c>
      <c r="N274" s="8">
        <v>10</v>
      </c>
      <c r="O274">
        <v>76</v>
      </c>
      <c r="P274">
        <v>10</v>
      </c>
      <c r="Q274" s="3">
        <v>7.0000000000000007E-2</v>
      </c>
      <c r="R274">
        <v>400</v>
      </c>
      <c r="S274">
        <v>760</v>
      </c>
      <c r="T274" t="s">
        <v>3877</v>
      </c>
      <c r="U274" t="s">
        <v>3838</v>
      </c>
      <c r="V274" s="14">
        <v>720</v>
      </c>
      <c r="W274">
        <f t="shared" si="8"/>
        <v>21</v>
      </c>
      <c r="X274">
        <f t="shared" si="9"/>
        <v>470</v>
      </c>
    </row>
    <row r="275" spans="1:24" x14ac:dyDescent="0.35">
      <c r="A275" t="s">
        <v>435</v>
      </c>
      <c r="B275" t="s">
        <v>18</v>
      </c>
      <c r="C275" t="s">
        <v>436</v>
      </c>
      <c r="D275" t="s">
        <v>437</v>
      </c>
      <c r="E275" t="s">
        <v>68</v>
      </c>
      <c r="F275" t="s">
        <v>438</v>
      </c>
      <c r="G275" t="s">
        <v>439</v>
      </c>
      <c r="H275" s="1">
        <v>46090</v>
      </c>
      <c r="I275" s="6">
        <v>45568</v>
      </c>
      <c r="J275" s="6">
        <v>46234</v>
      </c>
      <c r="K275">
        <v>59</v>
      </c>
      <c r="L275">
        <v>79</v>
      </c>
      <c r="M275">
        <v>87</v>
      </c>
      <c r="N275" s="8">
        <v>6</v>
      </c>
      <c r="O275">
        <v>47</v>
      </c>
      <c r="P275">
        <v>18</v>
      </c>
      <c r="Q275" s="3">
        <v>-0.86</v>
      </c>
      <c r="R275">
        <v>354</v>
      </c>
      <c r="S275">
        <v>282</v>
      </c>
      <c r="T275" t="s">
        <v>3877</v>
      </c>
      <c r="U275" t="s">
        <v>3836</v>
      </c>
      <c r="V275" s="14">
        <v>606</v>
      </c>
      <c r="W275">
        <f t="shared" si="8"/>
        <v>20</v>
      </c>
      <c r="X275">
        <f t="shared" si="9"/>
        <v>522</v>
      </c>
    </row>
    <row r="276" spans="1:24" x14ac:dyDescent="0.35">
      <c r="A276" t="s">
        <v>596</v>
      </c>
      <c r="B276" t="s">
        <v>18</v>
      </c>
      <c r="C276" t="s">
        <v>550</v>
      </c>
      <c r="D276" t="s">
        <v>597</v>
      </c>
      <c r="E276" t="s">
        <v>30</v>
      </c>
      <c r="F276" t="s">
        <v>598</v>
      </c>
      <c r="G276" t="s">
        <v>599</v>
      </c>
      <c r="H276" s="1">
        <v>46124</v>
      </c>
      <c r="I276" s="6">
        <v>45495</v>
      </c>
      <c r="J276" s="6">
        <v>46441</v>
      </c>
      <c r="K276">
        <v>47</v>
      </c>
      <c r="L276">
        <v>67</v>
      </c>
      <c r="M276">
        <v>57</v>
      </c>
      <c r="N276" s="8">
        <v>4</v>
      </c>
      <c r="O276">
        <v>36</v>
      </c>
      <c r="P276">
        <v>48</v>
      </c>
      <c r="Q276" s="3">
        <v>-0.61</v>
      </c>
      <c r="R276">
        <v>188</v>
      </c>
      <c r="S276">
        <v>144</v>
      </c>
      <c r="T276" t="s">
        <v>3877</v>
      </c>
      <c r="U276" t="s">
        <v>3836</v>
      </c>
      <c r="V276" s="14">
        <v>679</v>
      </c>
      <c r="W276">
        <f t="shared" si="8"/>
        <v>20</v>
      </c>
      <c r="X276">
        <f t="shared" si="9"/>
        <v>228</v>
      </c>
    </row>
    <row r="277" spans="1:24" x14ac:dyDescent="0.35">
      <c r="A277" t="s">
        <v>1003</v>
      </c>
      <c r="B277" t="s">
        <v>18</v>
      </c>
      <c r="C277" t="s">
        <v>1113</v>
      </c>
      <c r="D277" t="s">
        <v>1114</v>
      </c>
      <c r="E277" t="s">
        <v>21</v>
      </c>
      <c r="F277" t="s">
        <v>1115</v>
      </c>
      <c r="G277" t="s">
        <v>1116</v>
      </c>
      <c r="H277" s="1">
        <v>46245</v>
      </c>
      <c r="I277" s="6">
        <v>45639</v>
      </c>
      <c r="J277" s="6">
        <v>46399</v>
      </c>
      <c r="K277">
        <v>43</v>
      </c>
      <c r="L277">
        <v>63</v>
      </c>
      <c r="M277">
        <v>99</v>
      </c>
      <c r="N277" s="8">
        <v>3.5</v>
      </c>
      <c r="O277">
        <v>39</v>
      </c>
      <c r="P277">
        <v>77</v>
      </c>
      <c r="Q277" s="3">
        <v>-0.6</v>
      </c>
      <c r="R277">
        <v>150.5</v>
      </c>
      <c r="S277">
        <v>136.5</v>
      </c>
      <c r="T277" t="s">
        <v>3877</v>
      </c>
      <c r="U277" t="s">
        <v>3836</v>
      </c>
      <c r="V277" s="14">
        <v>535</v>
      </c>
      <c r="W277">
        <f t="shared" si="8"/>
        <v>20</v>
      </c>
      <c r="X277">
        <f t="shared" si="9"/>
        <v>346.5</v>
      </c>
    </row>
    <row r="278" spans="1:24" x14ac:dyDescent="0.35">
      <c r="A278" t="s">
        <v>503</v>
      </c>
      <c r="B278" t="s">
        <v>27</v>
      </c>
      <c r="C278" t="s">
        <v>1117</v>
      </c>
      <c r="D278" t="s">
        <v>1118</v>
      </c>
      <c r="E278" t="s">
        <v>21</v>
      </c>
      <c r="F278" t="s">
        <v>1119</v>
      </c>
      <c r="G278" t="s">
        <v>1120</v>
      </c>
      <c r="H278" s="1">
        <v>46245</v>
      </c>
      <c r="I278" s="6">
        <v>45596</v>
      </c>
      <c r="J278" s="6">
        <v>46115</v>
      </c>
      <c r="K278">
        <v>23</v>
      </c>
      <c r="L278">
        <v>43</v>
      </c>
      <c r="M278">
        <v>75</v>
      </c>
      <c r="N278" s="8">
        <v>2.5</v>
      </c>
      <c r="O278">
        <v>91</v>
      </c>
      <c r="P278">
        <v>86</v>
      </c>
      <c r="Q278" s="3">
        <v>-0.97</v>
      </c>
      <c r="R278">
        <v>57.5</v>
      </c>
      <c r="S278">
        <v>227.5</v>
      </c>
      <c r="T278" t="s">
        <v>3877</v>
      </c>
      <c r="U278" t="s">
        <v>3838</v>
      </c>
      <c r="V278" s="14">
        <v>578</v>
      </c>
      <c r="W278">
        <f t="shared" si="8"/>
        <v>20</v>
      </c>
      <c r="X278">
        <f t="shared" si="9"/>
        <v>187.5</v>
      </c>
    </row>
    <row r="279" spans="1:24" x14ac:dyDescent="0.35">
      <c r="A279" t="s">
        <v>43</v>
      </c>
      <c r="B279" t="s">
        <v>18</v>
      </c>
      <c r="C279" t="s">
        <v>345</v>
      </c>
      <c r="D279" t="s">
        <v>2161</v>
      </c>
      <c r="E279" t="s">
        <v>21</v>
      </c>
      <c r="F279" t="s">
        <v>2162</v>
      </c>
      <c r="G279" t="s">
        <v>2163</v>
      </c>
      <c r="H279" s="1">
        <v>46322</v>
      </c>
      <c r="I279" s="6">
        <v>45364</v>
      </c>
      <c r="J279" s="6">
        <v>46136</v>
      </c>
      <c r="K279">
        <v>61</v>
      </c>
      <c r="L279">
        <v>81</v>
      </c>
      <c r="M279">
        <v>99</v>
      </c>
      <c r="N279" s="8">
        <v>1.5</v>
      </c>
      <c r="O279">
        <v>26</v>
      </c>
      <c r="P279">
        <v>76</v>
      </c>
      <c r="Q279" s="3">
        <v>-0.09</v>
      </c>
      <c r="R279">
        <v>91.5</v>
      </c>
      <c r="S279">
        <v>39</v>
      </c>
      <c r="T279" t="s">
        <v>3877</v>
      </c>
      <c r="U279" t="s">
        <v>3838</v>
      </c>
      <c r="V279" s="14">
        <v>810</v>
      </c>
      <c r="W279">
        <f t="shared" si="8"/>
        <v>20</v>
      </c>
      <c r="X279">
        <f t="shared" si="9"/>
        <v>148.5</v>
      </c>
    </row>
    <row r="280" spans="1:24" x14ac:dyDescent="0.35">
      <c r="A280" t="s">
        <v>296</v>
      </c>
      <c r="B280" t="s">
        <v>27</v>
      </c>
      <c r="C280" t="s">
        <v>2042</v>
      </c>
      <c r="D280" t="s">
        <v>3239</v>
      </c>
      <c r="E280" t="s">
        <v>21</v>
      </c>
      <c r="F280" t="s">
        <v>3240</v>
      </c>
      <c r="G280" t="s">
        <v>3241</v>
      </c>
      <c r="H280" s="1">
        <v>46196</v>
      </c>
      <c r="I280" s="6">
        <v>45504</v>
      </c>
      <c r="J280" s="6">
        <v>46429</v>
      </c>
      <c r="K280">
        <v>43</v>
      </c>
      <c r="L280">
        <v>63</v>
      </c>
      <c r="M280">
        <v>80</v>
      </c>
      <c r="N280" s="8">
        <v>1.8</v>
      </c>
      <c r="O280">
        <v>33</v>
      </c>
      <c r="P280">
        <v>96</v>
      </c>
      <c r="Q280" s="3">
        <v>0.56000000000000005</v>
      </c>
      <c r="R280">
        <v>77.400000000000006</v>
      </c>
      <c r="S280">
        <v>59.4</v>
      </c>
      <c r="T280" t="s">
        <v>3877</v>
      </c>
      <c r="U280" t="s">
        <v>3836</v>
      </c>
      <c r="V280" s="14">
        <v>670</v>
      </c>
      <c r="W280">
        <f t="shared" si="8"/>
        <v>20</v>
      </c>
      <c r="X280">
        <f t="shared" si="9"/>
        <v>144</v>
      </c>
    </row>
    <row r="281" spans="1:24" x14ac:dyDescent="0.35">
      <c r="A281" t="s">
        <v>350</v>
      </c>
      <c r="B281" t="s">
        <v>36</v>
      </c>
      <c r="C281" t="s">
        <v>3277</v>
      </c>
      <c r="D281" t="s">
        <v>3430</v>
      </c>
      <c r="E281" t="s">
        <v>21</v>
      </c>
      <c r="F281" t="s">
        <v>3431</v>
      </c>
      <c r="G281" t="s">
        <v>3432</v>
      </c>
      <c r="H281" s="1">
        <v>46229</v>
      </c>
      <c r="I281" s="6">
        <v>45691</v>
      </c>
      <c r="J281" s="6">
        <v>46230</v>
      </c>
      <c r="K281">
        <v>41</v>
      </c>
      <c r="L281">
        <v>61</v>
      </c>
      <c r="M281">
        <v>69</v>
      </c>
      <c r="N281" s="8">
        <v>1</v>
      </c>
      <c r="O281">
        <v>30</v>
      </c>
      <c r="P281">
        <v>100</v>
      </c>
      <c r="Q281" s="3">
        <v>0.86</v>
      </c>
      <c r="R281">
        <v>41</v>
      </c>
      <c r="S281">
        <v>30</v>
      </c>
      <c r="T281" t="s">
        <v>3877</v>
      </c>
      <c r="U281" t="s">
        <v>3836</v>
      </c>
      <c r="V281" s="14">
        <v>483</v>
      </c>
      <c r="W281">
        <f t="shared" si="8"/>
        <v>20</v>
      </c>
      <c r="X281">
        <f t="shared" si="9"/>
        <v>69</v>
      </c>
    </row>
    <row r="282" spans="1:24" x14ac:dyDescent="0.35">
      <c r="A282" t="s">
        <v>35</v>
      </c>
      <c r="B282" t="s">
        <v>36</v>
      </c>
      <c r="C282" t="s">
        <v>3251</v>
      </c>
      <c r="D282" t="s">
        <v>3567</v>
      </c>
      <c r="E282" t="s">
        <v>30</v>
      </c>
      <c r="F282" t="s">
        <v>3568</v>
      </c>
      <c r="G282" t="s">
        <v>3569</v>
      </c>
      <c r="H282" s="1">
        <v>46252</v>
      </c>
      <c r="I282" s="6">
        <v>45577</v>
      </c>
      <c r="J282" s="6">
        <v>46118</v>
      </c>
      <c r="K282">
        <v>80</v>
      </c>
      <c r="L282">
        <v>100</v>
      </c>
      <c r="M282">
        <v>48</v>
      </c>
      <c r="N282" s="8">
        <v>12</v>
      </c>
      <c r="O282">
        <v>100</v>
      </c>
      <c r="P282">
        <v>28</v>
      </c>
      <c r="Q282" s="3">
        <v>-1.1100000000000001</v>
      </c>
      <c r="R282">
        <v>960</v>
      </c>
      <c r="S282">
        <v>1200</v>
      </c>
      <c r="T282" t="s">
        <v>3877</v>
      </c>
      <c r="U282" t="s">
        <v>3838</v>
      </c>
      <c r="V282" s="14">
        <v>597</v>
      </c>
      <c r="W282">
        <f t="shared" si="8"/>
        <v>20</v>
      </c>
      <c r="X282">
        <f t="shared" si="9"/>
        <v>576</v>
      </c>
    </row>
    <row r="283" spans="1:24" x14ac:dyDescent="0.35">
      <c r="A283" t="s">
        <v>270</v>
      </c>
      <c r="B283" t="s">
        <v>36</v>
      </c>
      <c r="C283" t="s">
        <v>271</v>
      </c>
      <c r="D283" t="s">
        <v>272</v>
      </c>
      <c r="E283" t="s">
        <v>68</v>
      </c>
      <c r="F283" t="s">
        <v>273</v>
      </c>
      <c r="G283" t="s">
        <v>274</v>
      </c>
      <c r="H283" s="1">
        <v>46061</v>
      </c>
      <c r="I283" s="6">
        <v>45564</v>
      </c>
      <c r="J283" s="6">
        <v>46370</v>
      </c>
      <c r="K283">
        <v>11</v>
      </c>
      <c r="L283">
        <v>30</v>
      </c>
      <c r="M283">
        <v>4</v>
      </c>
      <c r="N283" s="8">
        <v>4</v>
      </c>
      <c r="O283">
        <v>84</v>
      </c>
      <c r="P283">
        <v>4</v>
      </c>
      <c r="Q283" s="2">
        <v>1.77E-2</v>
      </c>
      <c r="R283">
        <v>44</v>
      </c>
      <c r="S283">
        <v>336</v>
      </c>
      <c r="T283" t="s">
        <v>3877</v>
      </c>
      <c r="U283" t="s">
        <v>3836</v>
      </c>
      <c r="V283" s="14">
        <v>610</v>
      </c>
      <c r="W283">
        <f t="shared" si="8"/>
        <v>19</v>
      </c>
      <c r="X283">
        <f t="shared" si="9"/>
        <v>16</v>
      </c>
    </row>
    <row r="284" spans="1:24" x14ac:dyDescent="0.35">
      <c r="A284" t="s">
        <v>326</v>
      </c>
      <c r="B284" t="s">
        <v>18</v>
      </c>
      <c r="C284" t="s">
        <v>327</v>
      </c>
      <c r="D284" t="s">
        <v>328</v>
      </c>
      <c r="E284" t="s">
        <v>30</v>
      </c>
      <c r="F284" t="s">
        <v>329</v>
      </c>
      <c r="G284" t="s">
        <v>330</v>
      </c>
      <c r="H284" s="1">
        <v>46065</v>
      </c>
      <c r="I284" s="6">
        <v>45688</v>
      </c>
      <c r="J284" s="6">
        <v>46294</v>
      </c>
      <c r="K284">
        <v>42</v>
      </c>
      <c r="L284">
        <v>61</v>
      </c>
      <c r="M284">
        <v>52</v>
      </c>
      <c r="N284" s="8">
        <v>5</v>
      </c>
      <c r="O284">
        <v>86</v>
      </c>
      <c r="P284">
        <v>99</v>
      </c>
      <c r="Q284" s="2">
        <v>4.7000000000000002E-3</v>
      </c>
      <c r="R284">
        <v>210</v>
      </c>
      <c r="S284">
        <v>430</v>
      </c>
      <c r="T284" t="s">
        <v>3877</v>
      </c>
      <c r="U284" t="s">
        <v>3836</v>
      </c>
      <c r="V284" s="14">
        <v>486</v>
      </c>
      <c r="W284">
        <f t="shared" si="8"/>
        <v>19</v>
      </c>
      <c r="X284">
        <f t="shared" si="9"/>
        <v>260</v>
      </c>
    </row>
    <row r="285" spans="1:24" x14ac:dyDescent="0.35">
      <c r="A285" t="s">
        <v>194</v>
      </c>
      <c r="B285" t="s">
        <v>114</v>
      </c>
      <c r="C285" t="s">
        <v>456</v>
      </c>
      <c r="D285" t="s">
        <v>457</v>
      </c>
      <c r="E285" t="s">
        <v>68</v>
      </c>
      <c r="F285" t="s">
        <v>458</v>
      </c>
      <c r="G285" t="s">
        <v>459</v>
      </c>
      <c r="H285" s="1">
        <v>46092</v>
      </c>
      <c r="I285" s="6">
        <v>45453</v>
      </c>
      <c r="J285" s="6">
        <v>46352</v>
      </c>
      <c r="K285">
        <v>59</v>
      </c>
      <c r="L285">
        <v>78</v>
      </c>
      <c r="M285">
        <v>6</v>
      </c>
      <c r="N285" s="8">
        <v>4.5</v>
      </c>
      <c r="O285">
        <v>32</v>
      </c>
      <c r="P285">
        <v>3</v>
      </c>
      <c r="Q285" s="3">
        <v>0.28000000000000003</v>
      </c>
      <c r="R285">
        <v>265.5</v>
      </c>
      <c r="S285">
        <v>144</v>
      </c>
      <c r="T285" t="s">
        <v>3877</v>
      </c>
      <c r="U285" t="s">
        <v>3836</v>
      </c>
      <c r="V285" s="14">
        <v>721</v>
      </c>
      <c r="W285">
        <f t="shared" si="8"/>
        <v>19</v>
      </c>
      <c r="X285">
        <f t="shared" si="9"/>
        <v>27</v>
      </c>
    </row>
    <row r="286" spans="1:24" x14ac:dyDescent="0.35">
      <c r="A286" t="s">
        <v>532</v>
      </c>
      <c r="B286" t="s">
        <v>75</v>
      </c>
      <c r="C286" t="s">
        <v>533</v>
      </c>
      <c r="D286" t="s">
        <v>534</v>
      </c>
      <c r="E286" t="s">
        <v>68</v>
      </c>
      <c r="F286" t="s">
        <v>535</v>
      </c>
      <c r="G286" t="s">
        <v>536</v>
      </c>
      <c r="H286" s="1">
        <v>46119</v>
      </c>
      <c r="I286" s="6">
        <v>45360</v>
      </c>
      <c r="J286" s="6">
        <v>46266</v>
      </c>
      <c r="K286">
        <v>25</v>
      </c>
      <c r="L286">
        <v>44</v>
      </c>
      <c r="M286">
        <v>96</v>
      </c>
      <c r="N286" s="8">
        <v>18</v>
      </c>
      <c r="O286">
        <v>36</v>
      </c>
      <c r="P286">
        <v>16</v>
      </c>
      <c r="Q286" s="3">
        <v>-0.97</v>
      </c>
      <c r="R286">
        <v>450</v>
      </c>
      <c r="S286">
        <v>648</v>
      </c>
      <c r="T286" t="s">
        <v>3877</v>
      </c>
      <c r="U286" t="s">
        <v>3836</v>
      </c>
      <c r="V286" s="14">
        <v>814</v>
      </c>
      <c r="W286">
        <f t="shared" si="8"/>
        <v>19</v>
      </c>
      <c r="X286">
        <f t="shared" si="9"/>
        <v>1728</v>
      </c>
    </row>
    <row r="287" spans="1:24" x14ac:dyDescent="0.35">
      <c r="A287" t="s">
        <v>557</v>
      </c>
      <c r="B287" t="s">
        <v>18</v>
      </c>
      <c r="C287" t="s">
        <v>51</v>
      </c>
      <c r="D287" t="s">
        <v>558</v>
      </c>
      <c r="E287" t="s">
        <v>30</v>
      </c>
      <c r="F287" t="s">
        <v>559</v>
      </c>
      <c r="G287" t="s">
        <v>560</v>
      </c>
      <c r="H287" s="1">
        <v>46121</v>
      </c>
      <c r="I287" s="6">
        <v>45386</v>
      </c>
      <c r="J287" s="6">
        <v>46163</v>
      </c>
      <c r="K287">
        <v>56</v>
      </c>
      <c r="L287">
        <v>75</v>
      </c>
      <c r="M287">
        <v>13</v>
      </c>
      <c r="N287" s="8">
        <v>5</v>
      </c>
      <c r="O287">
        <v>42</v>
      </c>
      <c r="P287">
        <v>53</v>
      </c>
      <c r="Q287" s="3">
        <v>0.94</v>
      </c>
      <c r="R287">
        <v>280</v>
      </c>
      <c r="S287">
        <v>210</v>
      </c>
      <c r="T287" t="s">
        <v>3877</v>
      </c>
      <c r="U287" t="s">
        <v>3838</v>
      </c>
      <c r="V287" s="14">
        <v>788</v>
      </c>
      <c r="W287">
        <f t="shared" si="8"/>
        <v>19</v>
      </c>
      <c r="X287">
        <f t="shared" si="9"/>
        <v>65</v>
      </c>
    </row>
    <row r="288" spans="1:24" x14ac:dyDescent="0.35">
      <c r="A288" t="s">
        <v>718</v>
      </c>
      <c r="B288" t="s">
        <v>65</v>
      </c>
      <c r="C288" t="s">
        <v>942</v>
      </c>
      <c r="D288" t="s">
        <v>943</v>
      </c>
      <c r="E288" t="s">
        <v>21</v>
      </c>
      <c r="F288" t="s">
        <v>944</v>
      </c>
      <c r="G288" t="s">
        <v>945</v>
      </c>
      <c r="H288" s="1">
        <v>46208</v>
      </c>
      <c r="I288" s="6">
        <v>45704</v>
      </c>
      <c r="J288" s="6">
        <v>46306</v>
      </c>
      <c r="K288">
        <v>13</v>
      </c>
      <c r="L288">
        <v>32</v>
      </c>
      <c r="M288">
        <v>79</v>
      </c>
      <c r="N288" s="8">
        <v>2</v>
      </c>
      <c r="O288">
        <v>38</v>
      </c>
      <c r="P288">
        <v>61</v>
      </c>
      <c r="Q288" s="3">
        <v>0.47</v>
      </c>
      <c r="R288">
        <v>26</v>
      </c>
      <c r="S288">
        <v>76</v>
      </c>
      <c r="T288" t="s">
        <v>3877</v>
      </c>
      <c r="U288" t="s">
        <v>3836</v>
      </c>
      <c r="V288" s="14">
        <v>470</v>
      </c>
      <c r="W288">
        <f t="shared" si="8"/>
        <v>19</v>
      </c>
      <c r="X288">
        <f t="shared" si="9"/>
        <v>158</v>
      </c>
    </row>
    <row r="289" spans="1:24" x14ac:dyDescent="0.35">
      <c r="A289" t="s">
        <v>418</v>
      </c>
      <c r="B289" t="s">
        <v>65</v>
      </c>
      <c r="C289" t="s">
        <v>1025</v>
      </c>
      <c r="D289" t="s">
        <v>1354</v>
      </c>
      <c r="E289" t="s">
        <v>30</v>
      </c>
      <c r="F289" t="s">
        <v>1355</v>
      </c>
      <c r="G289" t="s">
        <v>1356</v>
      </c>
      <c r="H289" s="1">
        <v>46307</v>
      </c>
      <c r="I289" s="6">
        <v>45674</v>
      </c>
      <c r="J289" s="6">
        <v>46159</v>
      </c>
      <c r="K289">
        <v>79</v>
      </c>
      <c r="L289">
        <v>98</v>
      </c>
      <c r="M289">
        <v>97</v>
      </c>
      <c r="N289" s="8">
        <v>6</v>
      </c>
      <c r="O289">
        <v>26</v>
      </c>
      <c r="P289">
        <v>21</v>
      </c>
      <c r="Q289" s="3">
        <v>-0.49</v>
      </c>
      <c r="R289">
        <v>474</v>
      </c>
      <c r="S289">
        <v>156</v>
      </c>
      <c r="T289" t="s">
        <v>3877</v>
      </c>
      <c r="U289" t="s">
        <v>3838</v>
      </c>
      <c r="V289" s="14">
        <v>500</v>
      </c>
      <c r="W289">
        <f t="shared" si="8"/>
        <v>19</v>
      </c>
      <c r="X289">
        <f t="shared" si="9"/>
        <v>582</v>
      </c>
    </row>
    <row r="290" spans="1:24" x14ac:dyDescent="0.35">
      <c r="A290" t="s">
        <v>532</v>
      </c>
      <c r="B290" t="s">
        <v>75</v>
      </c>
      <c r="C290" t="s">
        <v>1436</v>
      </c>
      <c r="D290" t="s">
        <v>1437</v>
      </c>
      <c r="E290" t="s">
        <v>21</v>
      </c>
      <c r="F290" t="s">
        <v>1438</v>
      </c>
      <c r="G290" t="s">
        <v>1439</v>
      </c>
      <c r="H290" s="1">
        <v>46335</v>
      </c>
      <c r="I290" s="6">
        <v>45399</v>
      </c>
      <c r="J290" s="6">
        <v>46111</v>
      </c>
      <c r="K290">
        <v>58</v>
      </c>
      <c r="L290">
        <v>77</v>
      </c>
      <c r="M290">
        <v>96</v>
      </c>
      <c r="N290" s="8">
        <v>18</v>
      </c>
      <c r="O290">
        <v>25</v>
      </c>
      <c r="P290">
        <v>17</v>
      </c>
      <c r="Q290" s="3">
        <v>0.26</v>
      </c>
      <c r="R290">
        <v>1044</v>
      </c>
      <c r="S290">
        <v>450</v>
      </c>
      <c r="T290" t="s">
        <v>3877</v>
      </c>
      <c r="U290" t="s">
        <v>3838</v>
      </c>
      <c r="V290" s="14">
        <v>775</v>
      </c>
      <c r="W290">
        <f t="shared" si="8"/>
        <v>19</v>
      </c>
      <c r="X290">
        <f t="shared" si="9"/>
        <v>1728</v>
      </c>
    </row>
    <row r="291" spans="1:24" x14ac:dyDescent="0.35">
      <c r="A291" t="s">
        <v>793</v>
      </c>
      <c r="B291" t="s">
        <v>75</v>
      </c>
      <c r="C291" t="s">
        <v>787</v>
      </c>
      <c r="D291" t="s">
        <v>1574</v>
      </c>
      <c r="E291" t="s">
        <v>30</v>
      </c>
      <c r="F291" t="s">
        <v>1575</v>
      </c>
      <c r="G291" t="s">
        <v>1576</v>
      </c>
      <c r="H291" s="1">
        <v>46389</v>
      </c>
      <c r="I291" s="6">
        <v>45488</v>
      </c>
      <c r="J291" s="6">
        <v>46105</v>
      </c>
      <c r="K291">
        <v>23</v>
      </c>
      <c r="L291">
        <v>42</v>
      </c>
      <c r="M291">
        <v>87</v>
      </c>
      <c r="N291" s="8">
        <v>8</v>
      </c>
      <c r="O291">
        <v>63</v>
      </c>
      <c r="P291">
        <v>5</v>
      </c>
      <c r="Q291" s="3">
        <v>0.04</v>
      </c>
      <c r="R291">
        <v>184</v>
      </c>
      <c r="S291">
        <v>504</v>
      </c>
      <c r="T291" t="s">
        <v>3877</v>
      </c>
      <c r="U291" t="s">
        <v>3838</v>
      </c>
      <c r="V291" s="14">
        <v>686</v>
      </c>
      <c r="W291">
        <f t="shared" si="8"/>
        <v>19</v>
      </c>
      <c r="X291">
        <f t="shared" si="9"/>
        <v>696</v>
      </c>
    </row>
    <row r="292" spans="1:24" x14ac:dyDescent="0.35">
      <c r="A292" t="s">
        <v>671</v>
      </c>
      <c r="B292" t="s">
        <v>65</v>
      </c>
      <c r="C292" t="s">
        <v>714</v>
      </c>
      <c r="D292" t="s">
        <v>2401</v>
      </c>
      <c r="E292" t="s">
        <v>21</v>
      </c>
      <c r="F292" t="s">
        <v>2402</v>
      </c>
      <c r="G292" t="s">
        <v>2403</v>
      </c>
      <c r="H292" s="1">
        <v>46374</v>
      </c>
      <c r="I292" s="6">
        <v>45436</v>
      </c>
      <c r="J292" s="6">
        <v>46394</v>
      </c>
      <c r="K292">
        <v>62</v>
      </c>
      <c r="L292">
        <v>81</v>
      </c>
      <c r="M292">
        <v>91</v>
      </c>
      <c r="N292" s="8">
        <v>1.6</v>
      </c>
      <c r="O292">
        <v>100</v>
      </c>
      <c r="P292">
        <v>42</v>
      </c>
      <c r="Q292" s="3">
        <v>-0.51</v>
      </c>
      <c r="R292">
        <v>99.2</v>
      </c>
      <c r="S292">
        <v>160</v>
      </c>
      <c r="T292" t="s">
        <v>3877</v>
      </c>
      <c r="U292" t="s">
        <v>3836</v>
      </c>
      <c r="V292" s="14">
        <v>738</v>
      </c>
      <c r="W292">
        <f t="shared" si="8"/>
        <v>19</v>
      </c>
      <c r="X292">
        <f t="shared" si="9"/>
        <v>145.6</v>
      </c>
    </row>
    <row r="293" spans="1:24" x14ac:dyDescent="0.35">
      <c r="A293" t="s">
        <v>308</v>
      </c>
      <c r="B293" t="s">
        <v>27</v>
      </c>
      <c r="C293" t="s">
        <v>1084</v>
      </c>
      <c r="D293" t="s">
        <v>3592</v>
      </c>
      <c r="E293" t="s">
        <v>21</v>
      </c>
      <c r="F293" t="s">
        <v>3593</v>
      </c>
      <c r="G293" t="s">
        <v>3594</v>
      </c>
      <c r="H293" s="1">
        <v>46256</v>
      </c>
      <c r="I293" s="6">
        <v>45669</v>
      </c>
      <c r="J293" s="6">
        <v>46403</v>
      </c>
      <c r="K293">
        <v>15</v>
      </c>
      <c r="L293">
        <v>34</v>
      </c>
      <c r="M293">
        <v>57</v>
      </c>
      <c r="N293" s="8">
        <v>6.5</v>
      </c>
      <c r="O293">
        <v>49</v>
      </c>
      <c r="P293">
        <v>96</v>
      </c>
      <c r="Q293" s="3">
        <v>0.23</v>
      </c>
      <c r="R293">
        <v>97.5</v>
      </c>
      <c r="S293">
        <v>318.5</v>
      </c>
      <c r="T293" t="s">
        <v>3877</v>
      </c>
      <c r="U293" t="s">
        <v>3836</v>
      </c>
      <c r="V293" s="14">
        <v>505</v>
      </c>
      <c r="W293">
        <f t="shared" si="8"/>
        <v>19</v>
      </c>
      <c r="X293">
        <f t="shared" si="9"/>
        <v>370.5</v>
      </c>
    </row>
    <row r="294" spans="1:24" x14ac:dyDescent="0.35">
      <c r="A294" t="s">
        <v>17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t="s">
        <v>23</v>
      </c>
      <c r="H294" s="1">
        <v>46025</v>
      </c>
      <c r="I294" s="6">
        <v>45663</v>
      </c>
      <c r="J294" s="6">
        <v>46418</v>
      </c>
      <c r="K294">
        <v>46</v>
      </c>
      <c r="L294">
        <v>64</v>
      </c>
      <c r="M294">
        <v>17</v>
      </c>
      <c r="N294" s="8">
        <v>4.5999999999999996</v>
      </c>
      <c r="O294">
        <v>96</v>
      </c>
      <c r="P294">
        <v>55</v>
      </c>
      <c r="Q294" s="2">
        <v>1.9599999999999999E-2</v>
      </c>
      <c r="R294">
        <v>211.6</v>
      </c>
      <c r="S294">
        <v>441.59999999999997</v>
      </c>
      <c r="T294" t="s">
        <v>3877</v>
      </c>
      <c r="U294" t="s">
        <v>3836</v>
      </c>
      <c r="V294" s="14">
        <v>511</v>
      </c>
      <c r="W294">
        <f t="shared" si="8"/>
        <v>18</v>
      </c>
      <c r="X294">
        <f t="shared" si="9"/>
        <v>78.199999999999989</v>
      </c>
    </row>
    <row r="295" spans="1:24" x14ac:dyDescent="0.35">
      <c r="A295" t="s">
        <v>58</v>
      </c>
      <c r="B295" t="s">
        <v>18</v>
      </c>
      <c r="C295" t="s">
        <v>513</v>
      </c>
      <c r="D295" t="s">
        <v>514</v>
      </c>
      <c r="E295" t="s">
        <v>68</v>
      </c>
      <c r="F295" t="s">
        <v>515</v>
      </c>
      <c r="G295" t="s">
        <v>516</v>
      </c>
      <c r="H295" s="1">
        <v>46118</v>
      </c>
      <c r="I295" s="6">
        <v>45402</v>
      </c>
      <c r="J295" s="6">
        <v>46345</v>
      </c>
      <c r="K295">
        <v>63</v>
      </c>
      <c r="L295">
        <v>81</v>
      </c>
      <c r="M295">
        <v>94</v>
      </c>
      <c r="N295" s="8">
        <v>2.5</v>
      </c>
      <c r="O295">
        <v>56</v>
      </c>
      <c r="P295">
        <v>2</v>
      </c>
      <c r="Q295" s="3">
        <v>-0.13</v>
      </c>
      <c r="R295">
        <v>157.5</v>
      </c>
      <c r="S295">
        <v>140</v>
      </c>
      <c r="T295" t="s">
        <v>3877</v>
      </c>
      <c r="U295" t="s">
        <v>3836</v>
      </c>
      <c r="V295" s="14">
        <v>772</v>
      </c>
      <c r="W295">
        <f t="shared" si="8"/>
        <v>18</v>
      </c>
      <c r="X295">
        <f t="shared" si="9"/>
        <v>235</v>
      </c>
    </row>
    <row r="296" spans="1:24" x14ac:dyDescent="0.35">
      <c r="A296" t="s">
        <v>695</v>
      </c>
      <c r="B296" t="s">
        <v>65</v>
      </c>
      <c r="C296" t="s">
        <v>904</v>
      </c>
      <c r="D296" t="s">
        <v>905</v>
      </c>
      <c r="E296" t="s">
        <v>68</v>
      </c>
      <c r="F296" t="s">
        <v>906</v>
      </c>
      <c r="G296" t="s">
        <v>907</v>
      </c>
      <c r="H296" s="1">
        <v>46185</v>
      </c>
      <c r="I296" s="6">
        <v>45357</v>
      </c>
      <c r="J296" s="6">
        <v>46245</v>
      </c>
      <c r="K296">
        <v>39</v>
      </c>
      <c r="L296">
        <v>57</v>
      </c>
      <c r="M296">
        <v>54</v>
      </c>
      <c r="N296" s="8">
        <v>2.5</v>
      </c>
      <c r="O296">
        <v>77</v>
      </c>
      <c r="P296">
        <v>32</v>
      </c>
      <c r="Q296" s="3">
        <v>0.67</v>
      </c>
      <c r="R296">
        <v>97.5</v>
      </c>
      <c r="S296">
        <v>192.5</v>
      </c>
      <c r="T296" t="s">
        <v>3877</v>
      </c>
      <c r="U296" t="s">
        <v>3836</v>
      </c>
      <c r="V296" s="14">
        <v>817</v>
      </c>
      <c r="W296">
        <f t="shared" si="8"/>
        <v>18</v>
      </c>
      <c r="X296">
        <f t="shared" si="9"/>
        <v>135</v>
      </c>
    </row>
    <row r="297" spans="1:24" x14ac:dyDescent="0.35">
      <c r="A297" t="s">
        <v>101</v>
      </c>
      <c r="B297" t="s">
        <v>27</v>
      </c>
      <c r="C297" t="s">
        <v>223</v>
      </c>
      <c r="D297" t="s">
        <v>1408</v>
      </c>
      <c r="E297" t="s">
        <v>68</v>
      </c>
      <c r="F297" t="s">
        <v>1409</v>
      </c>
      <c r="G297" t="s">
        <v>1410</v>
      </c>
      <c r="H297" s="1">
        <v>46332</v>
      </c>
      <c r="I297" s="6">
        <v>45633</v>
      </c>
      <c r="J297" s="6">
        <v>46142</v>
      </c>
      <c r="K297">
        <v>30</v>
      </c>
      <c r="L297">
        <v>48</v>
      </c>
      <c r="M297">
        <v>52</v>
      </c>
      <c r="N297" s="8">
        <v>10</v>
      </c>
      <c r="O297">
        <v>22</v>
      </c>
      <c r="P297">
        <v>78</v>
      </c>
      <c r="Q297" s="3">
        <v>-0.38</v>
      </c>
      <c r="R297">
        <v>300</v>
      </c>
      <c r="S297">
        <v>220</v>
      </c>
      <c r="T297" t="s">
        <v>3877</v>
      </c>
      <c r="U297" t="s">
        <v>3838</v>
      </c>
      <c r="V297" s="14">
        <v>541</v>
      </c>
      <c r="W297">
        <f t="shared" si="8"/>
        <v>18</v>
      </c>
      <c r="X297">
        <f t="shared" si="9"/>
        <v>520</v>
      </c>
    </row>
    <row r="298" spans="1:24" x14ac:dyDescent="0.35">
      <c r="A298" t="s">
        <v>640</v>
      </c>
      <c r="B298" t="s">
        <v>163</v>
      </c>
      <c r="C298" t="s">
        <v>1497</v>
      </c>
      <c r="D298" t="s">
        <v>1498</v>
      </c>
      <c r="E298" t="s">
        <v>68</v>
      </c>
      <c r="F298" t="s">
        <v>1499</v>
      </c>
      <c r="G298" t="s">
        <v>1500</v>
      </c>
      <c r="H298" s="1">
        <v>46361</v>
      </c>
      <c r="I298" s="6">
        <v>45413</v>
      </c>
      <c r="J298" s="6">
        <v>46197</v>
      </c>
      <c r="K298">
        <v>18</v>
      </c>
      <c r="L298">
        <v>36</v>
      </c>
      <c r="M298">
        <v>53</v>
      </c>
      <c r="N298" s="8">
        <v>5.3</v>
      </c>
      <c r="O298">
        <v>65</v>
      </c>
      <c r="P298">
        <v>100</v>
      </c>
      <c r="Q298" s="3">
        <v>-0.68</v>
      </c>
      <c r="R298">
        <v>95.399999999999991</v>
      </c>
      <c r="S298">
        <v>344.5</v>
      </c>
      <c r="T298" t="s">
        <v>3877</v>
      </c>
      <c r="U298" t="s">
        <v>3837</v>
      </c>
      <c r="V298" s="14">
        <v>761</v>
      </c>
      <c r="W298">
        <f t="shared" si="8"/>
        <v>18</v>
      </c>
      <c r="X298">
        <f t="shared" si="9"/>
        <v>280.89999999999998</v>
      </c>
    </row>
    <row r="299" spans="1:24" x14ac:dyDescent="0.35">
      <c r="A299" t="s">
        <v>619</v>
      </c>
      <c r="B299" t="s">
        <v>18</v>
      </c>
      <c r="C299" t="s">
        <v>1536</v>
      </c>
      <c r="D299" t="s">
        <v>1537</v>
      </c>
      <c r="E299" t="s">
        <v>68</v>
      </c>
      <c r="F299" t="s">
        <v>1538</v>
      </c>
      <c r="G299" t="s">
        <v>1539</v>
      </c>
      <c r="H299" s="1">
        <v>46365</v>
      </c>
      <c r="I299" s="6">
        <v>45657</v>
      </c>
      <c r="J299" s="6">
        <v>46413</v>
      </c>
      <c r="K299">
        <v>22</v>
      </c>
      <c r="L299">
        <v>40</v>
      </c>
      <c r="M299">
        <v>7</v>
      </c>
      <c r="N299" s="8">
        <v>5</v>
      </c>
      <c r="O299">
        <v>98</v>
      </c>
      <c r="P299">
        <v>60</v>
      </c>
      <c r="Q299" s="3">
        <v>-0.05</v>
      </c>
      <c r="R299">
        <v>110</v>
      </c>
      <c r="S299">
        <v>490</v>
      </c>
      <c r="T299" t="s">
        <v>3877</v>
      </c>
      <c r="U299" t="s">
        <v>3836</v>
      </c>
      <c r="V299" s="14">
        <v>517</v>
      </c>
      <c r="W299">
        <f t="shared" si="8"/>
        <v>18</v>
      </c>
      <c r="X299">
        <f t="shared" si="9"/>
        <v>35</v>
      </c>
    </row>
    <row r="300" spans="1:24" x14ac:dyDescent="0.35">
      <c r="A300" t="s">
        <v>376</v>
      </c>
      <c r="B300" t="s">
        <v>18</v>
      </c>
      <c r="C300" t="s">
        <v>1563</v>
      </c>
      <c r="D300" t="s">
        <v>1564</v>
      </c>
      <c r="E300" t="s">
        <v>21</v>
      </c>
      <c r="F300" t="s">
        <v>1565</v>
      </c>
      <c r="G300" t="s">
        <v>1566</v>
      </c>
      <c r="H300" s="1">
        <v>46368</v>
      </c>
      <c r="I300" s="6">
        <v>45421</v>
      </c>
      <c r="J300" s="6">
        <v>46178</v>
      </c>
      <c r="K300">
        <v>50</v>
      </c>
      <c r="L300">
        <v>68</v>
      </c>
      <c r="M300">
        <v>90</v>
      </c>
      <c r="N300" s="8">
        <v>2</v>
      </c>
      <c r="O300">
        <v>40</v>
      </c>
      <c r="P300">
        <v>13</v>
      </c>
      <c r="Q300" s="3">
        <v>0.26</v>
      </c>
      <c r="R300">
        <v>100</v>
      </c>
      <c r="S300">
        <v>80</v>
      </c>
      <c r="T300" t="s">
        <v>3877</v>
      </c>
      <c r="U300" t="s">
        <v>3837</v>
      </c>
      <c r="V300" s="14">
        <v>753</v>
      </c>
      <c r="W300">
        <f t="shared" si="8"/>
        <v>18</v>
      </c>
      <c r="X300">
        <f t="shared" si="9"/>
        <v>180</v>
      </c>
    </row>
    <row r="301" spans="1:24" x14ac:dyDescent="0.35">
      <c r="A301" t="s">
        <v>1782</v>
      </c>
      <c r="B301" t="s">
        <v>36</v>
      </c>
      <c r="C301" t="s">
        <v>223</v>
      </c>
      <c r="D301" t="s">
        <v>1947</v>
      </c>
      <c r="E301" t="s">
        <v>21</v>
      </c>
      <c r="F301" t="s">
        <v>1948</v>
      </c>
      <c r="G301" t="s">
        <v>1949</v>
      </c>
      <c r="H301" s="1">
        <v>46415</v>
      </c>
      <c r="I301" s="6">
        <v>45616</v>
      </c>
      <c r="J301" s="6">
        <v>46427</v>
      </c>
      <c r="K301">
        <v>45</v>
      </c>
      <c r="L301">
        <v>63</v>
      </c>
      <c r="M301">
        <v>75</v>
      </c>
      <c r="N301" s="8">
        <v>7</v>
      </c>
      <c r="O301">
        <v>83</v>
      </c>
      <c r="P301">
        <v>5</v>
      </c>
      <c r="Q301" s="3">
        <v>-0.55000000000000004</v>
      </c>
      <c r="R301">
        <v>315</v>
      </c>
      <c r="S301">
        <v>581</v>
      </c>
      <c r="T301" t="s">
        <v>3877</v>
      </c>
      <c r="U301" t="s">
        <v>3836</v>
      </c>
      <c r="V301" s="14">
        <v>558</v>
      </c>
      <c r="W301">
        <f t="shared" si="8"/>
        <v>18</v>
      </c>
      <c r="X301">
        <f t="shared" si="9"/>
        <v>525</v>
      </c>
    </row>
    <row r="302" spans="1:24" x14ac:dyDescent="0.35">
      <c r="A302" t="s">
        <v>532</v>
      </c>
      <c r="B302" t="s">
        <v>75</v>
      </c>
      <c r="C302" t="s">
        <v>666</v>
      </c>
      <c r="D302" t="s">
        <v>2480</v>
      </c>
      <c r="E302" t="s">
        <v>30</v>
      </c>
      <c r="F302" t="s">
        <v>2481</v>
      </c>
      <c r="G302" t="s">
        <v>2482</v>
      </c>
      <c r="H302" s="1">
        <v>46382</v>
      </c>
      <c r="I302" s="6">
        <v>45349</v>
      </c>
      <c r="J302" s="6">
        <v>46141</v>
      </c>
      <c r="K302">
        <v>16</v>
      </c>
      <c r="L302">
        <v>34</v>
      </c>
      <c r="M302">
        <v>89</v>
      </c>
      <c r="N302" s="8">
        <v>18</v>
      </c>
      <c r="O302">
        <v>35</v>
      </c>
      <c r="P302">
        <v>52</v>
      </c>
      <c r="Q302" s="3">
        <v>-1.1200000000000001</v>
      </c>
      <c r="R302">
        <v>288</v>
      </c>
      <c r="S302">
        <v>630</v>
      </c>
      <c r="T302" t="s">
        <v>3877</v>
      </c>
      <c r="U302" t="s">
        <v>3838</v>
      </c>
      <c r="V302" s="14">
        <v>825</v>
      </c>
      <c r="W302">
        <f t="shared" si="8"/>
        <v>18</v>
      </c>
      <c r="X302">
        <f t="shared" si="9"/>
        <v>1602</v>
      </c>
    </row>
    <row r="303" spans="1:24" x14ac:dyDescent="0.35">
      <c r="A303" t="s">
        <v>308</v>
      </c>
      <c r="B303" t="s">
        <v>27</v>
      </c>
      <c r="C303" t="s">
        <v>1153</v>
      </c>
      <c r="D303" t="s">
        <v>2892</v>
      </c>
      <c r="E303" t="s">
        <v>30</v>
      </c>
      <c r="F303" t="s">
        <v>2893</v>
      </c>
      <c r="G303" t="s">
        <v>2894</v>
      </c>
      <c r="H303" s="1">
        <v>46129</v>
      </c>
      <c r="I303" s="6">
        <v>45584</v>
      </c>
      <c r="J303" s="6">
        <v>46221</v>
      </c>
      <c r="K303">
        <v>77</v>
      </c>
      <c r="L303">
        <v>95</v>
      </c>
      <c r="M303">
        <v>82</v>
      </c>
      <c r="N303" s="8">
        <v>6.5</v>
      </c>
      <c r="O303">
        <v>29</v>
      </c>
      <c r="P303">
        <v>46</v>
      </c>
      <c r="Q303" s="3">
        <v>-0.85</v>
      </c>
      <c r="R303">
        <v>500.5</v>
      </c>
      <c r="S303">
        <v>188.5</v>
      </c>
      <c r="T303" t="s">
        <v>3877</v>
      </c>
      <c r="U303" t="s">
        <v>3836</v>
      </c>
      <c r="V303" s="14">
        <v>590</v>
      </c>
      <c r="W303">
        <f t="shared" si="8"/>
        <v>18</v>
      </c>
      <c r="X303">
        <f t="shared" si="9"/>
        <v>533</v>
      </c>
    </row>
    <row r="304" spans="1:24" x14ac:dyDescent="0.35">
      <c r="A304" t="s">
        <v>975</v>
      </c>
      <c r="B304" t="s">
        <v>18</v>
      </c>
      <c r="C304" t="s">
        <v>3181</v>
      </c>
      <c r="D304" t="s">
        <v>3796</v>
      </c>
      <c r="E304" t="s">
        <v>21</v>
      </c>
      <c r="F304" t="s">
        <v>3797</v>
      </c>
      <c r="G304" t="s">
        <v>3798</v>
      </c>
      <c r="H304" s="1">
        <v>46295</v>
      </c>
      <c r="I304" s="6">
        <v>45702</v>
      </c>
      <c r="J304" s="6">
        <v>46137</v>
      </c>
      <c r="K304">
        <v>81</v>
      </c>
      <c r="L304">
        <v>99</v>
      </c>
      <c r="M304">
        <v>28</v>
      </c>
      <c r="N304" s="8">
        <v>2</v>
      </c>
      <c r="O304">
        <v>20</v>
      </c>
      <c r="P304">
        <v>85</v>
      </c>
      <c r="Q304" s="3">
        <v>-0.31</v>
      </c>
      <c r="R304">
        <v>162</v>
      </c>
      <c r="S304">
        <v>40</v>
      </c>
      <c r="T304" t="s">
        <v>3877</v>
      </c>
      <c r="U304" t="s">
        <v>3838</v>
      </c>
      <c r="V304" s="14">
        <v>472</v>
      </c>
      <c r="W304">
        <f t="shared" si="8"/>
        <v>18</v>
      </c>
      <c r="X304">
        <f t="shared" si="9"/>
        <v>56</v>
      </c>
    </row>
    <row r="305" spans="1:24" x14ac:dyDescent="0.35">
      <c r="A305" t="s">
        <v>228</v>
      </c>
      <c r="B305" t="s">
        <v>18</v>
      </c>
      <c r="C305" t="s">
        <v>357</v>
      </c>
      <c r="D305" t="s">
        <v>366</v>
      </c>
      <c r="E305" t="s">
        <v>30</v>
      </c>
      <c r="F305" t="s">
        <v>367</v>
      </c>
      <c r="G305" t="s">
        <v>368</v>
      </c>
      <c r="H305" s="1">
        <v>46086</v>
      </c>
      <c r="I305" s="6">
        <v>45379</v>
      </c>
      <c r="J305" s="6">
        <v>46087</v>
      </c>
      <c r="K305">
        <v>19</v>
      </c>
      <c r="L305">
        <v>36</v>
      </c>
      <c r="M305">
        <v>72</v>
      </c>
      <c r="N305" s="8">
        <v>1.75</v>
      </c>
      <c r="O305">
        <v>31</v>
      </c>
      <c r="P305">
        <v>81</v>
      </c>
      <c r="Q305" s="3">
        <v>0.19</v>
      </c>
      <c r="R305">
        <v>33.25</v>
      </c>
      <c r="S305">
        <v>54.25</v>
      </c>
      <c r="T305" t="s">
        <v>3877</v>
      </c>
      <c r="U305" t="s">
        <v>3838</v>
      </c>
      <c r="V305" s="14">
        <v>795</v>
      </c>
      <c r="W305">
        <f t="shared" si="8"/>
        <v>17</v>
      </c>
      <c r="X305">
        <f t="shared" si="9"/>
        <v>126</v>
      </c>
    </row>
    <row r="306" spans="1:24" x14ac:dyDescent="0.35">
      <c r="A306" t="s">
        <v>856</v>
      </c>
      <c r="B306" t="s">
        <v>18</v>
      </c>
      <c r="C306" t="s">
        <v>857</v>
      </c>
      <c r="D306" t="s">
        <v>858</v>
      </c>
      <c r="E306" t="s">
        <v>21</v>
      </c>
      <c r="F306" t="s">
        <v>859</v>
      </c>
      <c r="G306" t="s">
        <v>860</v>
      </c>
      <c r="H306" s="1">
        <v>46180</v>
      </c>
      <c r="I306" s="6">
        <v>45404</v>
      </c>
      <c r="J306" s="6">
        <v>46169</v>
      </c>
      <c r="K306">
        <v>32</v>
      </c>
      <c r="L306">
        <v>49</v>
      </c>
      <c r="M306">
        <v>73</v>
      </c>
      <c r="N306" s="8">
        <v>2.5</v>
      </c>
      <c r="O306">
        <v>80</v>
      </c>
      <c r="P306">
        <v>36</v>
      </c>
      <c r="Q306" s="3">
        <v>-0.16</v>
      </c>
      <c r="R306">
        <v>80</v>
      </c>
      <c r="S306">
        <v>200</v>
      </c>
      <c r="T306" t="s">
        <v>3877</v>
      </c>
      <c r="U306" t="s">
        <v>3838</v>
      </c>
      <c r="V306" s="14">
        <v>770</v>
      </c>
      <c r="W306">
        <f t="shared" si="8"/>
        <v>17</v>
      </c>
      <c r="X306">
        <f t="shared" si="9"/>
        <v>182.5</v>
      </c>
    </row>
    <row r="307" spans="1:24" x14ac:dyDescent="0.35">
      <c r="A307" t="s">
        <v>277</v>
      </c>
      <c r="B307" t="s">
        <v>114</v>
      </c>
      <c r="C307" t="s">
        <v>963</v>
      </c>
      <c r="D307" t="s">
        <v>964</v>
      </c>
      <c r="E307" t="s">
        <v>30</v>
      </c>
      <c r="F307" t="s">
        <v>965</v>
      </c>
      <c r="G307" t="s">
        <v>966</v>
      </c>
      <c r="H307" s="1">
        <v>46210</v>
      </c>
      <c r="I307" s="6">
        <v>45444</v>
      </c>
      <c r="J307" s="6">
        <v>46103</v>
      </c>
      <c r="K307">
        <v>36</v>
      </c>
      <c r="L307">
        <v>53</v>
      </c>
      <c r="M307">
        <v>92</v>
      </c>
      <c r="N307" s="8">
        <v>3.5</v>
      </c>
      <c r="O307">
        <v>67</v>
      </c>
      <c r="P307">
        <v>43</v>
      </c>
      <c r="Q307" s="3">
        <v>0.18</v>
      </c>
      <c r="R307">
        <v>126</v>
      </c>
      <c r="S307">
        <v>234.5</v>
      </c>
      <c r="T307" t="s">
        <v>3877</v>
      </c>
      <c r="U307" t="s">
        <v>3838</v>
      </c>
      <c r="V307" s="14">
        <v>730</v>
      </c>
      <c r="W307">
        <f t="shared" si="8"/>
        <v>17</v>
      </c>
      <c r="X307">
        <f t="shared" si="9"/>
        <v>322</v>
      </c>
    </row>
    <row r="308" spans="1:24" x14ac:dyDescent="0.35">
      <c r="A308" t="s">
        <v>596</v>
      </c>
      <c r="B308" t="s">
        <v>18</v>
      </c>
      <c r="C308" t="s">
        <v>2645</v>
      </c>
      <c r="D308" t="s">
        <v>2646</v>
      </c>
      <c r="E308" t="s">
        <v>30</v>
      </c>
      <c r="F308" t="s">
        <v>2647</v>
      </c>
      <c r="G308" t="s">
        <v>2648</v>
      </c>
      <c r="H308" s="1">
        <v>46079</v>
      </c>
      <c r="I308" s="6">
        <v>45519</v>
      </c>
      <c r="J308" s="6">
        <v>46087</v>
      </c>
      <c r="K308">
        <v>73</v>
      </c>
      <c r="L308">
        <v>90</v>
      </c>
      <c r="M308">
        <v>77</v>
      </c>
      <c r="N308" s="8">
        <v>4</v>
      </c>
      <c r="O308">
        <v>75</v>
      </c>
      <c r="P308">
        <v>19</v>
      </c>
      <c r="Q308" s="3">
        <v>0.91</v>
      </c>
      <c r="R308">
        <v>292</v>
      </c>
      <c r="S308">
        <v>300</v>
      </c>
      <c r="T308" t="s">
        <v>3877</v>
      </c>
      <c r="U308" t="s">
        <v>3838</v>
      </c>
      <c r="V308" s="14">
        <v>655</v>
      </c>
      <c r="W308">
        <f t="shared" si="8"/>
        <v>17</v>
      </c>
      <c r="X308">
        <f t="shared" si="9"/>
        <v>308</v>
      </c>
    </row>
    <row r="309" spans="1:24" x14ac:dyDescent="0.35">
      <c r="A309" t="s">
        <v>450</v>
      </c>
      <c r="B309" t="s">
        <v>18</v>
      </c>
      <c r="C309" t="s">
        <v>3036</v>
      </c>
      <c r="D309" t="s">
        <v>3037</v>
      </c>
      <c r="E309" t="s">
        <v>68</v>
      </c>
      <c r="F309" t="s">
        <v>3038</v>
      </c>
      <c r="G309" t="s">
        <v>3039</v>
      </c>
      <c r="H309" s="1">
        <v>46158</v>
      </c>
      <c r="I309" s="6">
        <v>45479</v>
      </c>
      <c r="J309" s="6">
        <v>46386</v>
      </c>
      <c r="K309">
        <v>62</v>
      </c>
      <c r="L309">
        <v>79</v>
      </c>
      <c r="M309">
        <v>95</v>
      </c>
      <c r="N309" s="8">
        <v>1</v>
      </c>
      <c r="O309">
        <v>34</v>
      </c>
      <c r="P309">
        <v>12</v>
      </c>
      <c r="Q309" s="3">
        <v>0.18</v>
      </c>
      <c r="R309">
        <v>62</v>
      </c>
      <c r="S309">
        <v>34</v>
      </c>
      <c r="T309" t="s">
        <v>3877</v>
      </c>
      <c r="U309" t="s">
        <v>3836</v>
      </c>
      <c r="V309" s="14">
        <v>695</v>
      </c>
      <c r="W309">
        <f t="shared" si="8"/>
        <v>17</v>
      </c>
      <c r="X309">
        <f t="shared" si="9"/>
        <v>95</v>
      </c>
    </row>
    <row r="310" spans="1:24" x14ac:dyDescent="0.35">
      <c r="A310" t="s">
        <v>222</v>
      </c>
      <c r="B310" t="s">
        <v>65</v>
      </c>
      <c r="C310" t="s">
        <v>201</v>
      </c>
      <c r="D310" t="s">
        <v>3391</v>
      </c>
      <c r="E310" t="s">
        <v>68</v>
      </c>
      <c r="F310" t="s">
        <v>3392</v>
      </c>
      <c r="G310" t="s">
        <v>3393</v>
      </c>
      <c r="H310" s="1">
        <v>46225</v>
      </c>
      <c r="I310" s="6">
        <v>45350</v>
      </c>
      <c r="J310" s="6">
        <v>46313</v>
      </c>
      <c r="K310">
        <v>62</v>
      </c>
      <c r="L310">
        <v>79</v>
      </c>
      <c r="M310">
        <v>23</v>
      </c>
      <c r="N310" s="8">
        <v>1.5</v>
      </c>
      <c r="O310">
        <v>32</v>
      </c>
      <c r="P310">
        <v>80</v>
      </c>
      <c r="Q310" s="3">
        <v>0.46</v>
      </c>
      <c r="R310">
        <v>93</v>
      </c>
      <c r="S310">
        <v>48</v>
      </c>
      <c r="T310" t="s">
        <v>3877</v>
      </c>
      <c r="U310" t="s">
        <v>3836</v>
      </c>
      <c r="V310" s="14">
        <v>824</v>
      </c>
      <c r="W310">
        <f t="shared" si="8"/>
        <v>17</v>
      </c>
      <c r="X310">
        <f t="shared" si="9"/>
        <v>34.5</v>
      </c>
    </row>
    <row r="311" spans="1:24" x14ac:dyDescent="0.35">
      <c r="A311" t="s">
        <v>350</v>
      </c>
      <c r="B311" t="s">
        <v>36</v>
      </c>
      <c r="C311" t="s">
        <v>51</v>
      </c>
      <c r="D311" t="s">
        <v>351</v>
      </c>
      <c r="E311" t="s">
        <v>30</v>
      </c>
      <c r="F311" t="s">
        <v>352</v>
      </c>
      <c r="G311" t="s">
        <v>353</v>
      </c>
      <c r="H311" s="1">
        <v>46085</v>
      </c>
      <c r="I311" s="6">
        <v>45490</v>
      </c>
      <c r="J311" s="6">
        <v>46102</v>
      </c>
      <c r="K311">
        <v>37</v>
      </c>
      <c r="L311">
        <v>53</v>
      </c>
      <c r="M311">
        <v>61</v>
      </c>
      <c r="N311" s="8">
        <v>1</v>
      </c>
      <c r="O311">
        <v>90</v>
      </c>
      <c r="P311">
        <v>89</v>
      </c>
      <c r="Q311" s="3">
        <v>0.8</v>
      </c>
      <c r="R311">
        <v>37</v>
      </c>
      <c r="S311">
        <v>90</v>
      </c>
      <c r="T311" t="s">
        <v>3877</v>
      </c>
      <c r="U311" t="s">
        <v>3838</v>
      </c>
      <c r="V311" s="14">
        <v>684</v>
      </c>
      <c r="W311">
        <f t="shared" si="8"/>
        <v>16</v>
      </c>
      <c r="X311">
        <f t="shared" si="9"/>
        <v>61</v>
      </c>
    </row>
    <row r="312" spans="1:24" x14ac:dyDescent="0.35">
      <c r="A312" t="s">
        <v>413</v>
      </c>
      <c r="B312" t="s">
        <v>65</v>
      </c>
      <c r="C312" t="s">
        <v>866</v>
      </c>
      <c r="D312" t="s">
        <v>867</v>
      </c>
      <c r="E312" t="s">
        <v>30</v>
      </c>
      <c r="F312" t="s">
        <v>868</v>
      </c>
      <c r="G312" t="s">
        <v>869</v>
      </c>
      <c r="H312" s="1">
        <v>46182</v>
      </c>
      <c r="I312" s="6">
        <v>45599</v>
      </c>
      <c r="J312" s="6">
        <v>46164</v>
      </c>
      <c r="K312">
        <v>78</v>
      </c>
      <c r="L312">
        <v>94</v>
      </c>
      <c r="M312">
        <v>7</v>
      </c>
      <c r="N312" s="8">
        <v>4.3499999999999996</v>
      </c>
      <c r="O312">
        <v>69</v>
      </c>
      <c r="P312">
        <v>40</v>
      </c>
      <c r="Q312" s="3">
        <v>0.62</v>
      </c>
      <c r="R312">
        <v>339.29999999999995</v>
      </c>
      <c r="S312">
        <v>300.14999999999998</v>
      </c>
      <c r="T312" t="s">
        <v>3877</v>
      </c>
      <c r="U312" t="s">
        <v>3838</v>
      </c>
      <c r="V312" s="14">
        <v>575</v>
      </c>
      <c r="W312">
        <f t="shared" si="8"/>
        <v>16</v>
      </c>
      <c r="X312">
        <f t="shared" si="9"/>
        <v>30.449999999999996</v>
      </c>
    </row>
    <row r="313" spans="1:24" x14ac:dyDescent="0.35">
      <c r="A313" t="s">
        <v>283</v>
      </c>
      <c r="B313" t="s">
        <v>163</v>
      </c>
      <c r="C313" t="s">
        <v>504</v>
      </c>
      <c r="D313" t="s">
        <v>1013</v>
      </c>
      <c r="E313" t="s">
        <v>21</v>
      </c>
      <c r="F313" t="s">
        <v>1014</v>
      </c>
      <c r="G313" t="s">
        <v>1015</v>
      </c>
      <c r="H313" s="1">
        <v>46238</v>
      </c>
      <c r="I313" s="6">
        <v>45533</v>
      </c>
      <c r="J313" s="6">
        <v>46107</v>
      </c>
      <c r="K313">
        <v>62</v>
      </c>
      <c r="L313">
        <v>78</v>
      </c>
      <c r="M313">
        <v>97</v>
      </c>
      <c r="N313" s="8">
        <v>10</v>
      </c>
      <c r="O313">
        <v>62</v>
      </c>
      <c r="P313">
        <v>97</v>
      </c>
      <c r="Q313" s="3">
        <v>0.19</v>
      </c>
      <c r="R313">
        <v>620</v>
      </c>
      <c r="S313">
        <v>620</v>
      </c>
      <c r="T313" t="s">
        <v>3877</v>
      </c>
      <c r="U313" t="s">
        <v>3838</v>
      </c>
      <c r="V313" s="14">
        <v>641</v>
      </c>
      <c r="W313">
        <f t="shared" si="8"/>
        <v>16</v>
      </c>
      <c r="X313">
        <f t="shared" si="9"/>
        <v>970</v>
      </c>
    </row>
    <row r="314" spans="1:24" x14ac:dyDescent="0.35">
      <c r="A314" t="s">
        <v>690</v>
      </c>
      <c r="B314" t="s">
        <v>36</v>
      </c>
      <c r="C314" t="s">
        <v>2098</v>
      </c>
      <c r="D314" t="s">
        <v>2099</v>
      </c>
      <c r="E314" t="s">
        <v>68</v>
      </c>
      <c r="F314" t="s">
        <v>2100</v>
      </c>
      <c r="G314" t="s">
        <v>2101</v>
      </c>
      <c r="H314" s="1">
        <v>46317</v>
      </c>
      <c r="I314" s="6">
        <v>45633</v>
      </c>
      <c r="J314" s="6">
        <v>46422</v>
      </c>
      <c r="K314">
        <v>50</v>
      </c>
      <c r="L314">
        <v>66</v>
      </c>
      <c r="M314">
        <v>1</v>
      </c>
      <c r="N314" s="8">
        <v>2.5</v>
      </c>
      <c r="O314">
        <v>76</v>
      </c>
      <c r="P314">
        <v>73</v>
      </c>
      <c r="Q314" s="3">
        <v>0.81</v>
      </c>
      <c r="R314">
        <v>125</v>
      </c>
      <c r="S314">
        <v>190</v>
      </c>
      <c r="T314" t="s">
        <v>3877</v>
      </c>
      <c r="U314" t="s">
        <v>3836</v>
      </c>
      <c r="V314" s="14">
        <v>541</v>
      </c>
      <c r="W314">
        <f t="shared" si="8"/>
        <v>16</v>
      </c>
      <c r="X314">
        <f t="shared" si="9"/>
        <v>2.5</v>
      </c>
    </row>
    <row r="315" spans="1:24" x14ac:dyDescent="0.35">
      <c r="A315" t="s">
        <v>371</v>
      </c>
      <c r="B315" t="s">
        <v>75</v>
      </c>
      <c r="C315" t="s">
        <v>1187</v>
      </c>
      <c r="D315" t="s">
        <v>2154</v>
      </c>
      <c r="E315" t="s">
        <v>68</v>
      </c>
      <c r="F315" t="s">
        <v>2155</v>
      </c>
      <c r="G315" t="s">
        <v>2156</v>
      </c>
      <c r="H315" s="1">
        <v>46322</v>
      </c>
      <c r="I315" s="6">
        <v>45565</v>
      </c>
      <c r="J315" s="6">
        <v>46263</v>
      </c>
      <c r="K315">
        <v>67</v>
      </c>
      <c r="L315">
        <v>83</v>
      </c>
      <c r="M315">
        <v>90</v>
      </c>
      <c r="N315" s="8">
        <v>11.6</v>
      </c>
      <c r="O315">
        <v>66</v>
      </c>
      <c r="P315">
        <v>77</v>
      </c>
      <c r="Q315" s="3">
        <v>-0.02</v>
      </c>
      <c r="R315">
        <v>777.19999999999993</v>
      </c>
      <c r="S315">
        <v>765.6</v>
      </c>
      <c r="T315" t="s">
        <v>3877</v>
      </c>
      <c r="U315" t="s">
        <v>3836</v>
      </c>
      <c r="V315" s="14">
        <v>609</v>
      </c>
      <c r="W315">
        <f t="shared" si="8"/>
        <v>16</v>
      </c>
      <c r="X315">
        <f t="shared" si="9"/>
        <v>1044</v>
      </c>
    </row>
    <row r="316" spans="1:24" x14ac:dyDescent="0.35">
      <c r="A316" t="s">
        <v>1008</v>
      </c>
      <c r="B316" t="s">
        <v>18</v>
      </c>
      <c r="C316" t="s">
        <v>2203</v>
      </c>
      <c r="D316" t="s">
        <v>2204</v>
      </c>
      <c r="E316" t="s">
        <v>30</v>
      </c>
      <c r="F316" t="s">
        <v>2205</v>
      </c>
      <c r="G316" t="s">
        <v>2206</v>
      </c>
      <c r="H316" s="1">
        <v>46326</v>
      </c>
      <c r="I316" s="6">
        <v>45405</v>
      </c>
      <c r="J316" s="6">
        <v>46366</v>
      </c>
      <c r="K316">
        <v>75</v>
      </c>
      <c r="L316">
        <v>91</v>
      </c>
      <c r="M316">
        <v>68</v>
      </c>
      <c r="N316" s="8">
        <v>3</v>
      </c>
      <c r="O316">
        <v>96</v>
      </c>
      <c r="P316">
        <v>73</v>
      </c>
      <c r="Q316" s="3">
        <v>0.7</v>
      </c>
      <c r="R316">
        <v>225</v>
      </c>
      <c r="S316">
        <v>288</v>
      </c>
      <c r="T316" t="s">
        <v>3877</v>
      </c>
      <c r="U316" t="s">
        <v>3836</v>
      </c>
      <c r="V316" s="14">
        <v>769</v>
      </c>
      <c r="W316">
        <f t="shared" si="8"/>
        <v>16</v>
      </c>
      <c r="X316">
        <f t="shared" si="9"/>
        <v>204</v>
      </c>
    </row>
    <row r="317" spans="1:24" x14ac:dyDescent="0.35">
      <c r="A317" t="s">
        <v>1415</v>
      </c>
      <c r="B317" t="s">
        <v>114</v>
      </c>
      <c r="C317" t="s">
        <v>178</v>
      </c>
      <c r="D317" t="s">
        <v>2751</v>
      </c>
      <c r="E317" t="s">
        <v>30</v>
      </c>
      <c r="F317" t="s">
        <v>2752</v>
      </c>
      <c r="G317" t="s">
        <v>2753</v>
      </c>
      <c r="H317" s="1">
        <v>46102</v>
      </c>
      <c r="I317" s="6">
        <v>45351</v>
      </c>
      <c r="J317" s="6">
        <v>46195</v>
      </c>
      <c r="K317">
        <v>61</v>
      </c>
      <c r="L317">
        <v>77</v>
      </c>
      <c r="M317">
        <v>45</v>
      </c>
      <c r="N317" s="8">
        <v>2.5</v>
      </c>
      <c r="O317">
        <v>51</v>
      </c>
      <c r="P317">
        <v>48</v>
      </c>
      <c r="Q317" s="3">
        <v>0.65</v>
      </c>
      <c r="R317">
        <v>152.5</v>
      </c>
      <c r="S317">
        <v>127.5</v>
      </c>
      <c r="T317" t="s">
        <v>3877</v>
      </c>
      <c r="U317" t="s">
        <v>3837</v>
      </c>
      <c r="V317" s="14">
        <v>823</v>
      </c>
      <c r="W317">
        <f t="shared" si="8"/>
        <v>16</v>
      </c>
      <c r="X317">
        <f t="shared" si="9"/>
        <v>112.5</v>
      </c>
    </row>
    <row r="318" spans="1:24" x14ac:dyDescent="0.35">
      <c r="A318" t="s">
        <v>1008</v>
      </c>
      <c r="B318" t="s">
        <v>18</v>
      </c>
      <c r="C318" t="s">
        <v>3046</v>
      </c>
      <c r="D318" t="s">
        <v>3047</v>
      </c>
      <c r="E318" t="s">
        <v>30</v>
      </c>
      <c r="F318" t="s">
        <v>3048</v>
      </c>
      <c r="G318" t="s">
        <v>3049</v>
      </c>
      <c r="H318" s="1">
        <v>46160</v>
      </c>
      <c r="I318" s="6">
        <v>45662</v>
      </c>
      <c r="J318" s="6">
        <v>46129</v>
      </c>
      <c r="K318">
        <v>12</v>
      </c>
      <c r="L318">
        <v>28</v>
      </c>
      <c r="M318">
        <v>11</v>
      </c>
      <c r="N318" s="8">
        <v>3</v>
      </c>
      <c r="O318">
        <v>46</v>
      </c>
      <c r="P318">
        <v>88</v>
      </c>
      <c r="Q318" s="3">
        <v>0.31</v>
      </c>
      <c r="R318">
        <v>36</v>
      </c>
      <c r="S318">
        <v>138</v>
      </c>
      <c r="T318" t="s">
        <v>3877</v>
      </c>
      <c r="U318" t="s">
        <v>3838</v>
      </c>
      <c r="V318" s="14">
        <v>512</v>
      </c>
      <c r="W318">
        <f t="shared" si="8"/>
        <v>16</v>
      </c>
      <c r="X318">
        <f t="shared" si="9"/>
        <v>33</v>
      </c>
    </row>
    <row r="319" spans="1:24" x14ac:dyDescent="0.35">
      <c r="A319" t="s">
        <v>1201</v>
      </c>
      <c r="B319" t="s">
        <v>18</v>
      </c>
      <c r="C319" t="s">
        <v>1874</v>
      </c>
      <c r="D319" t="s">
        <v>3053</v>
      </c>
      <c r="E319" t="s">
        <v>68</v>
      </c>
      <c r="F319" t="s">
        <v>3054</v>
      </c>
      <c r="G319" t="s">
        <v>3055</v>
      </c>
      <c r="H319" s="1">
        <v>46161</v>
      </c>
      <c r="I319" s="6">
        <v>45701</v>
      </c>
      <c r="J319" s="6">
        <v>46149</v>
      </c>
      <c r="K319">
        <v>47</v>
      </c>
      <c r="L319">
        <v>63</v>
      </c>
      <c r="M319">
        <v>86</v>
      </c>
      <c r="N319" s="8">
        <v>4</v>
      </c>
      <c r="O319">
        <v>76</v>
      </c>
      <c r="P319">
        <v>29</v>
      </c>
      <c r="Q319" s="3">
        <v>-0.27</v>
      </c>
      <c r="R319">
        <v>188</v>
      </c>
      <c r="S319">
        <v>304</v>
      </c>
      <c r="T319" t="s">
        <v>3877</v>
      </c>
      <c r="U319" t="s">
        <v>3838</v>
      </c>
      <c r="V319" s="14">
        <v>473</v>
      </c>
      <c r="W319">
        <f t="shared" si="8"/>
        <v>16</v>
      </c>
      <c r="X319">
        <f t="shared" si="9"/>
        <v>344</v>
      </c>
    </row>
    <row r="320" spans="1:24" x14ac:dyDescent="0.35">
      <c r="A320" t="s">
        <v>240</v>
      </c>
      <c r="B320" t="s">
        <v>36</v>
      </c>
      <c r="C320" t="s">
        <v>37</v>
      </c>
      <c r="D320" t="s">
        <v>3078</v>
      </c>
      <c r="E320" t="s">
        <v>21</v>
      </c>
      <c r="F320" t="s">
        <v>3079</v>
      </c>
      <c r="G320" t="s">
        <v>3080</v>
      </c>
      <c r="H320" s="1">
        <v>46165</v>
      </c>
      <c r="I320" s="6">
        <v>45695</v>
      </c>
      <c r="J320" s="6">
        <v>46220</v>
      </c>
      <c r="K320">
        <v>74</v>
      </c>
      <c r="L320">
        <v>90</v>
      </c>
      <c r="M320">
        <v>26</v>
      </c>
      <c r="N320" s="8">
        <v>1</v>
      </c>
      <c r="O320">
        <v>24</v>
      </c>
      <c r="P320">
        <v>11</v>
      </c>
      <c r="Q320" s="3">
        <v>0.75</v>
      </c>
      <c r="R320">
        <v>74</v>
      </c>
      <c r="S320">
        <v>24</v>
      </c>
      <c r="T320" t="s">
        <v>3877</v>
      </c>
      <c r="U320" t="s">
        <v>3836</v>
      </c>
      <c r="V320" s="14">
        <v>479</v>
      </c>
      <c r="W320">
        <f t="shared" si="8"/>
        <v>16</v>
      </c>
      <c r="X320">
        <f t="shared" si="9"/>
        <v>26</v>
      </c>
    </row>
    <row r="321" spans="1:24" x14ac:dyDescent="0.35">
      <c r="A321" t="s">
        <v>591</v>
      </c>
      <c r="B321" t="s">
        <v>36</v>
      </c>
      <c r="C321" t="s">
        <v>1554</v>
      </c>
      <c r="D321" t="s">
        <v>3527</v>
      </c>
      <c r="E321" t="s">
        <v>30</v>
      </c>
      <c r="F321" t="s">
        <v>3528</v>
      </c>
      <c r="G321" t="s">
        <v>3529</v>
      </c>
      <c r="H321" s="1">
        <v>46249</v>
      </c>
      <c r="I321" s="6">
        <v>45480</v>
      </c>
      <c r="J321" s="6">
        <v>46193</v>
      </c>
      <c r="K321">
        <v>39</v>
      </c>
      <c r="L321">
        <v>55</v>
      </c>
      <c r="M321">
        <v>39</v>
      </c>
      <c r="N321" s="8">
        <v>3</v>
      </c>
      <c r="O321">
        <v>47</v>
      </c>
      <c r="P321">
        <v>59</v>
      </c>
      <c r="Q321" s="3">
        <v>0.9</v>
      </c>
      <c r="R321">
        <v>117</v>
      </c>
      <c r="S321">
        <v>141</v>
      </c>
      <c r="T321" t="s">
        <v>3877</v>
      </c>
      <c r="U321" t="s">
        <v>3837</v>
      </c>
      <c r="V321" s="14">
        <v>694</v>
      </c>
      <c r="W321">
        <f t="shared" si="8"/>
        <v>16</v>
      </c>
      <c r="X321">
        <f t="shared" si="9"/>
        <v>117</v>
      </c>
    </row>
    <row r="322" spans="1:24" x14ac:dyDescent="0.35">
      <c r="A322" t="s">
        <v>423</v>
      </c>
      <c r="B322" t="s">
        <v>65</v>
      </c>
      <c r="C322" t="s">
        <v>823</v>
      </c>
      <c r="D322" t="s">
        <v>824</v>
      </c>
      <c r="E322" t="s">
        <v>68</v>
      </c>
      <c r="F322" t="s">
        <v>825</v>
      </c>
      <c r="G322" t="s">
        <v>826</v>
      </c>
      <c r="H322" s="1">
        <v>46178</v>
      </c>
      <c r="I322" s="6">
        <v>45621</v>
      </c>
      <c r="J322" s="6">
        <v>46082</v>
      </c>
      <c r="K322">
        <v>41</v>
      </c>
      <c r="L322">
        <v>56</v>
      </c>
      <c r="M322">
        <v>12</v>
      </c>
      <c r="N322" s="8">
        <v>9.75</v>
      </c>
      <c r="O322">
        <v>93</v>
      </c>
      <c r="P322">
        <v>88</v>
      </c>
      <c r="Q322" s="3">
        <v>-0.71</v>
      </c>
      <c r="R322">
        <v>399.75</v>
      </c>
      <c r="S322">
        <v>906.75</v>
      </c>
      <c r="T322" t="s">
        <v>3877</v>
      </c>
      <c r="U322" t="s">
        <v>3838</v>
      </c>
      <c r="V322" s="14">
        <v>553</v>
      </c>
      <c r="W322">
        <f t="shared" ref="W322:W385" si="10">L322-K322</f>
        <v>15</v>
      </c>
      <c r="X322">
        <f t="shared" ref="X322:X385" si="11">M322*N322</f>
        <v>117</v>
      </c>
    </row>
    <row r="323" spans="1:24" x14ac:dyDescent="0.35">
      <c r="A323" t="s">
        <v>113</v>
      </c>
      <c r="B323" t="s">
        <v>114</v>
      </c>
      <c r="C323" t="s">
        <v>19</v>
      </c>
      <c r="D323" t="s">
        <v>1146</v>
      </c>
      <c r="E323" t="s">
        <v>21</v>
      </c>
      <c r="F323" t="s">
        <v>1147</v>
      </c>
      <c r="G323" t="s">
        <v>1148</v>
      </c>
      <c r="H323" s="1">
        <v>46268</v>
      </c>
      <c r="I323" s="6">
        <v>45620</v>
      </c>
      <c r="J323" s="6">
        <v>46431</v>
      </c>
      <c r="K323">
        <v>34</v>
      </c>
      <c r="L323">
        <v>49</v>
      </c>
      <c r="M323">
        <v>27</v>
      </c>
      <c r="N323" s="8">
        <v>4</v>
      </c>
      <c r="O323">
        <v>78</v>
      </c>
      <c r="P323">
        <v>20</v>
      </c>
      <c r="Q323" s="3">
        <v>-1.04</v>
      </c>
      <c r="R323">
        <v>136</v>
      </c>
      <c r="S323">
        <v>312</v>
      </c>
      <c r="T323" t="s">
        <v>3877</v>
      </c>
      <c r="U323" t="s">
        <v>3836</v>
      </c>
      <c r="V323" s="14">
        <v>554</v>
      </c>
      <c r="W323">
        <f t="shared" si="10"/>
        <v>15</v>
      </c>
      <c r="X323">
        <f t="shared" si="11"/>
        <v>108</v>
      </c>
    </row>
    <row r="324" spans="1:24" x14ac:dyDescent="0.35">
      <c r="A324" t="s">
        <v>1704</v>
      </c>
      <c r="B324" t="s">
        <v>18</v>
      </c>
      <c r="C324" t="s">
        <v>1411</v>
      </c>
      <c r="D324" t="s">
        <v>1848</v>
      </c>
      <c r="E324" t="s">
        <v>68</v>
      </c>
      <c r="F324" t="s">
        <v>1849</v>
      </c>
      <c r="G324" t="s">
        <v>1850</v>
      </c>
      <c r="H324" s="1">
        <v>46404</v>
      </c>
      <c r="I324" s="6">
        <v>45487</v>
      </c>
      <c r="J324" s="6">
        <v>46127</v>
      </c>
      <c r="K324">
        <v>23</v>
      </c>
      <c r="L324">
        <v>38</v>
      </c>
      <c r="M324">
        <v>54</v>
      </c>
      <c r="N324" s="8">
        <v>10</v>
      </c>
      <c r="O324">
        <v>40</v>
      </c>
      <c r="P324">
        <v>15</v>
      </c>
      <c r="Q324" s="3">
        <v>0.73</v>
      </c>
      <c r="R324">
        <v>230</v>
      </c>
      <c r="S324">
        <v>400</v>
      </c>
      <c r="T324" t="s">
        <v>3877</v>
      </c>
      <c r="U324" t="s">
        <v>3838</v>
      </c>
      <c r="V324" s="14">
        <v>687</v>
      </c>
      <c r="W324">
        <f t="shared" si="10"/>
        <v>15</v>
      </c>
      <c r="X324">
        <f t="shared" si="11"/>
        <v>540</v>
      </c>
    </row>
    <row r="325" spans="1:24" x14ac:dyDescent="0.35">
      <c r="A325" t="s">
        <v>1527</v>
      </c>
      <c r="B325" t="s">
        <v>18</v>
      </c>
      <c r="C325" t="s">
        <v>770</v>
      </c>
      <c r="D325" t="s">
        <v>2794</v>
      </c>
      <c r="E325" t="s">
        <v>68</v>
      </c>
      <c r="F325" t="s">
        <v>2795</v>
      </c>
      <c r="G325" t="s">
        <v>2796</v>
      </c>
      <c r="H325" s="1">
        <v>46107</v>
      </c>
      <c r="I325" s="6">
        <v>45550</v>
      </c>
      <c r="J325" s="6">
        <v>46338</v>
      </c>
      <c r="K325">
        <v>59</v>
      </c>
      <c r="L325">
        <v>74</v>
      </c>
      <c r="M325">
        <v>100</v>
      </c>
      <c r="N325" s="8">
        <v>4.5</v>
      </c>
      <c r="O325">
        <v>63</v>
      </c>
      <c r="P325">
        <v>69</v>
      </c>
      <c r="Q325" s="3">
        <v>-0.28000000000000003</v>
      </c>
      <c r="R325">
        <v>265.5</v>
      </c>
      <c r="S325">
        <v>283.5</v>
      </c>
      <c r="T325" t="s">
        <v>3877</v>
      </c>
      <c r="U325" t="s">
        <v>3836</v>
      </c>
      <c r="V325" s="14">
        <v>624</v>
      </c>
      <c r="W325">
        <f t="shared" si="10"/>
        <v>15</v>
      </c>
      <c r="X325">
        <f t="shared" si="11"/>
        <v>450</v>
      </c>
    </row>
    <row r="326" spans="1:24" x14ac:dyDescent="0.35">
      <c r="A326" t="s">
        <v>350</v>
      </c>
      <c r="B326" t="s">
        <v>36</v>
      </c>
      <c r="C326" t="s">
        <v>3013</v>
      </c>
      <c r="D326" t="s">
        <v>3014</v>
      </c>
      <c r="E326" t="s">
        <v>21</v>
      </c>
      <c r="F326" t="s">
        <v>3015</v>
      </c>
      <c r="G326" t="s">
        <v>3016</v>
      </c>
      <c r="H326" s="1">
        <v>46155</v>
      </c>
      <c r="I326" s="6">
        <v>45709</v>
      </c>
      <c r="J326" s="6">
        <v>46402</v>
      </c>
      <c r="K326">
        <v>23</v>
      </c>
      <c r="L326">
        <v>38</v>
      </c>
      <c r="M326">
        <v>25</v>
      </c>
      <c r="N326" s="8">
        <v>1</v>
      </c>
      <c r="O326">
        <v>84</v>
      </c>
      <c r="P326">
        <v>78</v>
      </c>
      <c r="Q326" s="3">
        <v>0.25</v>
      </c>
      <c r="R326">
        <v>23</v>
      </c>
      <c r="S326">
        <v>84</v>
      </c>
      <c r="T326" t="s">
        <v>3877</v>
      </c>
      <c r="U326" t="s">
        <v>3836</v>
      </c>
      <c r="V326" s="14">
        <v>465</v>
      </c>
      <c r="W326">
        <f t="shared" si="10"/>
        <v>15</v>
      </c>
      <c r="X326">
        <f t="shared" si="11"/>
        <v>25</v>
      </c>
    </row>
    <row r="327" spans="1:24" x14ac:dyDescent="0.35">
      <c r="A327" t="s">
        <v>624</v>
      </c>
      <c r="B327" t="s">
        <v>18</v>
      </c>
      <c r="C327" t="s">
        <v>3251</v>
      </c>
      <c r="D327" t="s">
        <v>3252</v>
      </c>
      <c r="E327" t="s">
        <v>68</v>
      </c>
      <c r="F327" t="s">
        <v>3253</v>
      </c>
      <c r="G327" t="s">
        <v>3254</v>
      </c>
      <c r="H327" s="1">
        <v>46197</v>
      </c>
      <c r="I327" s="6">
        <v>45712</v>
      </c>
      <c r="J327" s="6">
        <v>46098</v>
      </c>
      <c r="K327">
        <v>72</v>
      </c>
      <c r="L327">
        <v>87</v>
      </c>
      <c r="M327">
        <v>39</v>
      </c>
      <c r="N327" s="8">
        <v>6</v>
      </c>
      <c r="O327">
        <v>94</v>
      </c>
      <c r="P327">
        <v>57</v>
      </c>
      <c r="Q327" s="3">
        <v>0.68</v>
      </c>
      <c r="R327">
        <v>432</v>
      </c>
      <c r="S327">
        <v>564</v>
      </c>
      <c r="T327" t="s">
        <v>3877</v>
      </c>
      <c r="U327" t="s">
        <v>3838</v>
      </c>
      <c r="V327" s="14">
        <v>462</v>
      </c>
      <c r="W327">
        <f t="shared" si="10"/>
        <v>15</v>
      </c>
      <c r="X327">
        <f t="shared" si="11"/>
        <v>234</v>
      </c>
    </row>
    <row r="328" spans="1:24" x14ac:dyDescent="0.35">
      <c r="A328" t="s">
        <v>467</v>
      </c>
      <c r="B328" t="s">
        <v>65</v>
      </c>
      <c r="C328" t="s">
        <v>928</v>
      </c>
      <c r="D328" t="s">
        <v>3413</v>
      </c>
      <c r="E328" t="s">
        <v>21</v>
      </c>
      <c r="F328" t="s">
        <v>3414</v>
      </c>
      <c r="G328" t="s">
        <v>3415</v>
      </c>
      <c r="H328" s="1">
        <v>46227</v>
      </c>
      <c r="I328" s="6">
        <v>45601</v>
      </c>
      <c r="J328" s="6">
        <v>46155</v>
      </c>
      <c r="K328">
        <v>54</v>
      </c>
      <c r="L328">
        <v>69</v>
      </c>
      <c r="M328">
        <v>68</v>
      </c>
      <c r="N328" s="8">
        <v>1.75</v>
      </c>
      <c r="O328">
        <v>77</v>
      </c>
      <c r="P328">
        <v>56</v>
      </c>
      <c r="Q328" s="3">
        <v>-1.0900000000000001</v>
      </c>
      <c r="R328">
        <v>94.5</v>
      </c>
      <c r="S328">
        <v>134.75</v>
      </c>
      <c r="T328" t="s">
        <v>3877</v>
      </c>
      <c r="U328" t="s">
        <v>3838</v>
      </c>
      <c r="V328" s="14">
        <v>573</v>
      </c>
      <c r="W328">
        <f t="shared" si="10"/>
        <v>15</v>
      </c>
      <c r="X328">
        <f t="shared" si="11"/>
        <v>119</v>
      </c>
    </row>
    <row r="329" spans="1:24" x14ac:dyDescent="0.35">
      <c r="A329" t="s">
        <v>194</v>
      </c>
      <c r="B329" t="s">
        <v>114</v>
      </c>
      <c r="C329" t="s">
        <v>195</v>
      </c>
      <c r="D329" t="s">
        <v>196</v>
      </c>
      <c r="E329" t="s">
        <v>21</v>
      </c>
      <c r="F329" t="s">
        <v>197</v>
      </c>
      <c r="G329" t="s">
        <v>198</v>
      </c>
      <c r="H329" s="1">
        <v>46057</v>
      </c>
      <c r="I329" s="6">
        <v>45453</v>
      </c>
      <c r="J329" s="6">
        <v>46312</v>
      </c>
      <c r="K329">
        <v>65</v>
      </c>
      <c r="L329">
        <v>79</v>
      </c>
      <c r="M329">
        <v>49</v>
      </c>
      <c r="N329" s="8">
        <v>4</v>
      </c>
      <c r="O329">
        <v>100</v>
      </c>
      <c r="P329">
        <v>9</v>
      </c>
      <c r="Q329" s="2">
        <v>2.5000000000000001E-2</v>
      </c>
      <c r="R329">
        <v>260</v>
      </c>
      <c r="S329">
        <v>400</v>
      </c>
      <c r="T329" t="s">
        <v>3877</v>
      </c>
      <c r="U329" t="s">
        <v>3836</v>
      </c>
      <c r="V329" s="14">
        <v>721</v>
      </c>
      <c r="W329">
        <f t="shared" si="10"/>
        <v>14</v>
      </c>
      <c r="X329">
        <f t="shared" si="11"/>
        <v>196</v>
      </c>
    </row>
    <row r="330" spans="1:24" x14ac:dyDescent="0.35">
      <c r="A330" t="s">
        <v>154</v>
      </c>
      <c r="B330" t="s">
        <v>65</v>
      </c>
      <c r="C330" t="s">
        <v>259</v>
      </c>
      <c r="D330" t="s">
        <v>816</v>
      </c>
      <c r="E330" t="s">
        <v>30</v>
      </c>
      <c r="F330" t="s">
        <v>817</v>
      </c>
      <c r="G330" t="s">
        <v>818</v>
      </c>
      <c r="H330" s="1">
        <v>46177</v>
      </c>
      <c r="I330" s="6">
        <v>45440</v>
      </c>
      <c r="J330" s="6">
        <v>46423</v>
      </c>
      <c r="K330">
        <v>86</v>
      </c>
      <c r="L330">
        <v>100</v>
      </c>
      <c r="M330">
        <v>78</v>
      </c>
      <c r="N330" s="8">
        <v>2.75</v>
      </c>
      <c r="O330">
        <v>52</v>
      </c>
      <c r="P330">
        <v>91</v>
      </c>
      <c r="Q330" s="3">
        <v>0.22</v>
      </c>
      <c r="R330">
        <v>236.5</v>
      </c>
      <c r="S330">
        <v>143</v>
      </c>
      <c r="T330" t="s">
        <v>3877</v>
      </c>
      <c r="U330" t="s">
        <v>3836</v>
      </c>
      <c r="V330" s="14">
        <v>734</v>
      </c>
      <c r="W330">
        <f t="shared" si="10"/>
        <v>14</v>
      </c>
      <c r="X330">
        <f t="shared" si="11"/>
        <v>214.5</v>
      </c>
    </row>
    <row r="331" spans="1:24" x14ac:dyDescent="0.35">
      <c r="A331" t="s">
        <v>1021</v>
      </c>
      <c r="B331" t="s">
        <v>36</v>
      </c>
      <c r="C331" t="s">
        <v>164</v>
      </c>
      <c r="D331" t="s">
        <v>1022</v>
      </c>
      <c r="E331" t="s">
        <v>30</v>
      </c>
      <c r="F331" t="s">
        <v>1023</v>
      </c>
      <c r="G331" t="s">
        <v>1024</v>
      </c>
      <c r="H331" s="1">
        <v>46238</v>
      </c>
      <c r="I331" s="6">
        <v>45528</v>
      </c>
      <c r="J331" s="6">
        <v>46117</v>
      </c>
      <c r="K331">
        <v>68</v>
      </c>
      <c r="L331">
        <v>82</v>
      </c>
      <c r="M331">
        <v>58</v>
      </c>
      <c r="N331" s="8">
        <v>4.8</v>
      </c>
      <c r="O331">
        <v>90</v>
      </c>
      <c r="P331">
        <v>2</v>
      </c>
      <c r="Q331" s="3">
        <v>0.26</v>
      </c>
      <c r="R331">
        <v>326.39999999999998</v>
      </c>
      <c r="S331">
        <v>432</v>
      </c>
      <c r="T331" t="s">
        <v>3877</v>
      </c>
      <c r="U331" t="s">
        <v>3838</v>
      </c>
      <c r="V331" s="14">
        <v>646</v>
      </c>
      <c r="W331">
        <f t="shared" si="10"/>
        <v>14</v>
      </c>
      <c r="X331">
        <f t="shared" si="11"/>
        <v>278.39999999999998</v>
      </c>
    </row>
    <row r="332" spans="1:24" x14ac:dyDescent="0.35">
      <c r="A332" t="s">
        <v>793</v>
      </c>
      <c r="B332" t="s">
        <v>75</v>
      </c>
      <c r="C332" t="s">
        <v>1493</v>
      </c>
      <c r="D332" t="s">
        <v>1494</v>
      </c>
      <c r="E332" t="s">
        <v>21</v>
      </c>
      <c r="F332" t="s">
        <v>1495</v>
      </c>
      <c r="G332" t="s">
        <v>1496</v>
      </c>
      <c r="H332" s="1">
        <v>46361</v>
      </c>
      <c r="I332" s="6">
        <v>45568</v>
      </c>
      <c r="J332" s="6">
        <v>46172</v>
      </c>
      <c r="K332">
        <v>65</v>
      </c>
      <c r="L332">
        <v>79</v>
      </c>
      <c r="M332">
        <v>52</v>
      </c>
      <c r="N332" s="8">
        <v>8</v>
      </c>
      <c r="O332">
        <v>56</v>
      </c>
      <c r="P332">
        <v>94</v>
      </c>
      <c r="Q332" s="3">
        <v>0.98</v>
      </c>
      <c r="R332">
        <v>520</v>
      </c>
      <c r="S332">
        <v>448</v>
      </c>
      <c r="T332" t="s">
        <v>3877</v>
      </c>
      <c r="U332" t="s">
        <v>3838</v>
      </c>
      <c r="V332" s="14">
        <v>606</v>
      </c>
      <c r="W332">
        <f t="shared" si="10"/>
        <v>14</v>
      </c>
      <c r="X332">
        <f t="shared" si="11"/>
        <v>416</v>
      </c>
    </row>
    <row r="333" spans="1:24" x14ac:dyDescent="0.35">
      <c r="A333" t="s">
        <v>154</v>
      </c>
      <c r="B333" t="s">
        <v>65</v>
      </c>
      <c r="C333" t="s">
        <v>409</v>
      </c>
      <c r="D333" t="s">
        <v>2552</v>
      </c>
      <c r="E333" t="s">
        <v>30</v>
      </c>
      <c r="F333" t="s">
        <v>2553</v>
      </c>
      <c r="G333" t="s">
        <v>2554</v>
      </c>
      <c r="H333" s="1">
        <v>46431</v>
      </c>
      <c r="I333" s="6">
        <v>45658</v>
      </c>
      <c r="J333" s="6">
        <v>46276</v>
      </c>
      <c r="K333">
        <v>59</v>
      </c>
      <c r="L333">
        <v>73</v>
      </c>
      <c r="M333">
        <v>86</v>
      </c>
      <c r="N333" s="8">
        <v>2.75</v>
      </c>
      <c r="O333">
        <v>32</v>
      </c>
      <c r="P333">
        <v>56</v>
      </c>
      <c r="Q333" s="3">
        <v>-1.48</v>
      </c>
      <c r="R333">
        <v>162.25</v>
      </c>
      <c r="S333">
        <v>88</v>
      </c>
      <c r="T333" t="s">
        <v>3877</v>
      </c>
      <c r="U333" t="s">
        <v>3836</v>
      </c>
      <c r="V333" s="14">
        <v>516</v>
      </c>
      <c r="W333">
        <f t="shared" si="10"/>
        <v>14</v>
      </c>
      <c r="X333">
        <f t="shared" si="11"/>
        <v>236.5</v>
      </c>
    </row>
    <row r="334" spans="1:24" x14ac:dyDescent="0.35">
      <c r="A334" t="s">
        <v>418</v>
      </c>
      <c r="B334" t="s">
        <v>65</v>
      </c>
      <c r="C334" t="s">
        <v>2778</v>
      </c>
      <c r="D334" t="s">
        <v>2779</v>
      </c>
      <c r="E334" t="s">
        <v>68</v>
      </c>
      <c r="F334" t="s">
        <v>2780</v>
      </c>
      <c r="G334" t="s">
        <v>2781</v>
      </c>
      <c r="H334" s="1">
        <v>46106</v>
      </c>
      <c r="I334" s="6">
        <v>45674</v>
      </c>
      <c r="J334" s="6">
        <v>46172</v>
      </c>
      <c r="K334">
        <v>86</v>
      </c>
      <c r="L334">
        <v>100</v>
      </c>
      <c r="M334">
        <v>74</v>
      </c>
      <c r="N334" s="8">
        <v>6.1</v>
      </c>
      <c r="O334">
        <v>80</v>
      </c>
      <c r="P334">
        <v>94</v>
      </c>
      <c r="Q334" s="3">
        <v>-0.78</v>
      </c>
      <c r="R334">
        <v>524.6</v>
      </c>
      <c r="S334">
        <v>488</v>
      </c>
      <c r="T334" t="s">
        <v>3877</v>
      </c>
      <c r="U334" t="s">
        <v>3838</v>
      </c>
      <c r="V334" s="14">
        <v>500</v>
      </c>
      <c r="W334">
        <f t="shared" si="10"/>
        <v>14</v>
      </c>
      <c r="X334">
        <f t="shared" si="11"/>
        <v>451.4</v>
      </c>
    </row>
    <row r="335" spans="1:24" x14ac:dyDescent="0.35">
      <c r="A335" t="s">
        <v>154</v>
      </c>
      <c r="B335" t="s">
        <v>65</v>
      </c>
      <c r="C335" t="s">
        <v>2489</v>
      </c>
      <c r="D335" t="s">
        <v>3233</v>
      </c>
      <c r="E335" t="s">
        <v>68</v>
      </c>
      <c r="F335" t="s">
        <v>3234</v>
      </c>
      <c r="G335" t="s">
        <v>3235</v>
      </c>
      <c r="H335" s="1">
        <v>46195</v>
      </c>
      <c r="I335" s="6">
        <v>45475</v>
      </c>
      <c r="J335" s="6">
        <v>46383</v>
      </c>
      <c r="K335">
        <v>39</v>
      </c>
      <c r="L335">
        <v>53</v>
      </c>
      <c r="M335">
        <v>64</v>
      </c>
      <c r="N335" s="8">
        <v>2.75</v>
      </c>
      <c r="O335">
        <v>92</v>
      </c>
      <c r="P335">
        <v>8</v>
      </c>
      <c r="Q335" s="3">
        <v>0.46</v>
      </c>
      <c r="R335">
        <v>107.25</v>
      </c>
      <c r="S335">
        <v>253</v>
      </c>
      <c r="T335" t="s">
        <v>3877</v>
      </c>
      <c r="U335" t="s">
        <v>3836</v>
      </c>
      <c r="V335" s="14">
        <v>699</v>
      </c>
      <c r="W335">
        <f t="shared" si="10"/>
        <v>14</v>
      </c>
      <c r="X335">
        <f t="shared" si="11"/>
        <v>176</v>
      </c>
    </row>
    <row r="336" spans="1:24" x14ac:dyDescent="0.35">
      <c r="A336" t="s">
        <v>1311</v>
      </c>
      <c r="B336" t="s">
        <v>36</v>
      </c>
      <c r="C336" t="s">
        <v>490</v>
      </c>
      <c r="D336" t="s">
        <v>3370</v>
      </c>
      <c r="E336" t="s">
        <v>68</v>
      </c>
      <c r="F336" t="s">
        <v>3371</v>
      </c>
      <c r="G336" t="s">
        <v>3372</v>
      </c>
      <c r="H336" s="1">
        <v>46223</v>
      </c>
      <c r="I336" s="6">
        <v>45634</v>
      </c>
      <c r="J336" s="6">
        <v>46217</v>
      </c>
      <c r="K336">
        <v>70</v>
      </c>
      <c r="L336">
        <v>84</v>
      </c>
      <c r="M336">
        <v>72</v>
      </c>
      <c r="N336" s="8">
        <v>8</v>
      </c>
      <c r="O336">
        <v>71</v>
      </c>
      <c r="P336">
        <v>20</v>
      </c>
      <c r="Q336" s="3">
        <v>0.12</v>
      </c>
      <c r="R336">
        <v>560</v>
      </c>
      <c r="S336">
        <v>568</v>
      </c>
      <c r="T336" t="s">
        <v>3877</v>
      </c>
      <c r="U336" t="s">
        <v>3836</v>
      </c>
      <c r="V336" s="14">
        <v>540</v>
      </c>
      <c r="W336">
        <f t="shared" si="10"/>
        <v>14</v>
      </c>
      <c r="X336">
        <f t="shared" si="11"/>
        <v>576</v>
      </c>
    </row>
    <row r="337" spans="1:24" x14ac:dyDescent="0.35">
      <c r="A337" t="s">
        <v>217</v>
      </c>
      <c r="B337" t="s">
        <v>65</v>
      </c>
      <c r="C337" t="s">
        <v>164</v>
      </c>
      <c r="D337" t="s">
        <v>3734</v>
      </c>
      <c r="E337" t="s">
        <v>21</v>
      </c>
      <c r="F337" t="s">
        <v>3735</v>
      </c>
      <c r="G337" t="s">
        <v>3736</v>
      </c>
      <c r="H337" s="1">
        <v>46286</v>
      </c>
      <c r="I337" s="6">
        <v>45589</v>
      </c>
      <c r="J337" s="6">
        <v>46433</v>
      </c>
      <c r="K337">
        <v>20</v>
      </c>
      <c r="L337">
        <v>34</v>
      </c>
      <c r="M337">
        <v>74</v>
      </c>
      <c r="N337" s="8">
        <v>4.5</v>
      </c>
      <c r="O337">
        <v>50</v>
      </c>
      <c r="P337">
        <v>83</v>
      </c>
      <c r="Q337" s="3">
        <v>0.65</v>
      </c>
      <c r="R337">
        <v>90</v>
      </c>
      <c r="S337">
        <v>225</v>
      </c>
      <c r="T337" t="s">
        <v>3877</v>
      </c>
      <c r="U337" t="s">
        <v>3836</v>
      </c>
      <c r="V337" s="14">
        <v>585</v>
      </c>
      <c r="W337">
        <f t="shared" si="10"/>
        <v>14</v>
      </c>
      <c r="X337">
        <f t="shared" si="11"/>
        <v>333</v>
      </c>
    </row>
    <row r="338" spans="1:24" x14ac:dyDescent="0.35">
      <c r="A338" t="s">
        <v>1201</v>
      </c>
      <c r="B338" t="s">
        <v>18</v>
      </c>
      <c r="C338" t="s">
        <v>1728</v>
      </c>
      <c r="D338" t="s">
        <v>3765</v>
      </c>
      <c r="E338" t="s">
        <v>21</v>
      </c>
      <c r="F338" t="s">
        <v>3766</v>
      </c>
      <c r="G338" t="s">
        <v>3767</v>
      </c>
      <c r="H338" s="1">
        <v>46289</v>
      </c>
      <c r="I338" s="6">
        <v>45672</v>
      </c>
      <c r="J338" s="6">
        <v>46153</v>
      </c>
      <c r="K338">
        <v>73</v>
      </c>
      <c r="L338">
        <v>87</v>
      </c>
      <c r="M338">
        <v>46</v>
      </c>
      <c r="N338" s="8">
        <v>4</v>
      </c>
      <c r="O338">
        <v>47</v>
      </c>
      <c r="P338">
        <v>67</v>
      </c>
      <c r="Q338" s="3">
        <v>0.45</v>
      </c>
      <c r="R338">
        <v>292</v>
      </c>
      <c r="S338">
        <v>188</v>
      </c>
      <c r="T338" t="s">
        <v>3877</v>
      </c>
      <c r="U338" t="s">
        <v>3838</v>
      </c>
      <c r="V338" s="14">
        <v>502</v>
      </c>
      <c r="W338">
        <f t="shared" si="10"/>
        <v>14</v>
      </c>
      <c r="X338">
        <f t="shared" si="11"/>
        <v>184</v>
      </c>
    </row>
    <row r="339" spans="1:24" x14ac:dyDescent="0.35">
      <c r="A339" t="s">
        <v>671</v>
      </c>
      <c r="B339" t="s">
        <v>65</v>
      </c>
      <c r="C339" t="s">
        <v>953</v>
      </c>
      <c r="D339" t="s">
        <v>954</v>
      </c>
      <c r="E339" t="s">
        <v>21</v>
      </c>
      <c r="F339" t="s">
        <v>955</v>
      </c>
      <c r="G339" t="s">
        <v>956</v>
      </c>
      <c r="H339" s="1">
        <v>46210</v>
      </c>
      <c r="I339" s="6">
        <v>45411</v>
      </c>
      <c r="J339" s="6">
        <v>46142</v>
      </c>
      <c r="K339">
        <v>69</v>
      </c>
      <c r="L339">
        <v>82</v>
      </c>
      <c r="M339">
        <v>58</v>
      </c>
      <c r="N339" s="8">
        <v>1.5</v>
      </c>
      <c r="O339">
        <v>34</v>
      </c>
      <c r="P339">
        <v>22</v>
      </c>
      <c r="Q339" s="3">
        <v>-0.38</v>
      </c>
      <c r="R339">
        <v>103.5</v>
      </c>
      <c r="S339">
        <v>51</v>
      </c>
      <c r="T339" t="s">
        <v>3877</v>
      </c>
      <c r="U339" t="s">
        <v>3838</v>
      </c>
      <c r="V339" s="14">
        <v>763</v>
      </c>
      <c r="W339">
        <f t="shared" si="10"/>
        <v>13</v>
      </c>
      <c r="X339">
        <f t="shared" si="11"/>
        <v>87</v>
      </c>
    </row>
    <row r="340" spans="1:24" x14ac:dyDescent="0.35">
      <c r="A340" t="s">
        <v>640</v>
      </c>
      <c r="B340" t="s">
        <v>163</v>
      </c>
      <c r="C340" t="s">
        <v>1690</v>
      </c>
      <c r="D340" t="s">
        <v>1691</v>
      </c>
      <c r="E340" t="s">
        <v>68</v>
      </c>
      <c r="F340" t="s">
        <v>1692</v>
      </c>
      <c r="G340" t="s">
        <v>1693</v>
      </c>
      <c r="H340" s="1">
        <v>46539</v>
      </c>
      <c r="I340" s="6">
        <v>45372</v>
      </c>
      <c r="J340" s="6">
        <v>46111</v>
      </c>
      <c r="K340">
        <v>45</v>
      </c>
      <c r="L340">
        <v>58</v>
      </c>
      <c r="M340">
        <v>84</v>
      </c>
      <c r="N340" s="8">
        <v>5</v>
      </c>
      <c r="O340">
        <v>90</v>
      </c>
      <c r="P340">
        <v>67</v>
      </c>
      <c r="Q340" s="3">
        <v>0.11</v>
      </c>
      <c r="R340">
        <v>225</v>
      </c>
      <c r="S340">
        <v>450</v>
      </c>
      <c r="T340" t="s">
        <v>3877</v>
      </c>
      <c r="U340" t="s">
        <v>3838</v>
      </c>
      <c r="V340" s="14">
        <v>802</v>
      </c>
      <c r="W340">
        <f t="shared" si="10"/>
        <v>13</v>
      </c>
      <c r="X340">
        <f t="shared" si="11"/>
        <v>420</v>
      </c>
    </row>
    <row r="341" spans="1:24" x14ac:dyDescent="0.35">
      <c r="A341" t="s">
        <v>1307</v>
      </c>
      <c r="B341" t="s">
        <v>163</v>
      </c>
      <c r="C341" t="s">
        <v>760</v>
      </c>
      <c r="D341" t="s">
        <v>1919</v>
      </c>
      <c r="E341" t="s">
        <v>30</v>
      </c>
      <c r="F341" t="s">
        <v>1920</v>
      </c>
      <c r="G341" t="s">
        <v>1921</v>
      </c>
      <c r="H341" s="1">
        <v>46410</v>
      </c>
      <c r="I341" s="6">
        <v>45476</v>
      </c>
      <c r="J341" s="6">
        <v>46349</v>
      </c>
      <c r="K341">
        <v>34</v>
      </c>
      <c r="L341">
        <v>47</v>
      </c>
      <c r="M341">
        <v>99</v>
      </c>
      <c r="N341" s="8">
        <v>8</v>
      </c>
      <c r="O341">
        <v>97</v>
      </c>
      <c r="P341">
        <v>47</v>
      </c>
      <c r="Q341" s="3">
        <v>0.57999999999999996</v>
      </c>
      <c r="R341">
        <v>272</v>
      </c>
      <c r="S341">
        <v>776</v>
      </c>
      <c r="T341" t="s">
        <v>3877</v>
      </c>
      <c r="U341" t="s">
        <v>3836</v>
      </c>
      <c r="V341" s="14">
        <v>698</v>
      </c>
      <c r="W341">
        <f t="shared" si="10"/>
        <v>13</v>
      </c>
      <c r="X341">
        <f t="shared" si="11"/>
        <v>792</v>
      </c>
    </row>
    <row r="342" spans="1:24" x14ac:dyDescent="0.35">
      <c r="A342" t="s">
        <v>596</v>
      </c>
      <c r="B342" t="s">
        <v>18</v>
      </c>
      <c r="C342" t="s">
        <v>544</v>
      </c>
      <c r="D342" t="s">
        <v>2609</v>
      </c>
      <c r="E342" t="s">
        <v>30</v>
      </c>
      <c r="F342" t="s">
        <v>2610</v>
      </c>
      <c r="G342" t="s">
        <v>2611</v>
      </c>
      <c r="H342" s="1">
        <v>46439</v>
      </c>
      <c r="I342" s="6">
        <v>45357</v>
      </c>
      <c r="J342" s="6">
        <v>46194</v>
      </c>
      <c r="K342">
        <v>40</v>
      </c>
      <c r="L342">
        <v>53</v>
      </c>
      <c r="M342">
        <v>7</v>
      </c>
      <c r="N342" s="8">
        <v>4</v>
      </c>
      <c r="O342">
        <v>70</v>
      </c>
      <c r="P342">
        <v>20</v>
      </c>
      <c r="Q342" s="3">
        <v>0.73</v>
      </c>
      <c r="R342">
        <v>160</v>
      </c>
      <c r="S342">
        <v>280</v>
      </c>
      <c r="T342" t="s">
        <v>3877</v>
      </c>
      <c r="U342" t="s">
        <v>3837</v>
      </c>
      <c r="V342" s="14">
        <v>817</v>
      </c>
      <c r="W342">
        <f t="shared" si="10"/>
        <v>13</v>
      </c>
      <c r="X342">
        <f t="shared" si="11"/>
        <v>28</v>
      </c>
    </row>
    <row r="343" spans="1:24" x14ac:dyDescent="0.35">
      <c r="A343" t="s">
        <v>148</v>
      </c>
      <c r="B343" t="s">
        <v>18</v>
      </c>
      <c r="C343" t="s">
        <v>409</v>
      </c>
      <c r="D343" t="s">
        <v>3137</v>
      </c>
      <c r="E343" t="s">
        <v>21</v>
      </c>
      <c r="F343" t="s">
        <v>3138</v>
      </c>
      <c r="G343" t="s">
        <v>3139</v>
      </c>
      <c r="H343" s="1">
        <v>46172</v>
      </c>
      <c r="I343" s="6">
        <v>45428</v>
      </c>
      <c r="J343" s="6">
        <v>46239</v>
      </c>
      <c r="K343">
        <v>31</v>
      </c>
      <c r="L343">
        <v>44</v>
      </c>
      <c r="M343">
        <v>9</v>
      </c>
      <c r="N343" s="8">
        <v>3</v>
      </c>
      <c r="O343">
        <v>46</v>
      </c>
      <c r="P343">
        <v>9</v>
      </c>
      <c r="Q343" s="3">
        <v>-2.7</v>
      </c>
      <c r="R343">
        <v>93</v>
      </c>
      <c r="S343">
        <v>138</v>
      </c>
      <c r="T343" t="s">
        <v>3877</v>
      </c>
      <c r="U343" t="s">
        <v>3836</v>
      </c>
      <c r="V343" s="14">
        <v>746</v>
      </c>
      <c r="W343">
        <f t="shared" si="10"/>
        <v>13</v>
      </c>
      <c r="X343">
        <f t="shared" si="11"/>
        <v>27</v>
      </c>
    </row>
    <row r="344" spans="1:24" x14ac:dyDescent="0.35">
      <c r="A344" t="s">
        <v>435</v>
      </c>
      <c r="B344" t="s">
        <v>18</v>
      </c>
      <c r="C344" t="s">
        <v>332</v>
      </c>
      <c r="D344" t="s">
        <v>3672</v>
      </c>
      <c r="E344" t="s">
        <v>68</v>
      </c>
      <c r="F344" t="s">
        <v>3673</v>
      </c>
      <c r="G344" t="s">
        <v>3674</v>
      </c>
      <c r="H344" s="1">
        <v>46264</v>
      </c>
      <c r="I344" s="6">
        <v>45531</v>
      </c>
      <c r="J344" s="6">
        <v>46321</v>
      </c>
      <c r="K344">
        <v>22</v>
      </c>
      <c r="L344">
        <v>35</v>
      </c>
      <c r="M344">
        <v>55</v>
      </c>
      <c r="N344" s="8">
        <v>6</v>
      </c>
      <c r="O344">
        <v>41</v>
      </c>
      <c r="P344">
        <v>27</v>
      </c>
      <c r="Q344" s="3">
        <v>0.79</v>
      </c>
      <c r="R344">
        <v>132</v>
      </c>
      <c r="S344">
        <v>246</v>
      </c>
      <c r="T344" t="s">
        <v>3877</v>
      </c>
      <c r="U344" t="s">
        <v>3836</v>
      </c>
      <c r="V344" s="14">
        <v>643</v>
      </c>
      <c r="W344">
        <f t="shared" si="10"/>
        <v>13</v>
      </c>
      <c r="X344">
        <f t="shared" si="11"/>
        <v>330</v>
      </c>
    </row>
    <row r="345" spans="1:24" x14ac:dyDescent="0.35">
      <c r="A345" t="s">
        <v>212</v>
      </c>
      <c r="B345" t="s">
        <v>75</v>
      </c>
      <c r="C345" t="s">
        <v>213</v>
      </c>
      <c r="D345" t="s">
        <v>214</v>
      </c>
      <c r="E345" t="s">
        <v>68</v>
      </c>
      <c r="F345" t="s">
        <v>215</v>
      </c>
      <c r="G345" t="s">
        <v>216</v>
      </c>
      <c r="H345" s="1">
        <v>46058</v>
      </c>
      <c r="I345" s="6">
        <v>45663</v>
      </c>
      <c r="J345" s="6">
        <v>46214</v>
      </c>
      <c r="K345">
        <v>30</v>
      </c>
      <c r="L345">
        <v>42</v>
      </c>
      <c r="M345">
        <v>8</v>
      </c>
      <c r="N345" s="8">
        <v>7</v>
      </c>
      <c r="O345">
        <v>48</v>
      </c>
      <c r="P345">
        <v>23</v>
      </c>
      <c r="Q345" s="2">
        <v>2.5700000000000001E-2</v>
      </c>
      <c r="R345">
        <v>210</v>
      </c>
      <c r="S345">
        <v>336</v>
      </c>
      <c r="T345" t="s">
        <v>3877</v>
      </c>
      <c r="U345" t="s">
        <v>3836</v>
      </c>
      <c r="V345" s="14">
        <v>511</v>
      </c>
      <c r="W345">
        <f t="shared" si="10"/>
        <v>12</v>
      </c>
      <c r="X345">
        <f t="shared" si="11"/>
        <v>56</v>
      </c>
    </row>
    <row r="346" spans="1:24" x14ac:dyDescent="0.35">
      <c r="A346" t="s">
        <v>222</v>
      </c>
      <c r="B346" t="s">
        <v>65</v>
      </c>
      <c r="C346" t="s">
        <v>1213</v>
      </c>
      <c r="D346" t="s">
        <v>1214</v>
      </c>
      <c r="E346" t="s">
        <v>30</v>
      </c>
      <c r="F346" t="s">
        <v>1215</v>
      </c>
      <c r="G346" t="s">
        <v>1216</v>
      </c>
      <c r="H346" s="1">
        <v>46275</v>
      </c>
      <c r="I346" s="6">
        <v>45637</v>
      </c>
      <c r="J346" s="6">
        <v>46378</v>
      </c>
      <c r="K346">
        <v>34</v>
      </c>
      <c r="L346">
        <v>46</v>
      </c>
      <c r="M346">
        <v>45</v>
      </c>
      <c r="N346" s="8">
        <v>1.5</v>
      </c>
      <c r="O346">
        <v>49</v>
      </c>
      <c r="P346">
        <v>25</v>
      </c>
      <c r="Q346" s="3">
        <v>0.1</v>
      </c>
      <c r="R346">
        <v>51</v>
      </c>
      <c r="S346">
        <v>73.5</v>
      </c>
      <c r="T346" t="s">
        <v>3877</v>
      </c>
      <c r="U346" t="s">
        <v>3836</v>
      </c>
      <c r="V346" s="14">
        <v>537</v>
      </c>
      <c r="W346">
        <f t="shared" si="10"/>
        <v>12</v>
      </c>
      <c r="X346">
        <f t="shared" si="11"/>
        <v>67.5</v>
      </c>
    </row>
    <row r="347" spans="1:24" x14ac:dyDescent="0.35">
      <c r="A347" t="s">
        <v>596</v>
      </c>
      <c r="B347" t="s">
        <v>18</v>
      </c>
      <c r="C347" t="s">
        <v>1395</v>
      </c>
      <c r="D347" t="s">
        <v>1396</v>
      </c>
      <c r="E347" t="s">
        <v>30</v>
      </c>
      <c r="F347" t="s">
        <v>1397</v>
      </c>
      <c r="G347" t="s">
        <v>1398</v>
      </c>
      <c r="H347" s="1">
        <v>46332</v>
      </c>
      <c r="I347" s="6">
        <v>45709</v>
      </c>
      <c r="J347" s="6">
        <v>46268</v>
      </c>
      <c r="K347">
        <v>15</v>
      </c>
      <c r="L347">
        <v>27</v>
      </c>
      <c r="M347">
        <v>21</v>
      </c>
      <c r="N347" s="8">
        <v>4</v>
      </c>
      <c r="O347">
        <v>37</v>
      </c>
      <c r="P347">
        <v>67</v>
      </c>
      <c r="Q347" s="3">
        <v>0.97</v>
      </c>
      <c r="R347">
        <v>60</v>
      </c>
      <c r="S347">
        <v>148</v>
      </c>
      <c r="T347" t="s">
        <v>3877</v>
      </c>
      <c r="U347" t="s">
        <v>3836</v>
      </c>
      <c r="V347" s="14">
        <v>465</v>
      </c>
      <c r="W347">
        <f t="shared" si="10"/>
        <v>12</v>
      </c>
      <c r="X347">
        <f t="shared" si="11"/>
        <v>84</v>
      </c>
    </row>
    <row r="348" spans="1:24" x14ac:dyDescent="0.35">
      <c r="A348" t="s">
        <v>503</v>
      </c>
      <c r="B348" t="s">
        <v>27</v>
      </c>
      <c r="C348" t="s">
        <v>1133</v>
      </c>
      <c r="D348" t="s">
        <v>1472</v>
      </c>
      <c r="E348" t="s">
        <v>21</v>
      </c>
      <c r="F348" t="s">
        <v>1473</v>
      </c>
      <c r="G348" t="s">
        <v>1474</v>
      </c>
      <c r="H348" s="1">
        <v>46338</v>
      </c>
      <c r="I348" s="6">
        <v>45593</v>
      </c>
      <c r="J348" s="6">
        <v>46365</v>
      </c>
      <c r="K348">
        <v>88</v>
      </c>
      <c r="L348">
        <v>100</v>
      </c>
      <c r="M348">
        <v>17</v>
      </c>
      <c r="N348" s="8">
        <v>2.5</v>
      </c>
      <c r="O348">
        <v>25</v>
      </c>
      <c r="P348">
        <v>28</v>
      </c>
      <c r="Q348" s="3">
        <v>-0.94</v>
      </c>
      <c r="R348">
        <v>220</v>
      </c>
      <c r="S348">
        <v>62.5</v>
      </c>
      <c r="T348" t="s">
        <v>3877</v>
      </c>
      <c r="U348" t="s">
        <v>3836</v>
      </c>
      <c r="V348" s="14">
        <v>581</v>
      </c>
      <c r="W348">
        <f t="shared" si="10"/>
        <v>12</v>
      </c>
      <c r="X348">
        <f t="shared" si="11"/>
        <v>42.5</v>
      </c>
    </row>
    <row r="349" spans="1:24" x14ac:dyDescent="0.35">
      <c r="A349" t="s">
        <v>750</v>
      </c>
      <c r="B349" t="s">
        <v>36</v>
      </c>
      <c r="C349" t="s">
        <v>635</v>
      </c>
      <c r="D349" t="s">
        <v>2277</v>
      </c>
      <c r="E349" t="s">
        <v>30</v>
      </c>
      <c r="F349" t="s">
        <v>2278</v>
      </c>
      <c r="G349" t="s">
        <v>2279</v>
      </c>
      <c r="H349" s="1">
        <v>46348</v>
      </c>
      <c r="I349" s="6">
        <v>45544</v>
      </c>
      <c r="J349" s="6">
        <v>46318</v>
      </c>
      <c r="K349">
        <v>52</v>
      </c>
      <c r="L349">
        <v>64</v>
      </c>
      <c r="M349">
        <v>54</v>
      </c>
      <c r="N349" s="8">
        <v>2.4</v>
      </c>
      <c r="O349">
        <v>21</v>
      </c>
      <c r="P349">
        <v>55</v>
      </c>
      <c r="Q349" s="3">
        <v>-0.32</v>
      </c>
      <c r="R349">
        <v>124.8</v>
      </c>
      <c r="S349">
        <v>50.4</v>
      </c>
      <c r="T349" t="s">
        <v>3877</v>
      </c>
      <c r="U349" t="s">
        <v>3836</v>
      </c>
      <c r="V349" s="14">
        <v>630</v>
      </c>
      <c r="W349">
        <f t="shared" si="10"/>
        <v>12</v>
      </c>
      <c r="X349">
        <f t="shared" si="11"/>
        <v>129.6</v>
      </c>
    </row>
    <row r="350" spans="1:24" x14ac:dyDescent="0.35">
      <c r="A350" t="s">
        <v>1157</v>
      </c>
      <c r="B350" t="s">
        <v>18</v>
      </c>
      <c r="C350" t="s">
        <v>1238</v>
      </c>
      <c r="D350" t="s">
        <v>2378</v>
      </c>
      <c r="E350" t="s">
        <v>68</v>
      </c>
      <c r="F350" t="s">
        <v>2379</v>
      </c>
      <c r="G350" t="s">
        <v>2380</v>
      </c>
      <c r="H350" s="1">
        <v>46370</v>
      </c>
      <c r="I350" s="6">
        <v>45502</v>
      </c>
      <c r="J350" s="6">
        <v>46322</v>
      </c>
      <c r="K350">
        <v>28</v>
      </c>
      <c r="L350">
        <v>40</v>
      </c>
      <c r="M350">
        <v>27</v>
      </c>
      <c r="N350" s="8">
        <v>1.2</v>
      </c>
      <c r="O350">
        <v>30</v>
      </c>
      <c r="P350">
        <v>56</v>
      </c>
      <c r="Q350" s="3">
        <v>-1.4</v>
      </c>
      <c r="R350">
        <v>33.6</v>
      </c>
      <c r="S350">
        <v>36</v>
      </c>
      <c r="T350" t="s">
        <v>3877</v>
      </c>
      <c r="U350" t="s">
        <v>3836</v>
      </c>
      <c r="V350" s="14">
        <v>672</v>
      </c>
      <c r="W350">
        <f t="shared" si="10"/>
        <v>12</v>
      </c>
      <c r="X350">
        <f t="shared" si="11"/>
        <v>32.4</v>
      </c>
    </row>
    <row r="351" spans="1:24" x14ac:dyDescent="0.35">
      <c r="A351" t="s">
        <v>861</v>
      </c>
      <c r="B351" t="s">
        <v>36</v>
      </c>
      <c r="C351" t="s">
        <v>259</v>
      </c>
      <c r="D351" t="s">
        <v>2542</v>
      </c>
      <c r="E351" t="s">
        <v>68</v>
      </c>
      <c r="F351" t="s">
        <v>2543</v>
      </c>
      <c r="G351" t="s">
        <v>2544</v>
      </c>
      <c r="H351" s="1">
        <v>46431</v>
      </c>
      <c r="I351" s="6">
        <v>45515</v>
      </c>
      <c r="J351" s="6">
        <v>46118</v>
      </c>
      <c r="K351">
        <v>67</v>
      </c>
      <c r="L351">
        <v>79</v>
      </c>
      <c r="M351">
        <v>98</v>
      </c>
      <c r="N351" s="8">
        <v>7</v>
      </c>
      <c r="O351">
        <v>73</v>
      </c>
      <c r="P351">
        <v>36</v>
      </c>
      <c r="Q351" s="3">
        <v>-0.56999999999999995</v>
      </c>
      <c r="R351">
        <v>469</v>
      </c>
      <c r="S351">
        <v>511</v>
      </c>
      <c r="T351" t="s">
        <v>3877</v>
      </c>
      <c r="U351" t="s">
        <v>3838</v>
      </c>
      <c r="V351" s="14">
        <v>659</v>
      </c>
      <c r="W351">
        <f t="shared" si="10"/>
        <v>12</v>
      </c>
      <c r="X351">
        <f t="shared" si="11"/>
        <v>686</v>
      </c>
    </row>
    <row r="352" spans="1:24" x14ac:dyDescent="0.35">
      <c r="A352" t="s">
        <v>2946</v>
      </c>
      <c r="B352" t="s">
        <v>65</v>
      </c>
      <c r="C352" t="s">
        <v>513</v>
      </c>
      <c r="D352" t="s">
        <v>3113</v>
      </c>
      <c r="E352" t="s">
        <v>30</v>
      </c>
      <c r="F352" t="s">
        <v>3114</v>
      </c>
      <c r="G352" t="s">
        <v>3115</v>
      </c>
      <c r="H352" s="1">
        <v>46170</v>
      </c>
      <c r="I352" s="6">
        <v>45710</v>
      </c>
      <c r="J352" s="6">
        <v>46172</v>
      </c>
      <c r="K352">
        <v>31</v>
      </c>
      <c r="L352">
        <v>43</v>
      </c>
      <c r="M352">
        <v>80</v>
      </c>
      <c r="N352" s="8">
        <v>1.5</v>
      </c>
      <c r="O352">
        <v>46</v>
      </c>
      <c r="P352">
        <v>78</v>
      </c>
      <c r="Q352" s="3">
        <v>-0.12</v>
      </c>
      <c r="R352">
        <v>46.5</v>
      </c>
      <c r="S352">
        <v>69</v>
      </c>
      <c r="T352" t="s">
        <v>3877</v>
      </c>
      <c r="U352" t="s">
        <v>3838</v>
      </c>
      <c r="V352" s="14">
        <v>464</v>
      </c>
      <c r="W352">
        <f t="shared" si="10"/>
        <v>12</v>
      </c>
      <c r="X352">
        <f t="shared" si="11"/>
        <v>120</v>
      </c>
    </row>
    <row r="353" spans="1:24" x14ac:dyDescent="0.35">
      <c r="A353" t="s">
        <v>503</v>
      </c>
      <c r="B353" t="s">
        <v>27</v>
      </c>
      <c r="C353" t="s">
        <v>504</v>
      </c>
      <c r="D353" t="s">
        <v>505</v>
      </c>
      <c r="E353" t="s">
        <v>30</v>
      </c>
      <c r="F353" t="s">
        <v>506</v>
      </c>
      <c r="G353" t="s">
        <v>507</v>
      </c>
      <c r="H353" s="1">
        <v>46117</v>
      </c>
      <c r="I353" s="6">
        <v>45467</v>
      </c>
      <c r="J353" s="6">
        <v>46357</v>
      </c>
      <c r="K353">
        <v>24</v>
      </c>
      <c r="L353">
        <v>35</v>
      </c>
      <c r="M353">
        <v>14</v>
      </c>
      <c r="N353" s="8">
        <v>2.5</v>
      </c>
      <c r="O353">
        <v>91</v>
      </c>
      <c r="P353">
        <v>71</v>
      </c>
      <c r="Q353" s="3">
        <v>0.78</v>
      </c>
      <c r="R353">
        <v>60</v>
      </c>
      <c r="S353">
        <v>227.5</v>
      </c>
      <c r="T353" t="s">
        <v>3877</v>
      </c>
      <c r="U353" t="s">
        <v>3836</v>
      </c>
      <c r="V353" s="14">
        <v>707</v>
      </c>
      <c r="W353">
        <f t="shared" si="10"/>
        <v>11</v>
      </c>
      <c r="X353">
        <f t="shared" si="11"/>
        <v>35</v>
      </c>
    </row>
    <row r="354" spans="1:24" x14ac:dyDescent="0.35">
      <c r="A354" t="s">
        <v>129</v>
      </c>
      <c r="B354" t="s">
        <v>18</v>
      </c>
      <c r="C354" t="s">
        <v>804</v>
      </c>
      <c r="D354" t="s">
        <v>805</v>
      </c>
      <c r="E354" t="s">
        <v>30</v>
      </c>
      <c r="F354" t="s">
        <v>806</v>
      </c>
      <c r="G354" t="s">
        <v>807</v>
      </c>
      <c r="H354" s="1">
        <v>46177</v>
      </c>
      <c r="I354" s="6">
        <v>45406</v>
      </c>
      <c r="J354" s="6">
        <v>46308</v>
      </c>
      <c r="K354">
        <v>41</v>
      </c>
      <c r="L354">
        <v>52</v>
      </c>
      <c r="M354">
        <v>75</v>
      </c>
      <c r="N354" s="8">
        <v>4.5</v>
      </c>
      <c r="O354">
        <v>57</v>
      </c>
      <c r="P354">
        <v>62</v>
      </c>
      <c r="Q354" s="3">
        <v>0.36</v>
      </c>
      <c r="R354">
        <v>184.5</v>
      </c>
      <c r="S354">
        <v>256.5</v>
      </c>
      <c r="T354" t="s">
        <v>3877</v>
      </c>
      <c r="U354" t="s">
        <v>3836</v>
      </c>
      <c r="V354" s="14">
        <v>768</v>
      </c>
      <c r="W354">
        <f t="shared" si="10"/>
        <v>11</v>
      </c>
      <c r="X354">
        <f t="shared" si="11"/>
        <v>337.5</v>
      </c>
    </row>
    <row r="355" spans="1:24" x14ac:dyDescent="0.35">
      <c r="A355" t="s">
        <v>624</v>
      </c>
      <c r="B355" t="s">
        <v>18</v>
      </c>
      <c r="C355" t="s">
        <v>550</v>
      </c>
      <c r="D355" t="s">
        <v>925</v>
      </c>
      <c r="E355" t="s">
        <v>68</v>
      </c>
      <c r="F355" t="s">
        <v>926</v>
      </c>
      <c r="G355" t="s">
        <v>927</v>
      </c>
      <c r="H355" s="1">
        <v>46207</v>
      </c>
      <c r="I355" s="6">
        <v>45379</v>
      </c>
      <c r="J355" s="6">
        <v>46402</v>
      </c>
      <c r="K355">
        <v>51</v>
      </c>
      <c r="L355">
        <v>62</v>
      </c>
      <c r="M355">
        <v>95</v>
      </c>
      <c r="N355" s="8">
        <v>6</v>
      </c>
      <c r="O355">
        <v>52</v>
      </c>
      <c r="P355">
        <v>21</v>
      </c>
      <c r="Q355" s="3">
        <v>0.88</v>
      </c>
      <c r="R355">
        <v>306</v>
      </c>
      <c r="S355">
        <v>312</v>
      </c>
      <c r="T355" t="s">
        <v>3877</v>
      </c>
      <c r="U355" t="s">
        <v>3836</v>
      </c>
      <c r="V355" s="14">
        <v>795</v>
      </c>
      <c r="W355">
        <f t="shared" si="10"/>
        <v>11</v>
      </c>
      <c r="X355">
        <f t="shared" si="11"/>
        <v>570</v>
      </c>
    </row>
    <row r="356" spans="1:24" x14ac:dyDescent="0.35">
      <c r="A356" t="s">
        <v>769</v>
      </c>
      <c r="B356" t="s">
        <v>36</v>
      </c>
      <c r="C356" t="s">
        <v>1084</v>
      </c>
      <c r="D356" t="s">
        <v>1085</v>
      </c>
      <c r="E356" t="s">
        <v>30</v>
      </c>
      <c r="F356" t="s">
        <v>1086</v>
      </c>
      <c r="G356" t="s">
        <v>1087</v>
      </c>
      <c r="H356" s="1">
        <v>46243</v>
      </c>
      <c r="I356" s="6">
        <v>45349</v>
      </c>
      <c r="J356" s="6">
        <v>46082</v>
      </c>
      <c r="K356">
        <v>70</v>
      </c>
      <c r="L356">
        <v>81</v>
      </c>
      <c r="M356">
        <v>75</v>
      </c>
      <c r="N356" s="8">
        <v>2</v>
      </c>
      <c r="O356">
        <v>24</v>
      </c>
      <c r="P356">
        <v>54</v>
      </c>
      <c r="Q356" s="3">
        <v>0.52</v>
      </c>
      <c r="R356">
        <v>140</v>
      </c>
      <c r="S356">
        <v>48</v>
      </c>
      <c r="T356" t="s">
        <v>3877</v>
      </c>
      <c r="U356" t="s">
        <v>3838</v>
      </c>
      <c r="V356" s="14">
        <v>825</v>
      </c>
      <c r="W356">
        <f t="shared" si="10"/>
        <v>11</v>
      </c>
      <c r="X356">
        <f t="shared" si="11"/>
        <v>150</v>
      </c>
    </row>
    <row r="357" spans="1:24" x14ac:dyDescent="0.35">
      <c r="A357" t="s">
        <v>188</v>
      </c>
      <c r="B357" t="s">
        <v>65</v>
      </c>
      <c r="C357" t="s">
        <v>691</v>
      </c>
      <c r="D357" t="s">
        <v>2701</v>
      </c>
      <c r="E357" t="s">
        <v>21</v>
      </c>
      <c r="F357" t="s">
        <v>2702</v>
      </c>
      <c r="G357" t="s">
        <v>2703</v>
      </c>
      <c r="H357" s="1">
        <v>46096</v>
      </c>
      <c r="I357" s="6">
        <v>45540</v>
      </c>
      <c r="J357" s="6">
        <v>46129</v>
      </c>
      <c r="K357">
        <v>33</v>
      </c>
      <c r="L357">
        <v>44</v>
      </c>
      <c r="M357">
        <v>89</v>
      </c>
      <c r="N357" s="8">
        <v>4.75</v>
      </c>
      <c r="O357">
        <v>93</v>
      </c>
      <c r="P357">
        <v>19</v>
      </c>
      <c r="Q357" s="3">
        <v>0.06</v>
      </c>
      <c r="R357">
        <v>156.75</v>
      </c>
      <c r="S357">
        <v>441.75</v>
      </c>
      <c r="T357" t="s">
        <v>3877</v>
      </c>
      <c r="U357" t="s">
        <v>3838</v>
      </c>
      <c r="V357" s="14">
        <v>634</v>
      </c>
      <c r="W357">
        <f t="shared" si="10"/>
        <v>11</v>
      </c>
      <c r="X357">
        <f t="shared" si="11"/>
        <v>422.75</v>
      </c>
    </row>
    <row r="358" spans="1:24" x14ac:dyDescent="0.35">
      <c r="A358" t="s">
        <v>43</v>
      </c>
      <c r="B358" t="s">
        <v>18</v>
      </c>
      <c r="C358" t="s">
        <v>2728</v>
      </c>
      <c r="D358" t="s">
        <v>2768</v>
      </c>
      <c r="E358" t="s">
        <v>68</v>
      </c>
      <c r="F358" t="s">
        <v>2769</v>
      </c>
      <c r="G358" t="s">
        <v>2770</v>
      </c>
      <c r="H358" s="1">
        <v>46105</v>
      </c>
      <c r="I358" s="6">
        <v>45481</v>
      </c>
      <c r="J358" s="6">
        <v>46321</v>
      </c>
      <c r="K358">
        <v>80</v>
      </c>
      <c r="L358">
        <v>91</v>
      </c>
      <c r="M358">
        <v>36</v>
      </c>
      <c r="N358" s="8">
        <v>1.5</v>
      </c>
      <c r="O358">
        <v>81</v>
      </c>
      <c r="P358">
        <v>74</v>
      </c>
      <c r="Q358" s="3">
        <v>0.26</v>
      </c>
      <c r="R358">
        <v>120</v>
      </c>
      <c r="S358">
        <v>121.5</v>
      </c>
      <c r="T358" t="s">
        <v>3877</v>
      </c>
      <c r="U358" t="s">
        <v>3836</v>
      </c>
      <c r="V358" s="14">
        <v>693</v>
      </c>
      <c r="W358">
        <f t="shared" si="10"/>
        <v>11</v>
      </c>
      <c r="X358">
        <f t="shared" si="11"/>
        <v>54</v>
      </c>
    </row>
    <row r="359" spans="1:24" x14ac:dyDescent="0.35">
      <c r="A359" t="s">
        <v>106</v>
      </c>
      <c r="B359" t="s">
        <v>18</v>
      </c>
      <c r="C359" t="s">
        <v>302</v>
      </c>
      <c r="D359" t="s">
        <v>3206</v>
      </c>
      <c r="E359" t="s">
        <v>21</v>
      </c>
      <c r="F359" t="s">
        <v>3207</v>
      </c>
      <c r="G359" t="s">
        <v>3208</v>
      </c>
      <c r="H359" s="1">
        <v>46193</v>
      </c>
      <c r="I359" s="6">
        <v>45426</v>
      </c>
      <c r="J359" s="6">
        <v>46302</v>
      </c>
      <c r="K359">
        <v>84</v>
      </c>
      <c r="L359">
        <v>95</v>
      </c>
      <c r="M359">
        <v>22</v>
      </c>
      <c r="N359" s="8">
        <v>2.85</v>
      </c>
      <c r="O359">
        <v>48</v>
      </c>
      <c r="P359">
        <v>82</v>
      </c>
      <c r="Q359" s="3">
        <v>0.65</v>
      </c>
      <c r="R359">
        <v>239.4</v>
      </c>
      <c r="S359">
        <v>136.80000000000001</v>
      </c>
      <c r="T359" t="s">
        <v>3877</v>
      </c>
      <c r="U359" t="s">
        <v>3836</v>
      </c>
      <c r="V359" s="14">
        <v>748</v>
      </c>
      <c r="W359">
        <f t="shared" si="10"/>
        <v>11</v>
      </c>
      <c r="X359">
        <f t="shared" si="11"/>
        <v>62.7</v>
      </c>
    </row>
    <row r="360" spans="1:24" x14ac:dyDescent="0.35">
      <c r="A360" t="s">
        <v>1900</v>
      </c>
      <c r="B360" t="s">
        <v>75</v>
      </c>
      <c r="C360" t="s">
        <v>921</v>
      </c>
      <c r="D360" t="s">
        <v>3332</v>
      </c>
      <c r="E360" t="s">
        <v>21</v>
      </c>
      <c r="F360" t="s">
        <v>3333</v>
      </c>
      <c r="G360" t="s">
        <v>3334</v>
      </c>
      <c r="H360" s="1">
        <v>46217</v>
      </c>
      <c r="I360" s="6">
        <v>45530</v>
      </c>
      <c r="J360" s="6">
        <v>46208</v>
      </c>
      <c r="K360">
        <v>45</v>
      </c>
      <c r="L360">
        <v>56</v>
      </c>
      <c r="M360">
        <v>64</v>
      </c>
      <c r="N360" s="8">
        <v>7.5</v>
      </c>
      <c r="O360">
        <v>35</v>
      </c>
      <c r="P360">
        <v>82</v>
      </c>
      <c r="Q360" s="3">
        <v>-0.42</v>
      </c>
      <c r="R360">
        <v>337.5</v>
      </c>
      <c r="S360">
        <v>262.5</v>
      </c>
      <c r="T360" t="s">
        <v>3877</v>
      </c>
      <c r="U360" t="s">
        <v>3836</v>
      </c>
      <c r="V360" s="14">
        <v>644</v>
      </c>
      <c r="W360">
        <f t="shared" si="10"/>
        <v>11</v>
      </c>
      <c r="X360">
        <f t="shared" si="11"/>
        <v>480</v>
      </c>
    </row>
    <row r="361" spans="1:24" x14ac:dyDescent="0.35">
      <c r="A361" t="s">
        <v>496</v>
      </c>
      <c r="B361" t="s">
        <v>18</v>
      </c>
      <c r="C361" t="s">
        <v>327</v>
      </c>
      <c r="D361" t="s">
        <v>3481</v>
      </c>
      <c r="E361" t="s">
        <v>30</v>
      </c>
      <c r="F361" t="s">
        <v>3482</v>
      </c>
      <c r="G361" t="s">
        <v>3483</v>
      </c>
      <c r="H361" s="1">
        <v>46233</v>
      </c>
      <c r="I361" s="6">
        <v>45432</v>
      </c>
      <c r="J361" s="6">
        <v>46224</v>
      </c>
      <c r="K361">
        <v>88</v>
      </c>
      <c r="L361">
        <v>99</v>
      </c>
      <c r="M361">
        <v>41</v>
      </c>
      <c r="N361" s="8">
        <v>5.5</v>
      </c>
      <c r="O361">
        <v>93</v>
      </c>
      <c r="P361">
        <v>99</v>
      </c>
      <c r="Q361" s="3">
        <v>-0.68</v>
      </c>
      <c r="R361">
        <v>484</v>
      </c>
      <c r="S361">
        <v>511.5</v>
      </c>
      <c r="T361" t="s">
        <v>3877</v>
      </c>
      <c r="U361" t="s">
        <v>3836</v>
      </c>
      <c r="V361" s="14">
        <v>742</v>
      </c>
      <c r="W361">
        <f t="shared" si="10"/>
        <v>11</v>
      </c>
      <c r="X361">
        <f t="shared" si="11"/>
        <v>225.5</v>
      </c>
    </row>
    <row r="362" spans="1:24" x14ac:dyDescent="0.35">
      <c r="A362" t="s">
        <v>83</v>
      </c>
      <c r="B362" t="s">
        <v>36</v>
      </c>
      <c r="C362" t="s">
        <v>265</v>
      </c>
      <c r="D362" t="s">
        <v>266</v>
      </c>
      <c r="E362" t="s">
        <v>68</v>
      </c>
      <c r="F362" t="s">
        <v>267</v>
      </c>
      <c r="G362" t="s">
        <v>268</v>
      </c>
      <c r="H362" s="1">
        <v>46061</v>
      </c>
      <c r="I362" s="6">
        <v>45577</v>
      </c>
      <c r="J362" s="6">
        <v>46101</v>
      </c>
      <c r="K362">
        <v>53</v>
      </c>
      <c r="L362">
        <v>63</v>
      </c>
      <c r="M362">
        <v>2</v>
      </c>
      <c r="N362" s="8">
        <v>9</v>
      </c>
      <c r="O362">
        <v>56</v>
      </c>
      <c r="P362">
        <v>95</v>
      </c>
      <c r="Q362" s="2">
        <v>1.83E-2</v>
      </c>
      <c r="R362">
        <v>477</v>
      </c>
      <c r="S362">
        <v>504</v>
      </c>
      <c r="T362" t="s">
        <v>3877</v>
      </c>
      <c r="U362" t="s">
        <v>3838</v>
      </c>
      <c r="V362" s="14">
        <v>597</v>
      </c>
      <c r="W362">
        <f t="shared" si="10"/>
        <v>10</v>
      </c>
      <c r="X362">
        <f t="shared" si="11"/>
        <v>18</v>
      </c>
    </row>
    <row r="363" spans="1:24" x14ac:dyDescent="0.35">
      <c r="A363" t="s">
        <v>423</v>
      </c>
      <c r="B363" t="s">
        <v>65</v>
      </c>
      <c r="C363" t="s">
        <v>429</v>
      </c>
      <c r="D363" t="s">
        <v>430</v>
      </c>
      <c r="E363" t="s">
        <v>30</v>
      </c>
      <c r="F363" t="s">
        <v>431</v>
      </c>
      <c r="G363" t="s">
        <v>432</v>
      </c>
      <c r="H363" s="1">
        <v>46089</v>
      </c>
      <c r="I363" s="6">
        <v>45482</v>
      </c>
      <c r="J363" s="6">
        <v>46293</v>
      </c>
      <c r="K363">
        <v>72</v>
      </c>
      <c r="L363">
        <v>82</v>
      </c>
      <c r="M363">
        <v>52</v>
      </c>
      <c r="N363" s="8">
        <v>9.75</v>
      </c>
      <c r="O363">
        <v>51</v>
      </c>
      <c r="P363">
        <v>95</v>
      </c>
      <c r="Q363" s="3">
        <v>-0.48</v>
      </c>
      <c r="R363">
        <v>702</v>
      </c>
      <c r="S363">
        <v>497.25</v>
      </c>
      <c r="T363" t="s">
        <v>3877</v>
      </c>
      <c r="U363" t="s">
        <v>3836</v>
      </c>
      <c r="V363" s="14">
        <v>692</v>
      </c>
      <c r="W363">
        <f t="shared" si="10"/>
        <v>10</v>
      </c>
      <c r="X363">
        <f t="shared" si="11"/>
        <v>507</v>
      </c>
    </row>
    <row r="364" spans="1:24" x14ac:dyDescent="0.35">
      <c r="A364" t="s">
        <v>222</v>
      </c>
      <c r="B364" t="s">
        <v>65</v>
      </c>
      <c r="C364" t="s">
        <v>846</v>
      </c>
      <c r="D364" t="s">
        <v>1511</v>
      </c>
      <c r="E364" t="s">
        <v>68</v>
      </c>
      <c r="F364" t="s">
        <v>1512</v>
      </c>
      <c r="G364" t="s">
        <v>1513</v>
      </c>
      <c r="H364" s="1">
        <v>46362</v>
      </c>
      <c r="I364" s="6">
        <v>45558</v>
      </c>
      <c r="J364" s="6">
        <v>46130</v>
      </c>
      <c r="K364">
        <v>87</v>
      </c>
      <c r="L364">
        <v>97</v>
      </c>
      <c r="M364">
        <v>28</v>
      </c>
      <c r="N364" s="8">
        <v>1.5</v>
      </c>
      <c r="O364">
        <v>58</v>
      </c>
      <c r="P364">
        <v>21</v>
      </c>
      <c r="Q364" s="3">
        <v>0.38</v>
      </c>
      <c r="R364">
        <v>130.5</v>
      </c>
      <c r="S364">
        <v>87</v>
      </c>
      <c r="T364" t="s">
        <v>3877</v>
      </c>
      <c r="U364" t="s">
        <v>3838</v>
      </c>
      <c r="V364" s="14">
        <v>616</v>
      </c>
      <c r="W364">
        <f t="shared" si="10"/>
        <v>10</v>
      </c>
      <c r="X364">
        <f t="shared" si="11"/>
        <v>42</v>
      </c>
    </row>
    <row r="365" spans="1:24" x14ac:dyDescent="0.35">
      <c r="A365" t="s">
        <v>591</v>
      </c>
      <c r="B365" t="s">
        <v>18</v>
      </c>
      <c r="C365" t="s">
        <v>1230</v>
      </c>
      <c r="D365" t="s">
        <v>2168</v>
      </c>
      <c r="E365" t="s">
        <v>30</v>
      </c>
      <c r="F365" t="s">
        <v>2169</v>
      </c>
      <c r="G365" t="s">
        <v>2170</v>
      </c>
      <c r="H365" s="1">
        <v>46323</v>
      </c>
      <c r="I365" s="6">
        <v>45641</v>
      </c>
      <c r="J365" s="6">
        <v>46242</v>
      </c>
      <c r="K365">
        <v>28</v>
      </c>
      <c r="L365">
        <v>38</v>
      </c>
      <c r="M365">
        <v>23</v>
      </c>
      <c r="N365" s="8">
        <v>42.58</v>
      </c>
      <c r="O365">
        <v>48</v>
      </c>
      <c r="P365">
        <v>56</v>
      </c>
      <c r="Q365" s="3">
        <v>0.21</v>
      </c>
      <c r="R365">
        <v>1192.24</v>
      </c>
      <c r="S365">
        <v>2043.84</v>
      </c>
      <c r="T365" t="s">
        <v>3877</v>
      </c>
      <c r="U365" t="s">
        <v>3836</v>
      </c>
      <c r="V365" s="14">
        <v>533</v>
      </c>
      <c r="W365">
        <f t="shared" si="10"/>
        <v>10</v>
      </c>
      <c r="X365">
        <f t="shared" si="11"/>
        <v>979.33999999999992</v>
      </c>
    </row>
    <row r="366" spans="1:24" x14ac:dyDescent="0.35">
      <c r="A366" t="s">
        <v>326</v>
      </c>
      <c r="B366" t="s">
        <v>18</v>
      </c>
      <c r="C366" t="s">
        <v>2830</v>
      </c>
      <c r="D366" t="s">
        <v>2831</v>
      </c>
      <c r="E366" t="s">
        <v>21</v>
      </c>
      <c r="F366" t="s">
        <v>2832</v>
      </c>
      <c r="G366" t="s">
        <v>2833</v>
      </c>
      <c r="H366" s="1">
        <v>46110</v>
      </c>
      <c r="I366" s="6">
        <v>45693</v>
      </c>
      <c r="J366" s="6">
        <v>46225</v>
      </c>
      <c r="K366">
        <v>73</v>
      </c>
      <c r="L366">
        <v>83</v>
      </c>
      <c r="M366">
        <v>74</v>
      </c>
      <c r="N366" s="8">
        <v>5</v>
      </c>
      <c r="O366">
        <v>87</v>
      </c>
      <c r="P366">
        <v>10</v>
      </c>
      <c r="Q366" s="3">
        <v>0.73</v>
      </c>
      <c r="R366">
        <v>365</v>
      </c>
      <c r="S366">
        <v>435</v>
      </c>
      <c r="T366" t="s">
        <v>3877</v>
      </c>
      <c r="U366" t="s">
        <v>3836</v>
      </c>
      <c r="V366" s="14">
        <v>481</v>
      </c>
      <c r="W366">
        <f t="shared" si="10"/>
        <v>10</v>
      </c>
      <c r="X366">
        <f t="shared" si="11"/>
        <v>370</v>
      </c>
    </row>
    <row r="367" spans="1:24" x14ac:dyDescent="0.35">
      <c r="A367" t="s">
        <v>64</v>
      </c>
      <c r="B367" t="s">
        <v>65</v>
      </c>
      <c r="C367" t="s">
        <v>1714</v>
      </c>
      <c r="D367" t="s">
        <v>2913</v>
      </c>
      <c r="E367" t="s">
        <v>21</v>
      </c>
      <c r="F367" t="s">
        <v>2914</v>
      </c>
      <c r="G367" t="s">
        <v>2915</v>
      </c>
      <c r="H367" s="1">
        <v>46130</v>
      </c>
      <c r="I367" s="6">
        <v>45388</v>
      </c>
      <c r="J367" s="6">
        <v>46168</v>
      </c>
      <c r="K367">
        <v>49</v>
      </c>
      <c r="L367">
        <v>59</v>
      </c>
      <c r="M367">
        <v>73</v>
      </c>
      <c r="N367" s="8">
        <v>5</v>
      </c>
      <c r="O367">
        <v>93</v>
      </c>
      <c r="P367">
        <v>45</v>
      </c>
      <c r="Q367" s="3">
        <v>-1.1499999999999999</v>
      </c>
      <c r="R367">
        <v>245</v>
      </c>
      <c r="S367">
        <v>465</v>
      </c>
      <c r="T367" t="s">
        <v>3877</v>
      </c>
      <c r="U367" t="s">
        <v>3838</v>
      </c>
      <c r="V367" s="14">
        <v>786</v>
      </c>
      <c r="W367">
        <f t="shared" si="10"/>
        <v>10</v>
      </c>
      <c r="X367">
        <f t="shared" si="11"/>
        <v>365</v>
      </c>
    </row>
    <row r="368" spans="1:24" x14ac:dyDescent="0.35">
      <c r="A368" t="s">
        <v>270</v>
      </c>
      <c r="B368" t="s">
        <v>36</v>
      </c>
      <c r="C368" t="s">
        <v>1547</v>
      </c>
      <c r="D368" t="s">
        <v>3134</v>
      </c>
      <c r="E368" t="s">
        <v>30</v>
      </c>
      <c r="F368" t="s">
        <v>3135</v>
      </c>
      <c r="G368" t="s">
        <v>3136</v>
      </c>
      <c r="H368" s="1">
        <v>46171</v>
      </c>
      <c r="I368" s="6">
        <v>45599</v>
      </c>
      <c r="J368" s="6">
        <v>46118</v>
      </c>
      <c r="K368">
        <v>29</v>
      </c>
      <c r="L368">
        <v>39</v>
      </c>
      <c r="M368">
        <v>80</v>
      </c>
      <c r="N368" s="8">
        <v>4</v>
      </c>
      <c r="O368">
        <v>23</v>
      </c>
      <c r="P368">
        <v>85</v>
      </c>
      <c r="Q368" s="3">
        <v>0.03</v>
      </c>
      <c r="R368">
        <v>116</v>
      </c>
      <c r="S368">
        <v>92</v>
      </c>
      <c r="T368" t="s">
        <v>3877</v>
      </c>
      <c r="U368" t="s">
        <v>3838</v>
      </c>
      <c r="V368" s="14">
        <v>575</v>
      </c>
      <c r="W368">
        <f t="shared" si="10"/>
        <v>10</v>
      </c>
      <c r="X368">
        <f t="shared" si="11"/>
        <v>320</v>
      </c>
    </row>
    <row r="369" spans="1:24" x14ac:dyDescent="0.35">
      <c r="A369" t="s">
        <v>17</v>
      </c>
      <c r="B369" t="s">
        <v>18</v>
      </c>
      <c r="C369" t="s">
        <v>3144</v>
      </c>
      <c r="D369" t="s">
        <v>3145</v>
      </c>
      <c r="E369" t="s">
        <v>21</v>
      </c>
      <c r="F369" t="s">
        <v>3146</v>
      </c>
      <c r="G369" t="s">
        <v>3147</v>
      </c>
      <c r="H369" s="1">
        <v>46172</v>
      </c>
      <c r="I369" s="6">
        <v>45452</v>
      </c>
      <c r="J369" s="6">
        <v>46197</v>
      </c>
      <c r="K369">
        <v>75</v>
      </c>
      <c r="L369">
        <v>85</v>
      </c>
      <c r="M369">
        <v>27</v>
      </c>
      <c r="N369" s="8">
        <v>4.5</v>
      </c>
      <c r="O369">
        <v>26</v>
      </c>
      <c r="P369">
        <v>68</v>
      </c>
      <c r="Q369" s="3">
        <v>-3.29</v>
      </c>
      <c r="R369">
        <v>337.5</v>
      </c>
      <c r="S369">
        <v>117</v>
      </c>
      <c r="T369" t="s">
        <v>3877</v>
      </c>
      <c r="U369" t="s">
        <v>3837</v>
      </c>
      <c r="V369" s="14">
        <v>722</v>
      </c>
      <c r="W369">
        <f t="shared" si="10"/>
        <v>10</v>
      </c>
      <c r="X369">
        <f t="shared" si="11"/>
        <v>121.5</v>
      </c>
    </row>
    <row r="370" spans="1:24" x14ac:dyDescent="0.35">
      <c r="A370" t="s">
        <v>567</v>
      </c>
      <c r="B370" t="s">
        <v>65</v>
      </c>
      <c r="C370" t="s">
        <v>1519</v>
      </c>
      <c r="D370" t="s">
        <v>3484</v>
      </c>
      <c r="E370" t="s">
        <v>30</v>
      </c>
      <c r="F370" t="s">
        <v>3485</v>
      </c>
      <c r="G370" t="s">
        <v>3486</v>
      </c>
      <c r="H370" s="1">
        <v>46233</v>
      </c>
      <c r="I370" s="6">
        <v>45596</v>
      </c>
      <c r="J370" s="6">
        <v>46223</v>
      </c>
      <c r="K370">
        <v>37</v>
      </c>
      <c r="L370">
        <v>47</v>
      </c>
      <c r="M370">
        <v>34</v>
      </c>
      <c r="N370" s="8">
        <v>9.5</v>
      </c>
      <c r="O370">
        <v>38</v>
      </c>
      <c r="P370">
        <v>89</v>
      </c>
      <c r="Q370" s="3">
        <v>-0.06</v>
      </c>
      <c r="R370">
        <v>351.5</v>
      </c>
      <c r="S370">
        <v>361</v>
      </c>
      <c r="T370" t="s">
        <v>3877</v>
      </c>
      <c r="U370" t="s">
        <v>3836</v>
      </c>
      <c r="V370" s="14">
        <v>578</v>
      </c>
      <c r="W370">
        <f t="shared" si="10"/>
        <v>10</v>
      </c>
      <c r="X370">
        <f t="shared" si="11"/>
        <v>323</v>
      </c>
    </row>
    <row r="371" spans="1:24" x14ac:dyDescent="0.35">
      <c r="A371" t="s">
        <v>43</v>
      </c>
      <c r="B371" t="s">
        <v>18</v>
      </c>
      <c r="C371" t="s">
        <v>44</v>
      </c>
      <c r="D371" t="s">
        <v>45</v>
      </c>
      <c r="E371" t="s">
        <v>21</v>
      </c>
      <c r="F371" t="s">
        <v>46</v>
      </c>
      <c r="G371" t="s">
        <v>47</v>
      </c>
      <c r="H371" s="1">
        <v>46027</v>
      </c>
      <c r="I371" s="6">
        <v>45638</v>
      </c>
      <c r="J371" s="6">
        <v>46291</v>
      </c>
      <c r="K371">
        <v>51</v>
      </c>
      <c r="L371">
        <v>60</v>
      </c>
      <c r="M371">
        <v>98</v>
      </c>
      <c r="N371" s="8">
        <v>1.5</v>
      </c>
      <c r="O371">
        <v>44</v>
      </c>
      <c r="P371">
        <v>95</v>
      </c>
      <c r="Q371" s="2">
        <v>1.3599999999999999E-2</v>
      </c>
      <c r="R371">
        <v>76.5</v>
      </c>
      <c r="S371">
        <v>66</v>
      </c>
      <c r="T371" t="s">
        <v>3877</v>
      </c>
      <c r="U371" t="s">
        <v>3836</v>
      </c>
      <c r="V371" s="14">
        <v>536</v>
      </c>
      <c r="W371">
        <f t="shared" si="10"/>
        <v>9</v>
      </c>
      <c r="X371">
        <f t="shared" si="11"/>
        <v>147</v>
      </c>
    </row>
    <row r="372" spans="1:24" x14ac:dyDescent="0.35">
      <c r="A372" t="s">
        <v>247</v>
      </c>
      <c r="B372" t="s">
        <v>18</v>
      </c>
      <c r="C372" t="s">
        <v>213</v>
      </c>
      <c r="D372" t="s">
        <v>1910</v>
      </c>
      <c r="E372" t="s">
        <v>30</v>
      </c>
      <c r="F372" t="s">
        <v>1911</v>
      </c>
      <c r="G372" t="s">
        <v>1912</v>
      </c>
      <c r="H372" s="1">
        <v>46409</v>
      </c>
      <c r="I372" s="6">
        <v>45695</v>
      </c>
      <c r="J372" s="6">
        <v>46091</v>
      </c>
      <c r="K372">
        <v>21</v>
      </c>
      <c r="L372">
        <v>30</v>
      </c>
      <c r="M372">
        <v>32</v>
      </c>
      <c r="N372" s="8">
        <v>2</v>
      </c>
      <c r="O372">
        <v>43</v>
      </c>
      <c r="P372">
        <v>54</v>
      </c>
      <c r="Q372" s="3">
        <v>0.61</v>
      </c>
      <c r="R372">
        <v>42</v>
      </c>
      <c r="S372">
        <v>86</v>
      </c>
      <c r="T372" t="s">
        <v>3877</v>
      </c>
      <c r="U372" t="s">
        <v>3838</v>
      </c>
      <c r="V372" s="14">
        <v>479</v>
      </c>
      <c r="W372">
        <f t="shared" si="10"/>
        <v>9</v>
      </c>
      <c r="X372">
        <f t="shared" si="11"/>
        <v>64</v>
      </c>
    </row>
    <row r="373" spans="1:24" x14ac:dyDescent="0.35">
      <c r="A373" t="s">
        <v>1527</v>
      </c>
      <c r="B373" t="s">
        <v>18</v>
      </c>
      <c r="C373" t="s">
        <v>625</v>
      </c>
      <c r="D373" t="s">
        <v>2330</v>
      </c>
      <c r="E373" t="s">
        <v>21</v>
      </c>
      <c r="F373" t="s">
        <v>2331</v>
      </c>
      <c r="G373" t="s">
        <v>2332</v>
      </c>
      <c r="H373" s="1">
        <v>46352</v>
      </c>
      <c r="I373" s="6">
        <v>45352</v>
      </c>
      <c r="J373" s="6">
        <v>46261</v>
      </c>
      <c r="K373">
        <v>19</v>
      </c>
      <c r="L373">
        <v>28</v>
      </c>
      <c r="M373">
        <v>83</v>
      </c>
      <c r="N373" s="8">
        <v>4.5</v>
      </c>
      <c r="O373">
        <v>91</v>
      </c>
      <c r="P373">
        <v>73</v>
      </c>
      <c r="Q373" s="3">
        <v>0.72</v>
      </c>
      <c r="R373">
        <v>85.5</v>
      </c>
      <c r="S373">
        <v>409.5</v>
      </c>
      <c r="T373" t="s">
        <v>3877</v>
      </c>
      <c r="U373" t="s">
        <v>3836</v>
      </c>
      <c r="V373" s="14">
        <v>822</v>
      </c>
      <c r="W373">
        <f t="shared" si="10"/>
        <v>9</v>
      </c>
      <c r="X373">
        <f t="shared" si="11"/>
        <v>373.5</v>
      </c>
    </row>
    <row r="374" spans="1:24" x14ac:dyDescent="0.35">
      <c r="A374" t="s">
        <v>154</v>
      </c>
      <c r="B374" t="s">
        <v>65</v>
      </c>
      <c r="C374" t="s">
        <v>254</v>
      </c>
      <c r="D374" t="s">
        <v>2623</v>
      </c>
      <c r="E374" t="s">
        <v>68</v>
      </c>
      <c r="F374" t="s">
        <v>2624</v>
      </c>
      <c r="G374" t="s">
        <v>2625</v>
      </c>
      <c r="H374" s="1">
        <v>46441</v>
      </c>
      <c r="I374" s="6">
        <v>45360</v>
      </c>
      <c r="J374" s="6">
        <v>46389</v>
      </c>
      <c r="K374">
        <v>60</v>
      </c>
      <c r="L374">
        <v>69</v>
      </c>
      <c r="M374">
        <v>64</v>
      </c>
      <c r="N374" s="8">
        <v>2.75</v>
      </c>
      <c r="O374">
        <v>51</v>
      </c>
      <c r="P374">
        <v>6</v>
      </c>
      <c r="Q374" s="3">
        <v>0.13</v>
      </c>
      <c r="R374">
        <v>165</v>
      </c>
      <c r="S374">
        <v>140.25</v>
      </c>
      <c r="T374" t="s">
        <v>3877</v>
      </c>
      <c r="U374" t="s">
        <v>3836</v>
      </c>
      <c r="V374" s="14">
        <v>814</v>
      </c>
      <c r="W374">
        <f t="shared" si="10"/>
        <v>9</v>
      </c>
      <c r="X374">
        <f t="shared" si="11"/>
        <v>176</v>
      </c>
    </row>
    <row r="375" spans="1:24" x14ac:dyDescent="0.35">
      <c r="A375" t="s">
        <v>418</v>
      </c>
      <c r="B375" t="s">
        <v>65</v>
      </c>
      <c r="C375" t="s">
        <v>213</v>
      </c>
      <c r="D375" t="s">
        <v>419</v>
      </c>
      <c r="E375" t="s">
        <v>30</v>
      </c>
      <c r="F375" t="s">
        <v>420</v>
      </c>
      <c r="G375" t="s">
        <v>421</v>
      </c>
      <c r="H375" s="1">
        <v>46089</v>
      </c>
      <c r="I375" s="6">
        <v>45453</v>
      </c>
      <c r="J375" s="6">
        <v>46287</v>
      </c>
      <c r="K375">
        <v>30</v>
      </c>
      <c r="L375">
        <v>38</v>
      </c>
      <c r="M375">
        <v>83</v>
      </c>
      <c r="N375" s="8">
        <v>6</v>
      </c>
      <c r="O375">
        <v>31</v>
      </c>
      <c r="P375">
        <v>34</v>
      </c>
      <c r="Q375" s="3">
        <v>0.55000000000000004</v>
      </c>
      <c r="R375">
        <v>180</v>
      </c>
      <c r="S375">
        <v>186</v>
      </c>
      <c r="T375" t="s">
        <v>3877</v>
      </c>
      <c r="U375" t="s">
        <v>3836</v>
      </c>
      <c r="V375" s="14">
        <v>721</v>
      </c>
      <c r="W375">
        <f t="shared" si="10"/>
        <v>8</v>
      </c>
      <c r="X375">
        <f t="shared" si="11"/>
        <v>498</v>
      </c>
    </row>
    <row r="376" spans="1:24" x14ac:dyDescent="0.35">
      <c r="A376" t="s">
        <v>496</v>
      </c>
      <c r="B376" t="s">
        <v>18</v>
      </c>
      <c r="C376" t="s">
        <v>1129</v>
      </c>
      <c r="D376" t="s">
        <v>1130</v>
      </c>
      <c r="E376" t="s">
        <v>30</v>
      </c>
      <c r="F376" t="s">
        <v>1131</v>
      </c>
      <c r="G376" t="s">
        <v>1132</v>
      </c>
      <c r="H376" s="1">
        <v>46246</v>
      </c>
      <c r="I376" s="6">
        <v>45669</v>
      </c>
      <c r="J376" s="6">
        <v>46132</v>
      </c>
      <c r="K376">
        <v>37</v>
      </c>
      <c r="L376">
        <v>45</v>
      </c>
      <c r="M376">
        <v>62</v>
      </c>
      <c r="N376" s="8">
        <v>5.5</v>
      </c>
      <c r="O376">
        <v>34</v>
      </c>
      <c r="P376">
        <v>23</v>
      </c>
      <c r="Q376" s="3">
        <v>0.25</v>
      </c>
      <c r="R376">
        <v>203.5</v>
      </c>
      <c r="S376">
        <v>187</v>
      </c>
      <c r="T376" t="s">
        <v>3877</v>
      </c>
      <c r="U376" t="s">
        <v>3838</v>
      </c>
      <c r="V376" s="14">
        <v>505</v>
      </c>
      <c r="W376">
        <f t="shared" si="10"/>
        <v>8</v>
      </c>
      <c r="X376">
        <f t="shared" si="11"/>
        <v>341</v>
      </c>
    </row>
    <row r="377" spans="1:24" x14ac:dyDescent="0.35">
      <c r="A377" t="s">
        <v>685</v>
      </c>
      <c r="B377" t="s">
        <v>114</v>
      </c>
      <c r="C377" t="s">
        <v>1995</v>
      </c>
      <c r="D377" t="s">
        <v>1996</v>
      </c>
      <c r="E377" t="s">
        <v>68</v>
      </c>
      <c r="F377" t="s">
        <v>1997</v>
      </c>
      <c r="G377" t="s">
        <v>1998</v>
      </c>
      <c r="H377" s="1">
        <v>46309</v>
      </c>
      <c r="I377" s="6">
        <v>45399</v>
      </c>
      <c r="J377" s="6">
        <v>46171</v>
      </c>
      <c r="K377">
        <v>50</v>
      </c>
      <c r="L377">
        <v>58</v>
      </c>
      <c r="M377">
        <v>78</v>
      </c>
      <c r="N377" s="8">
        <v>3</v>
      </c>
      <c r="O377">
        <v>83</v>
      </c>
      <c r="P377">
        <v>49</v>
      </c>
      <c r="Q377" s="3">
        <v>0.62</v>
      </c>
      <c r="R377">
        <v>150</v>
      </c>
      <c r="S377">
        <v>249</v>
      </c>
      <c r="T377" t="s">
        <v>3877</v>
      </c>
      <c r="U377" t="s">
        <v>3838</v>
      </c>
      <c r="V377" s="14">
        <v>775</v>
      </c>
      <c r="W377">
        <f t="shared" si="10"/>
        <v>8</v>
      </c>
      <c r="X377">
        <f t="shared" si="11"/>
        <v>234</v>
      </c>
    </row>
    <row r="378" spans="1:24" x14ac:dyDescent="0.35">
      <c r="A378" t="s">
        <v>222</v>
      </c>
      <c r="B378" t="s">
        <v>65</v>
      </c>
      <c r="C378" t="s">
        <v>2172</v>
      </c>
      <c r="D378" t="s">
        <v>2173</v>
      </c>
      <c r="E378" t="s">
        <v>68</v>
      </c>
      <c r="F378" t="s">
        <v>2174</v>
      </c>
      <c r="G378" t="s">
        <v>2175</v>
      </c>
      <c r="H378" s="1">
        <v>46324</v>
      </c>
      <c r="I378" s="6">
        <v>45655</v>
      </c>
      <c r="J378" s="6">
        <v>46078</v>
      </c>
      <c r="K378">
        <v>84</v>
      </c>
      <c r="L378">
        <v>92</v>
      </c>
      <c r="M378">
        <v>18</v>
      </c>
      <c r="N378" s="8">
        <v>1.5</v>
      </c>
      <c r="O378">
        <v>92</v>
      </c>
      <c r="P378">
        <v>69</v>
      </c>
      <c r="Q378" s="3">
        <v>-0.17</v>
      </c>
      <c r="R378">
        <v>126</v>
      </c>
      <c r="S378">
        <v>138</v>
      </c>
      <c r="T378" t="s">
        <v>3877</v>
      </c>
      <c r="U378" t="s">
        <v>3838</v>
      </c>
      <c r="V378" s="14">
        <v>519</v>
      </c>
      <c r="W378">
        <f t="shared" si="10"/>
        <v>8</v>
      </c>
      <c r="X378">
        <f t="shared" si="11"/>
        <v>27</v>
      </c>
    </row>
    <row r="379" spans="1:24" x14ac:dyDescent="0.35">
      <c r="A379" t="s">
        <v>194</v>
      </c>
      <c r="B379" t="s">
        <v>114</v>
      </c>
      <c r="C379" t="s">
        <v>3032</v>
      </c>
      <c r="D379" t="s">
        <v>3033</v>
      </c>
      <c r="E379" t="s">
        <v>21</v>
      </c>
      <c r="F379" t="s">
        <v>3034</v>
      </c>
      <c r="G379" t="s">
        <v>3035</v>
      </c>
      <c r="H379" s="1">
        <v>46158</v>
      </c>
      <c r="I379" s="6">
        <v>45572</v>
      </c>
      <c r="J379" s="6">
        <v>46113</v>
      </c>
      <c r="K379">
        <v>34</v>
      </c>
      <c r="L379">
        <v>42</v>
      </c>
      <c r="M379">
        <v>86</v>
      </c>
      <c r="N379" s="8">
        <v>4</v>
      </c>
      <c r="O379">
        <v>28</v>
      </c>
      <c r="P379">
        <v>23</v>
      </c>
      <c r="Q379" s="3">
        <v>0.82</v>
      </c>
      <c r="R379">
        <v>136</v>
      </c>
      <c r="S379">
        <v>112</v>
      </c>
      <c r="T379" t="s">
        <v>3877</v>
      </c>
      <c r="U379" t="s">
        <v>3838</v>
      </c>
      <c r="V379" s="14">
        <v>602</v>
      </c>
      <c r="W379">
        <f t="shared" si="10"/>
        <v>8</v>
      </c>
      <c r="X379">
        <f t="shared" si="11"/>
        <v>344</v>
      </c>
    </row>
    <row r="380" spans="1:24" x14ac:dyDescent="0.35">
      <c r="A380" t="s">
        <v>450</v>
      </c>
      <c r="B380" t="s">
        <v>18</v>
      </c>
      <c r="C380" t="s">
        <v>573</v>
      </c>
      <c r="D380" t="s">
        <v>3793</v>
      </c>
      <c r="E380" t="s">
        <v>21</v>
      </c>
      <c r="F380" t="s">
        <v>3794</v>
      </c>
      <c r="G380" t="s">
        <v>3795</v>
      </c>
      <c r="H380" s="1">
        <v>46294</v>
      </c>
      <c r="I380" s="6">
        <v>45460</v>
      </c>
      <c r="J380" s="6">
        <v>46205</v>
      </c>
      <c r="K380">
        <v>24</v>
      </c>
      <c r="L380">
        <v>32</v>
      </c>
      <c r="M380">
        <v>17</v>
      </c>
      <c r="N380" s="8">
        <v>1</v>
      </c>
      <c r="O380">
        <v>55</v>
      </c>
      <c r="P380">
        <v>72</v>
      </c>
      <c r="Q380" s="3">
        <v>-1</v>
      </c>
      <c r="R380">
        <v>24</v>
      </c>
      <c r="S380">
        <v>55</v>
      </c>
      <c r="T380" t="s">
        <v>3877</v>
      </c>
      <c r="U380" t="s">
        <v>3836</v>
      </c>
      <c r="V380" s="14">
        <v>714</v>
      </c>
      <c r="W380">
        <f t="shared" si="10"/>
        <v>8</v>
      </c>
      <c r="X380">
        <f t="shared" si="11"/>
        <v>17</v>
      </c>
    </row>
    <row r="381" spans="1:24" x14ac:dyDescent="0.35">
      <c r="A381" t="s">
        <v>480</v>
      </c>
      <c r="B381" t="s">
        <v>36</v>
      </c>
      <c r="C381" t="s">
        <v>1109</v>
      </c>
      <c r="D381" t="s">
        <v>1110</v>
      </c>
      <c r="E381" t="s">
        <v>30</v>
      </c>
      <c r="F381" t="s">
        <v>1111</v>
      </c>
      <c r="G381" t="s">
        <v>1112</v>
      </c>
      <c r="H381" s="1">
        <v>46245</v>
      </c>
      <c r="I381" s="6">
        <v>45381</v>
      </c>
      <c r="J381" s="6">
        <v>46272</v>
      </c>
      <c r="K381">
        <v>29</v>
      </c>
      <c r="L381">
        <v>36</v>
      </c>
      <c r="M381">
        <v>40</v>
      </c>
      <c r="N381" s="8">
        <v>4</v>
      </c>
      <c r="O381">
        <v>60</v>
      </c>
      <c r="P381">
        <v>96</v>
      </c>
      <c r="Q381" s="3">
        <v>0.87</v>
      </c>
      <c r="R381">
        <v>116</v>
      </c>
      <c r="S381">
        <v>240</v>
      </c>
      <c r="T381" t="s">
        <v>3877</v>
      </c>
      <c r="U381" t="s">
        <v>3836</v>
      </c>
      <c r="V381" s="14">
        <v>793</v>
      </c>
      <c r="W381">
        <f t="shared" si="10"/>
        <v>7</v>
      </c>
      <c r="X381">
        <f t="shared" si="11"/>
        <v>160</v>
      </c>
    </row>
    <row r="382" spans="1:24" x14ac:dyDescent="0.35">
      <c r="A382" t="s">
        <v>17</v>
      </c>
      <c r="B382" t="s">
        <v>18</v>
      </c>
      <c r="C382" t="s">
        <v>1287</v>
      </c>
      <c r="D382" t="s">
        <v>1288</v>
      </c>
      <c r="E382" t="s">
        <v>21</v>
      </c>
      <c r="F382" t="s">
        <v>1289</v>
      </c>
      <c r="G382" t="s">
        <v>1290</v>
      </c>
      <c r="H382" s="1">
        <v>46301</v>
      </c>
      <c r="I382" s="6">
        <v>45663</v>
      </c>
      <c r="J382" s="6">
        <v>46284</v>
      </c>
      <c r="K382">
        <v>89</v>
      </c>
      <c r="L382">
        <v>96</v>
      </c>
      <c r="M382">
        <v>94</v>
      </c>
      <c r="N382" s="8">
        <v>4.5</v>
      </c>
      <c r="O382">
        <v>38</v>
      </c>
      <c r="P382">
        <v>96</v>
      </c>
      <c r="Q382" s="3">
        <v>0.53</v>
      </c>
      <c r="R382">
        <v>400.5</v>
      </c>
      <c r="S382">
        <v>171</v>
      </c>
      <c r="T382" t="s">
        <v>3877</v>
      </c>
      <c r="U382" t="s">
        <v>3836</v>
      </c>
      <c r="V382" s="14">
        <v>511</v>
      </c>
      <c r="W382">
        <f t="shared" si="10"/>
        <v>7</v>
      </c>
      <c r="X382">
        <f t="shared" si="11"/>
        <v>423</v>
      </c>
    </row>
    <row r="383" spans="1:24" x14ac:dyDescent="0.35">
      <c r="A383" t="s">
        <v>408</v>
      </c>
      <c r="B383" t="s">
        <v>18</v>
      </c>
      <c r="C383" t="s">
        <v>677</v>
      </c>
      <c r="D383" t="s">
        <v>1329</v>
      </c>
      <c r="E383" t="s">
        <v>68</v>
      </c>
      <c r="F383" t="s">
        <v>1330</v>
      </c>
      <c r="G383" t="s">
        <v>1331</v>
      </c>
      <c r="H383" s="1">
        <v>46305</v>
      </c>
      <c r="I383" s="6">
        <v>45457</v>
      </c>
      <c r="J383" s="6">
        <v>46305</v>
      </c>
      <c r="K383">
        <v>64</v>
      </c>
      <c r="L383">
        <v>71</v>
      </c>
      <c r="M383">
        <v>69</v>
      </c>
      <c r="N383" s="8">
        <v>3.9</v>
      </c>
      <c r="O383">
        <v>60</v>
      </c>
      <c r="P383">
        <v>67</v>
      </c>
      <c r="Q383" s="3">
        <v>-0.15</v>
      </c>
      <c r="R383">
        <v>249.6</v>
      </c>
      <c r="S383">
        <v>234</v>
      </c>
      <c r="T383" t="s">
        <v>3877</v>
      </c>
      <c r="U383" t="s">
        <v>3836</v>
      </c>
      <c r="V383" s="14">
        <v>717</v>
      </c>
      <c r="W383">
        <f t="shared" si="10"/>
        <v>7</v>
      </c>
      <c r="X383">
        <f t="shared" si="11"/>
        <v>269.09999999999997</v>
      </c>
    </row>
    <row r="384" spans="1:24" x14ac:dyDescent="0.35">
      <c r="A384" t="s">
        <v>1350</v>
      </c>
      <c r="B384" t="s">
        <v>114</v>
      </c>
      <c r="C384" t="s">
        <v>1066</v>
      </c>
      <c r="D384" t="s">
        <v>1672</v>
      </c>
      <c r="E384" t="s">
        <v>68</v>
      </c>
      <c r="F384" t="s">
        <v>1673</v>
      </c>
      <c r="G384" t="s">
        <v>1674</v>
      </c>
      <c r="H384" s="1">
        <v>46509</v>
      </c>
      <c r="I384" s="6">
        <v>45414</v>
      </c>
      <c r="J384" s="6">
        <v>46169</v>
      </c>
      <c r="K384">
        <v>74</v>
      </c>
      <c r="L384">
        <v>81</v>
      </c>
      <c r="M384">
        <v>41</v>
      </c>
      <c r="N384" s="8">
        <v>6</v>
      </c>
      <c r="O384">
        <v>51</v>
      </c>
      <c r="P384">
        <v>67</v>
      </c>
      <c r="Q384" s="3">
        <v>-0.11</v>
      </c>
      <c r="R384">
        <v>444</v>
      </c>
      <c r="S384">
        <v>306</v>
      </c>
      <c r="T384" t="s">
        <v>3877</v>
      </c>
      <c r="U384" t="s">
        <v>3838</v>
      </c>
      <c r="V384" s="14">
        <v>760</v>
      </c>
      <c r="W384">
        <f t="shared" si="10"/>
        <v>7</v>
      </c>
      <c r="X384">
        <f t="shared" si="11"/>
        <v>246</v>
      </c>
    </row>
    <row r="385" spans="1:24" x14ac:dyDescent="0.35">
      <c r="A385" t="s">
        <v>222</v>
      </c>
      <c r="B385" t="s">
        <v>65</v>
      </c>
      <c r="C385" t="s">
        <v>1728</v>
      </c>
      <c r="D385" t="s">
        <v>1729</v>
      </c>
      <c r="E385" t="s">
        <v>30</v>
      </c>
      <c r="F385" t="s">
        <v>1730</v>
      </c>
      <c r="G385" t="s">
        <v>1731</v>
      </c>
      <c r="H385" s="1">
        <v>46600</v>
      </c>
      <c r="I385" s="6">
        <v>45633</v>
      </c>
      <c r="J385" s="6">
        <v>46348</v>
      </c>
      <c r="K385">
        <v>84</v>
      </c>
      <c r="L385">
        <v>91</v>
      </c>
      <c r="M385">
        <v>86</v>
      </c>
      <c r="N385" s="8">
        <v>1.5</v>
      </c>
      <c r="O385">
        <v>83</v>
      </c>
      <c r="P385">
        <v>95</v>
      </c>
      <c r="Q385" s="3">
        <v>0.6</v>
      </c>
      <c r="R385">
        <v>126</v>
      </c>
      <c r="S385">
        <v>124.5</v>
      </c>
      <c r="T385" t="s">
        <v>3877</v>
      </c>
      <c r="U385" t="s">
        <v>3836</v>
      </c>
      <c r="V385" s="14">
        <v>541</v>
      </c>
      <c r="W385">
        <f t="shared" si="10"/>
        <v>7</v>
      </c>
      <c r="X385">
        <f t="shared" si="11"/>
        <v>129</v>
      </c>
    </row>
    <row r="386" spans="1:24" x14ac:dyDescent="0.35">
      <c r="A386" t="s">
        <v>96</v>
      </c>
      <c r="B386" t="s">
        <v>36</v>
      </c>
      <c r="C386" t="s">
        <v>1955</v>
      </c>
      <c r="D386" t="s">
        <v>1956</v>
      </c>
      <c r="E386" t="s">
        <v>30</v>
      </c>
      <c r="F386" t="s">
        <v>1957</v>
      </c>
      <c r="G386" t="s">
        <v>1958</v>
      </c>
      <c r="H386" s="1">
        <v>46415</v>
      </c>
      <c r="I386" s="6">
        <v>45350</v>
      </c>
      <c r="J386" s="6">
        <v>46078</v>
      </c>
      <c r="K386">
        <v>21</v>
      </c>
      <c r="L386">
        <v>28</v>
      </c>
      <c r="M386">
        <v>72</v>
      </c>
      <c r="N386" s="8">
        <v>9</v>
      </c>
      <c r="O386">
        <v>69</v>
      </c>
      <c r="P386">
        <v>51</v>
      </c>
      <c r="Q386" s="3">
        <v>-0.06</v>
      </c>
      <c r="R386">
        <v>189</v>
      </c>
      <c r="S386">
        <v>621</v>
      </c>
      <c r="T386" t="s">
        <v>3877</v>
      </c>
      <c r="U386" t="s">
        <v>3838</v>
      </c>
      <c r="V386" s="14">
        <v>824</v>
      </c>
      <c r="W386">
        <f t="shared" ref="W386:W449" si="12">L386-K386</f>
        <v>7</v>
      </c>
      <c r="X386">
        <f t="shared" ref="X386:X449" si="13">M386*N386</f>
        <v>648</v>
      </c>
    </row>
    <row r="387" spans="1:24" x14ac:dyDescent="0.35">
      <c r="A387" t="s">
        <v>718</v>
      </c>
      <c r="B387" t="s">
        <v>65</v>
      </c>
      <c r="C387" t="s">
        <v>2042</v>
      </c>
      <c r="D387" t="s">
        <v>2043</v>
      </c>
      <c r="E387" t="s">
        <v>30</v>
      </c>
      <c r="F387" t="s">
        <v>2044</v>
      </c>
      <c r="G387" t="s">
        <v>2045</v>
      </c>
      <c r="H387" s="1">
        <v>46314</v>
      </c>
      <c r="I387" s="6">
        <v>45637</v>
      </c>
      <c r="J387" s="6">
        <v>46309</v>
      </c>
      <c r="K387">
        <v>91</v>
      </c>
      <c r="L387">
        <v>98</v>
      </c>
      <c r="M387">
        <v>6</v>
      </c>
      <c r="N387" s="8">
        <v>2</v>
      </c>
      <c r="O387">
        <v>100</v>
      </c>
      <c r="P387">
        <v>20</v>
      </c>
      <c r="Q387" s="3">
        <v>-0.16</v>
      </c>
      <c r="R387">
        <v>182</v>
      </c>
      <c r="S387">
        <v>200</v>
      </c>
      <c r="T387" t="s">
        <v>3877</v>
      </c>
      <c r="U387" t="s">
        <v>3836</v>
      </c>
      <c r="V387" s="14">
        <v>537</v>
      </c>
      <c r="W387">
        <f t="shared" si="12"/>
        <v>7</v>
      </c>
      <c r="X387">
        <f t="shared" si="13"/>
        <v>12</v>
      </c>
    </row>
    <row r="388" spans="1:24" x14ac:dyDescent="0.35">
      <c r="A388" t="s">
        <v>1371</v>
      </c>
      <c r="B388" t="s">
        <v>36</v>
      </c>
      <c r="C388" t="s">
        <v>2509</v>
      </c>
      <c r="D388" t="s">
        <v>2510</v>
      </c>
      <c r="E388" t="s">
        <v>30</v>
      </c>
      <c r="F388" t="s">
        <v>2511</v>
      </c>
      <c r="G388" t="s">
        <v>2512</v>
      </c>
      <c r="H388" s="1">
        <v>46385</v>
      </c>
      <c r="I388" s="6">
        <v>45649</v>
      </c>
      <c r="J388" s="6">
        <v>46273</v>
      </c>
      <c r="K388">
        <v>10</v>
      </c>
      <c r="L388">
        <v>17</v>
      </c>
      <c r="M388">
        <v>70</v>
      </c>
      <c r="N388" s="8">
        <v>0.2</v>
      </c>
      <c r="O388">
        <v>100</v>
      </c>
      <c r="P388">
        <v>63</v>
      </c>
      <c r="Q388" s="3">
        <v>-7.0000000000000007E-2</v>
      </c>
      <c r="R388">
        <v>2</v>
      </c>
      <c r="S388">
        <v>20</v>
      </c>
      <c r="T388" t="s">
        <v>3877</v>
      </c>
      <c r="U388" t="s">
        <v>3836</v>
      </c>
      <c r="V388" s="14">
        <v>525</v>
      </c>
      <c r="W388">
        <f t="shared" si="12"/>
        <v>7</v>
      </c>
      <c r="X388">
        <f t="shared" si="13"/>
        <v>14</v>
      </c>
    </row>
    <row r="389" spans="1:24" x14ac:dyDescent="0.35">
      <c r="A389" t="s">
        <v>480</v>
      </c>
      <c r="B389" t="s">
        <v>36</v>
      </c>
      <c r="C389" t="s">
        <v>207</v>
      </c>
      <c r="D389" t="s">
        <v>2588</v>
      </c>
      <c r="E389" t="s">
        <v>21</v>
      </c>
      <c r="F389" t="s">
        <v>2589</v>
      </c>
      <c r="G389" t="s">
        <v>2590</v>
      </c>
      <c r="H389" s="1">
        <v>46437</v>
      </c>
      <c r="I389" s="6">
        <v>45486</v>
      </c>
      <c r="J389" s="6">
        <v>46107</v>
      </c>
      <c r="K389">
        <v>92</v>
      </c>
      <c r="L389">
        <v>99</v>
      </c>
      <c r="M389">
        <v>93</v>
      </c>
      <c r="N389" s="8">
        <v>4</v>
      </c>
      <c r="O389">
        <v>43</v>
      </c>
      <c r="P389">
        <v>90</v>
      </c>
      <c r="Q389" s="3">
        <v>-0.35</v>
      </c>
      <c r="R389">
        <v>368</v>
      </c>
      <c r="S389">
        <v>172</v>
      </c>
      <c r="T389" t="s">
        <v>3877</v>
      </c>
      <c r="U389" t="s">
        <v>3838</v>
      </c>
      <c r="V389" s="14">
        <v>688</v>
      </c>
      <c r="W389">
        <f t="shared" si="12"/>
        <v>7</v>
      </c>
      <c r="X389">
        <f t="shared" si="13"/>
        <v>372</v>
      </c>
    </row>
    <row r="390" spans="1:24" x14ac:dyDescent="0.35">
      <c r="A390" t="s">
        <v>212</v>
      </c>
      <c r="B390" t="s">
        <v>75</v>
      </c>
      <c r="C390" t="s">
        <v>2817</v>
      </c>
      <c r="D390" t="s">
        <v>2818</v>
      </c>
      <c r="E390" t="s">
        <v>30</v>
      </c>
      <c r="F390" t="s">
        <v>2819</v>
      </c>
      <c r="G390" t="s">
        <v>2820</v>
      </c>
      <c r="H390" s="1">
        <v>46109</v>
      </c>
      <c r="I390" s="6">
        <v>45658</v>
      </c>
      <c r="J390" s="6">
        <v>46145</v>
      </c>
      <c r="K390">
        <v>85</v>
      </c>
      <c r="L390">
        <v>92</v>
      </c>
      <c r="M390">
        <v>66</v>
      </c>
      <c r="N390" s="8">
        <v>6.7</v>
      </c>
      <c r="O390">
        <v>54</v>
      </c>
      <c r="P390">
        <v>85</v>
      </c>
      <c r="Q390" s="3">
        <v>-7.0000000000000007E-2</v>
      </c>
      <c r="R390">
        <v>569.5</v>
      </c>
      <c r="S390">
        <v>361.8</v>
      </c>
      <c r="T390" t="s">
        <v>3877</v>
      </c>
      <c r="U390" t="s">
        <v>3838</v>
      </c>
      <c r="V390" s="14">
        <v>516</v>
      </c>
      <c r="W390">
        <f t="shared" si="12"/>
        <v>7</v>
      </c>
      <c r="X390">
        <f t="shared" si="13"/>
        <v>442.2</v>
      </c>
    </row>
    <row r="391" spans="1:24" x14ac:dyDescent="0.35">
      <c r="A391" t="s">
        <v>1292</v>
      </c>
      <c r="B391" t="s">
        <v>18</v>
      </c>
      <c r="C391" t="s">
        <v>2381</v>
      </c>
      <c r="D391" t="s">
        <v>3388</v>
      </c>
      <c r="E391" t="s">
        <v>30</v>
      </c>
      <c r="F391" t="s">
        <v>3389</v>
      </c>
      <c r="G391" t="s">
        <v>3390</v>
      </c>
      <c r="H391" s="1">
        <v>46224</v>
      </c>
      <c r="I391" s="6">
        <v>45697</v>
      </c>
      <c r="J391" s="6">
        <v>46426</v>
      </c>
      <c r="K391">
        <v>16</v>
      </c>
      <c r="L391">
        <v>23</v>
      </c>
      <c r="M391">
        <v>76</v>
      </c>
      <c r="N391" s="8">
        <v>6.1</v>
      </c>
      <c r="O391">
        <v>50</v>
      </c>
      <c r="P391">
        <v>27</v>
      </c>
      <c r="Q391" s="3">
        <v>-0.19</v>
      </c>
      <c r="R391">
        <v>97.6</v>
      </c>
      <c r="S391">
        <v>305</v>
      </c>
      <c r="T391" t="s">
        <v>3877</v>
      </c>
      <c r="U391" t="s">
        <v>3836</v>
      </c>
      <c r="V391" s="14">
        <v>477</v>
      </c>
      <c r="W391">
        <f t="shared" si="12"/>
        <v>7</v>
      </c>
      <c r="X391">
        <f t="shared" si="13"/>
        <v>463.59999999999997</v>
      </c>
    </row>
    <row r="392" spans="1:24" x14ac:dyDescent="0.35">
      <c r="A392" t="s">
        <v>665</v>
      </c>
      <c r="B392" t="s">
        <v>65</v>
      </c>
      <c r="C392" t="s">
        <v>666</v>
      </c>
      <c r="D392" t="s">
        <v>667</v>
      </c>
      <c r="E392" t="s">
        <v>21</v>
      </c>
      <c r="F392" t="s">
        <v>668</v>
      </c>
      <c r="G392" t="s">
        <v>669</v>
      </c>
      <c r="H392" s="1">
        <v>46147</v>
      </c>
      <c r="I392" s="6">
        <v>45495</v>
      </c>
      <c r="J392" s="6">
        <v>46442</v>
      </c>
      <c r="K392">
        <v>80</v>
      </c>
      <c r="L392">
        <v>86</v>
      </c>
      <c r="M392">
        <v>50</v>
      </c>
      <c r="N392" s="8">
        <v>1.8</v>
      </c>
      <c r="O392">
        <v>46</v>
      </c>
      <c r="P392">
        <v>69</v>
      </c>
      <c r="Q392" s="3">
        <v>-2.2400000000000002</v>
      </c>
      <c r="R392">
        <v>144</v>
      </c>
      <c r="S392">
        <v>82.8</v>
      </c>
      <c r="T392" t="s">
        <v>3877</v>
      </c>
      <c r="U392" t="s">
        <v>3836</v>
      </c>
      <c r="V392" s="14">
        <v>679</v>
      </c>
      <c r="W392">
        <f t="shared" si="12"/>
        <v>6</v>
      </c>
      <c r="X392">
        <f t="shared" si="13"/>
        <v>90</v>
      </c>
    </row>
    <row r="393" spans="1:24" x14ac:dyDescent="0.35">
      <c r="A393" t="s">
        <v>289</v>
      </c>
      <c r="B393" t="s">
        <v>114</v>
      </c>
      <c r="C393" t="s">
        <v>1174</v>
      </c>
      <c r="D393" t="s">
        <v>1175</v>
      </c>
      <c r="E393" t="s">
        <v>68</v>
      </c>
      <c r="F393" t="s">
        <v>1176</v>
      </c>
      <c r="G393" t="s">
        <v>1177</v>
      </c>
      <c r="H393" s="1">
        <v>46272</v>
      </c>
      <c r="I393" s="6">
        <v>45705</v>
      </c>
      <c r="J393" s="6">
        <v>46438</v>
      </c>
      <c r="K393">
        <v>75</v>
      </c>
      <c r="L393">
        <v>81</v>
      </c>
      <c r="M393">
        <v>17</v>
      </c>
      <c r="N393" s="8">
        <v>5</v>
      </c>
      <c r="O393">
        <v>69</v>
      </c>
      <c r="P393">
        <v>38</v>
      </c>
      <c r="Q393" s="3">
        <v>-0.12</v>
      </c>
      <c r="R393">
        <v>375</v>
      </c>
      <c r="S393">
        <v>345</v>
      </c>
      <c r="T393" t="s">
        <v>3877</v>
      </c>
      <c r="U393" t="s">
        <v>3836</v>
      </c>
      <c r="V393" s="14">
        <v>469</v>
      </c>
      <c r="W393">
        <f t="shared" si="12"/>
        <v>6</v>
      </c>
      <c r="X393">
        <f t="shared" si="13"/>
        <v>85</v>
      </c>
    </row>
    <row r="394" spans="1:24" x14ac:dyDescent="0.35">
      <c r="A394" t="s">
        <v>113</v>
      </c>
      <c r="B394" t="s">
        <v>114</v>
      </c>
      <c r="C394" t="s">
        <v>451</v>
      </c>
      <c r="D394" t="s">
        <v>1347</v>
      </c>
      <c r="E394" t="s">
        <v>21</v>
      </c>
      <c r="F394" t="s">
        <v>1348</v>
      </c>
      <c r="G394" t="s">
        <v>1349</v>
      </c>
      <c r="H394" s="1">
        <v>46306</v>
      </c>
      <c r="I394" s="6">
        <v>45379</v>
      </c>
      <c r="J394" s="6">
        <v>46390</v>
      </c>
      <c r="K394">
        <v>72</v>
      </c>
      <c r="L394">
        <v>78</v>
      </c>
      <c r="M394">
        <v>1</v>
      </c>
      <c r="N394" s="8">
        <v>4</v>
      </c>
      <c r="O394">
        <v>85</v>
      </c>
      <c r="P394">
        <v>30</v>
      </c>
      <c r="Q394" s="3">
        <v>-0.89</v>
      </c>
      <c r="R394">
        <v>288</v>
      </c>
      <c r="S394">
        <v>340</v>
      </c>
      <c r="T394" t="s">
        <v>3877</v>
      </c>
      <c r="U394" t="s">
        <v>3836</v>
      </c>
      <c r="V394" s="14">
        <v>795</v>
      </c>
      <c r="W394">
        <f t="shared" si="12"/>
        <v>6</v>
      </c>
      <c r="X394">
        <f t="shared" si="13"/>
        <v>4</v>
      </c>
    </row>
    <row r="395" spans="1:24" x14ac:dyDescent="0.35">
      <c r="A395" t="s">
        <v>435</v>
      </c>
      <c r="B395" t="s">
        <v>18</v>
      </c>
      <c r="C395" t="s">
        <v>703</v>
      </c>
      <c r="D395" t="s">
        <v>1732</v>
      </c>
      <c r="E395" t="s">
        <v>30</v>
      </c>
      <c r="F395" t="s">
        <v>1733</v>
      </c>
      <c r="G395" t="s">
        <v>1734</v>
      </c>
      <c r="H395" s="1">
        <v>46600</v>
      </c>
      <c r="I395" s="6">
        <v>45682</v>
      </c>
      <c r="J395" s="6">
        <v>46274</v>
      </c>
      <c r="K395">
        <v>81</v>
      </c>
      <c r="L395">
        <v>87</v>
      </c>
      <c r="M395">
        <v>15</v>
      </c>
      <c r="N395" s="8">
        <v>6</v>
      </c>
      <c r="O395">
        <v>94</v>
      </c>
      <c r="P395">
        <v>10</v>
      </c>
      <c r="Q395" s="3">
        <v>-0.14000000000000001</v>
      </c>
      <c r="R395">
        <v>486</v>
      </c>
      <c r="S395">
        <v>564</v>
      </c>
      <c r="T395" t="s">
        <v>3877</v>
      </c>
      <c r="U395" t="s">
        <v>3836</v>
      </c>
      <c r="V395" s="14">
        <v>492</v>
      </c>
      <c r="W395">
        <f t="shared" si="12"/>
        <v>6</v>
      </c>
      <c r="X395">
        <f t="shared" si="13"/>
        <v>90</v>
      </c>
    </row>
    <row r="396" spans="1:24" x14ac:dyDescent="0.35">
      <c r="A396" t="s">
        <v>975</v>
      </c>
      <c r="B396" t="s">
        <v>18</v>
      </c>
      <c r="C396" t="s">
        <v>229</v>
      </c>
      <c r="D396" t="s">
        <v>1758</v>
      </c>
      <c r="E396" t="s">
        <v>68</v>
      </c>
      <c r="F396" t="s">
        <v>1759</v>
      </c>
      <c r="G396" t="s">
        <v>1760</v>
      </c>
      <c r="H396" s="1">
        <v>46631</v>
      </c>
      <c r="I396" s="6">
        <v>45401</v>
      </c>
      <c r="J396" s="6">
        <v>46135</v>
      </c>
      <c r="K396">
        <v>42</v>
      </c>
      <c r="L396">
        <v>48</v>
      </c>
      <c r="M396">
        <v>18</v>
      </c>
      <c r="N396" s="8">
        <v>2</v>
      </c>
      <c r="O396">
        <v>39</v>
      </c>
      <c r="P396">
        <v>57</v>
      </c>
      <c r="Q396" s="3">
        <v>0.54</v>
      </c>
      <c r="R396">
        <v>84</v>
      </c>
      <c r="S396">
        <v>78</v>
      </c>
      <c r="T396" t="s">
        <v>3877</v>
      </c>
      <c r="U396" t="s">
        <v>3838</v>
      </c>
      <c r="V396" s="14">
        <v>773</v>
      </c>
      <c r="W396">
        <f t="shared" si="12"/>
        <v>6</v>
      </c>
      <c r="X396">
        <f t="shared" si="13"/>
        <v>36</v>
      </c>
    </row>
    <row r="397" spans="1:24" x14ac:dyDescent="0.35">
      <c r="A397" t="s">
        <v>685</v>
      </c>
      <c r="B397" t="s">
        <v>114</v>
      </c>
      <c r="C397" t="s">
        <v>1995</v>
      </c>
      <c r="D397" t="s">
        <v>2804</v>
      </c>
      <c r="E397" t="s">
        <v>21</v>
      </c>
      <c r="F397" t="s">
        <v>2805</v>
      </c>
      <c r="G397" t="s">
        <v>2806</v>
      </c>
      <c r="H397" s="1">
        <v>46108</v>
      </c>
      <c r="I397" s="6">
        <v>45428</v>
      </c>
      <c r="J397" s="6">
        <v>46282</v>
      </c>
      <c r="K397">
        <v>50</v>
      </c>
      <c r="L397">
        <v>56</v>
      </c>
      <c r="M397">
        <v>63</v>
      </c>
      <c r="N397" s="8">
        <v>3</v>
      </c>
      <c r="O397">
        <v>70</v>
      </c>
      <c r="P397">
        <v>100</v>
      </c>
      <c r="Q397" s="3">
        <v>-0.57999999999999996</v>
      </c>
      <c r="R397">
        <v>150</v>
      </c>
      <c r="S397">
        <v>210</v>
      </c>
      <c r="T397" t="s">
        <v>3877</v>
      </c>
      <c r="U397" t="s">
        <v>3836</v>
      </c>
      <c r="V397" s="14">
        <v>746</v>
      </c>
      <c r="W397">
        <f t="shared" si="12"/>
        <v>6</v>
      </c>
      <c r="X397">
        <f t="shared" si="13"/>
        <v>189</v>
      </c>
    </row>
    <row r="398" spans="1:24" x14ac:dyDescent="0.35">
      <c r="A398" t="s">
        <v>1234</v>
      </c>
      <c r="B398" t="s">
        <v>27</v>
      </c>
      <c r="C398" t="s">
        <v>1810</v>
      </c>
      <c r="D398" t="s">
        <v>3178</v>
      </c>
      <c r="E398" t="s">
        <v>21</v>
      </c>
      <c r="F398" t="s">
        <v>3179</v>
      </c>
      <c r="G398" t="s">
        <v>3180</v>
      </c>
      <c r="H398" s="1">
        <v>46189</v>
      </c>
      <c r="I398" s="6">
        <v>45441</v>
      </c>
      <c r="J398" s="6">
        <v>46420</v>
      </c>
      <c r="K398">
        <v>32</v>
      </c>
      <c r="L398">
        <v>38</v>
      </c>
      <c r="M398">
        <v>23</v>
      </c>
      <c r="N398" s="8">
        <v>2.5</v>
      </c>
      <c r="O398">
        <v>52</v>
      </c>
      <c r="P398">
        <v>11</v>
      </c>
      <c r="Q398" s="3">
        <v>0.65</v>
      </c>
      <c r="R398">
        <v>80</v>
      </c>
      <c r="S398">
        <v>130</v>
      </c>
      <c r="T398" t="s">
        <v>3877</v>
      </c>
      <c r="U398" t="s">
        <v>3836</v>
      </c>
      <c r="V398" s="14">
        <v>733</v>
      </c>
      <c r="W398">
        <f t="shared" si="12"/>
        <v>6</v>
      </c>
      <c r="X398">
        <f t="shared" si="13"/>
        <v>57.5</v>
      </c>
    </row>
    <row r="399" spans="1:24" x14ac:dyDescent="0.35">
      <c r="A399" t="s">
        <v>222</v>
      </c>
      <c r="B399" t="s">
        <v>65</v>
      </c>
      <c r="C399" t="s">
        <v>2771</v>
      </c>
      <c r="D399" t="s">
        <v>3347</v>
      </c>
      <c r="E399" t="s">
        <v>30</v>
      </c>
      <c r="F399" t="s">
        <v>3348</v>
      </c>
      <c r="G399" t="s">
        <v>3349</v>
      </c>
      <c r="H399" s="1">
        <v>46220</v>
      </c>
      <c r="I399" s="6">
        <v>45605</v>
      </c>
      <c r="J399" s="6">
        <v>46407</v>
      </c>
      <c r="K399">
        <v>71</v>
      </c>
      <c r="L399">
        <v>77</v>
      </c>
      <c r="M399">
        <v>30</v>
      </c>
      <c r="N399" s="8">
        <v>1.5</v>
      </c>
      <c r="O399">
        <v>34</v>
      </c>
      <c r="P399">
        <v>57</v>
      </c>
      <c r="Q399" s="3">
        <v>-0.22</v>
      </c>
      <c r="R399">
        <v>106.5</v>
      </c>
      <c r="S399">
        <v>51</v>
      </c>
      <c r="T399" t="s">
        <v>3877</v>
      </c>
      <c r="U399" t="s">
        <v>3836</v>
      </c>
      <c r="V399" s="14">
        <v>569</v>
      </c>
      <c r="W399">
        <f t="shared" si="12"/>
        <v>6</v>
      </c>
      <c r="X399">
        <f t="shared" si="13"/>
        <v>45</v>
      </c>
    </row>
    <row r="400" spans="1:24" x14ac:dyDescent="0.35">
      <c r="A400" t="s">
        <v>388</v>
      </c>
      <c r="B400" t="s">
        <v>75</v>
      </c>
      <c r="C400" t="s">
        <v>213</v>
      </c>
      <c r="D400" t="s">
        <v>3376</v>
      </c>
      <c r="E400" t="s">
        <v>30</v>
      </c>
      <c r="F400" t="s">
        <v>3377</v>
      </c>
      <c r="G400" t="s">
        <v>3378</v>
      </c>
      <c r="H400" s="1">
        <v>46223</v>
      </c>
      <c r="I400" s="6">
        <v>45378</v>
      </c>
      <c r="J400" s="6">
        <v>46120</v>
      </c>
      <c r="K400">
        <v>11</v>
      </c>
      <c r="L400">
        <v>17</v>
      </c>
      <c r="M400">
        <v>59</v>
      </c>
      <c r="N400" s="8">
        <v>6</v>
      </c>
      <c r="O400">
        <v>69</v>
      </c>
      <c r="P400">
        <v>100</v>
      </c>
      <c r="Q400" s="3">
        <v>0.97</v>
      </c>
      <c r="R400">
        <v>66</v>
      </c>
      <c r="S400">
        <v>414</v>
      </c>
      <c r="T400" t="s">
        <v>3877</v>
      </c>
      <c r="U400" t="s">
        <v>3838</v>
      </c>
      <c r="V400" s="14">
        <v>796</v>
      </c>
      <c r="W400">
        <f t="shared" si="12"/>
        <v>6</v>
      </c>
      <c r="X400">
        <f t="shared" si="13"/>
        <v>354</v>
      </c>
    </row>
    <row r="401" spans="1:24" x14ac:dyDescent="0.35">
      <c r="A401" t="s">
        <v>296</v>
      </c>
      <c r="B401" t="s">
        <v>27</v>
      </c>
      <c r="C401" t="s">
        <v>1987</v>
      </c>
      <c r="D401" t="s">
        <v>3540</v>
      </c>
      <c r="E401" t="s">
        <v>30</v>
      </c>
      <c r="F401" t="s">
        <v>3541</v>
      </c>
      <c r="G401" t="s">
        <v>3542</v>
      </c>
      <c r="H401" s="1">
        <v>46251</v>
      </c>
      <c r="I401" s="6">
        <v>45501</v>
      </c>
      <c r="J401" s="6">
        <v>46349</v>
      </c>
      <c r="K401">
        <v>35</v>
      </c>
      <c r="L401">
        <v>41</v>
      </c>
      <c r="M401">
        <v>84</v>
      </c>
      <c r="N401" s="8">
        <v>1.8</v>
      </c>
      <c r="O401">
        <v>62</v>
      </c>
      <c r="P401">
        <v>14</v>
      </c>
      <c r="Q401" s="3">
        <v>-0.19</v>
      </c>
      <c r="R401">
        <v>63</v>
      </c>
      <c r="S401">
        <v>111.60000000000001</v>
      </c>
      <c r="T401" t="s">
        <v>3877</v>
      </c>
      <c r="U401" t="s">
        <v>3836</v>
      </c>
      <c r="V401" s="14">
        <v>673</v>
      </c>
      <c r="W401">
        <f t="shared" si="12"/>
        <v>6</v>
      </c>
      <c r="X401">
        <f t="shared" si="13"/>
        <v>151.20000000000002</v>
      </c>
    </row>
    <row r="402" spans="1:24" x14ac:dyDescent="0.35">
      <c r="A402" t="s">
        <v>1415</v>
      </c>
      <c r="B402" t="s">
        <v>114</v>
      </c>
      <c r="C402" t="s">
        <v>899</v>
      </c>
      <c r="D402" t="s">
        <v>3586</v>
      </c>
      <c r="E402" t="s">
        <v>30</v>
      </c>
      <c r="F402" t="s">
        <v>3587</v>
      </c>
      <c r="G402" t="s">
        <v>3588</v>
      </c>
      <c r="H402" s="1">
        <v>46256</v>
      </c>
      <c r="I402" s="6">
        <v>45538</v>
      </c>
      <c r="J402" s="6">
        <v>46407</v>
      </c>
      <c r="K402">
        <v>56</v>
      </c>
      <c r="L402">
        <v>62</v>
      </c>
      <c r="M402">
        <v>64</v>
      </c>
      <c r="N402" s="8">
        <v>2.5</v>
      </c>
      <c r="O402">
        <v>56</v>
      </c>
      <c r="P402">
        <v>73</v>
      </c>
      <c r="Q402" s="3">
        <v>-0.76</v>
      </c>
      <c r="R402">
        <v>140</v>
      </c>
      <c r="S402">
        <v>140</v>
      </c>
      <c r="T402" t="s">
        <v>3877</v>
      </c>
      <c r="U402" t="s">
        <v>3836</v>
      </c>
      <c r="V402" s="14">
        <v>636</v>
      </c>
      <c r="W402">
        <f t="shared" si="12"/>
        <v>6</v>
      </c>
      <c r="X402">
        <f t="shared" si="13"/>
        <v>160</v>
      </c>
    </row>
    <row r="403" spans="1:24" x14ac:dyDescent="0.35">
      <c r="A403" t="s">
        <v>222</v>
      </c>
      <c r="B403" t="s">
        <v>65</v>
      </c>
      <c r="C403" t="s">
        <v>908</v>
      </c>
      <c r="D403" t="s">
        <v>3612</v>
      </c>
      <c r="E403" t="s">
        <v>21</v>
      </c>
      <c r="F403" t="s">
        <v>3613</v>
      </c>
      <c r="G403" t="s">
        <v>3614</v>
      </c>
      <c r="H403" s="1">
        <v>46259</v>
      </c>
      <c r="I403" s="6">
        <v>45705</v>
      </c>
      <c r="J403" s="6">
        <v>46325</v>
      </c>
      <c r="K403">
        <v>57</v>
      </c>
      <c r="L403">
        <v>63</v>
      </c>
      <c r="M403">
        <v>41</v>
      </c>
      <c r="N403" s="8">
        <v>1.5</v>
      </c>
      <c r="O403">
        <v>53</v>
      </c>
      <c r="P403">
        <v>94</v>
      </c>
      <c r="Q403" s="3">
        <v>0.65</v>
      </c>
      <c r="R403">
        <v>85.5</v>
      </c>
      <c r="S403">
        <v>79.5</v>
      </c>
      <c r="T403" t="s">
        <v>3877</v>
      </c>
      <c r="U403" t="s">
        <v>3836</v>
      </c>
      <c r="V403" s="14">
        <v>469</v>
      </c>
      <c r="W403">
        <f t="shared" si="12"/>
        <v>6</v>
      </c>
      <c r="X403">
        <f t="shared" si="13"/>
        <v>61.5</v>
      </c>
    </row>
    <row r="404" spans="1:24" x14ac:dyDescent="0.35">
      <c r="A404" t="s">
        <v>532</v>
      </c>
      <c r="B404" t="s">
        <v>75</v>
      </c>
      <c r="C404" t="s">
        <v>696</v>
      </c>
      <c r="D404" t="s">
        <v>3768</v>
      </c>
      <c r="E404" t="s">
        <v>21</v>
      </c>
      <c r="F404" t="s">
        <v>3769</v>
      </c>
      <c r="G404" t="s">
        <v>3770</v>
      </c>
      <c r="H404" s="1">
        <v>46289</v>
      </c>
      <c r="I404" s="6">
        <v>45479</v>
      </c>
      <c r="J404" s="6">
        <v>46310</v>
      </c>
      <c r="K404">
        <v>89</v>
      </c>
      <c r="L404">
        <v>95</v>
      </c>
      <c r="M404">
        <v>41</v>
      </c>
      <c r="N404" s="8">
        <v>18</v>
      </c>
      <c r="O404">
        <v>76</v>
      </c>
      <c r="P404">
        <v>96</v>
      </c>
      <c r="Q404" s="3">
        <v>-0.43</v>
      </c>
      <c r="R404">
        <v>1602</v>
      </c>
      <c r="S404">
        <v>1368</v>
      </c>
      <c r="T404" t="s">
        <v>3877</v>
      </c>
      <c r="U404" t="s">
        <v>3836</v>
      </c>
      <c r="V404" s="14">
        <v>695</v>
      </c>
      <c r="W404">
        <f t="shared" si="12"/>
        <v>6</v>
      </c>
      <c r="X404">
        <f t="shared" si="13"/>
        <v>738</v>
      </c>
    </row>
    <row r="405" spans="1:24" x14ac:dyDescent="0.35">
      <c r="A405" t="s">
        <v>154</v>
      </c>
      <c r="B405" t="s">
        <v>65</v>
      </c>
      <c r="C405" t="s">
        <v>155</v>
      </c>
      <c r="D405" t="s">
        <v>156</v>
      </c>
      <c r="E405" t="s">
        <v>30</v>
      </c>
      <c r="F405" t="s">
        <v>157</v>
      </c>
      <c r="G405" t="s">
        <v>158</v>
      </c>
      <c r="H405" s="1">
        <v>46032</v>
      </c>
      <c r="I405" s="6">
        <v>45499</v>
      </c>
      <c r="J405" s="6">
        <v>46280</v>
      </c>
      <c r="K405">
        <v>38</v>
      </c>
      <c r="L405">
        <v>43</v>
      </c>
      <c r="M405">
        <v>28</v>
      </c>
      <c r="N405" s="8">
        <v>2.7</v>
      </c>
      <c r="O405">
        <v>34</v>
      </c>
      <c r="P405">
        <v>54</v>
      </c>
      <c r="Q405" s="2">
        <v>2.6100000000000002E-2</v>
      </c>
      <c r="R405">
        <v>102.60000000000001</v>
      </c>
      <c r="S405">
        <v>91.800000000000011</v>
      </c>
      <c r="T405" t="s">
        <v>3877</v>
      </c>
      <c r="U405" t="s">
        <v>3836</v>
      </c>
      <c r="V405" s="14">
        <v>675</v>
      </c>
      <c r="W405">
        <f t="shared" si="12"/>
        <v>5</v>
      </c>
      <c r="X405">
        <f t="shared" si="13"/>
        <v>75.600000000000009</v>
      </c>
    </row>
    <row r="406" spans="1:24" x14ac:dyDescent="0.35">
      <c r="A406" t="s">
        <v>480</v>
      </c>
      <c r="B406" t="s">
        <v>36</v>
      </c>
      <c r="C406" t="s">
        <v>481</v>
      </c>
      <c r="D406" t="s">
        <v>482</v>
      </c>
      <c r="E406" t="s">
        <v>68</v>
      </c>
      <c r="F406" t="s">
        <v>483</v>
      </c>
      <c r="G406" t="s">
        <v>484</v>
      </c>
      <c r="H406" s="1">
        <v>46115</v>
      </c>
      <c r="I406" s="6">
        <v>45636</v>
      </c>
      <c r="J406" s="6">
        <v>46273</v>
      </c>
      <c r="K406">
        <v>76</v>
      </c>
      <c r="L406">
        <v>81</v>
      </c>
      <c r="M406">
        <v>85</v>
      </c>
      <c r="N406" s="8">
        <v>4</v>
      </c>
      <c r="O406">
        <v>65</v>
      </c>
      <c r="P406">
        <v>68</v>
      </c>
      <c r="Q406" s="3">
        <v>0.06</v>
      </c>
      <c r="R406">
        <v>304</v>
      </c>
      <c r="S406">
        <v>260</v>
      </c>
      <c r="T406" t="s">
        <v>3877</v>
      </c>
      <c r="U406" t="s">
        <v>3836</v>
      </c>
      <c r="V406" s="14">
        <v>538</v>
      </c>
      <c r="W406">
        <f t="shared" si="12"/>
        <v>5</v>
      </c>
      <c r="X406">
        <f t="shared" si="13"/>
        <v>340</v>
      </c>
    </row>
    <row r="407" spans="1:24" x14ac:dyDescent="0.35">
      <c r="A407" t="s">
        <v>842</v>
      </c>
      <c r="B407" t="s">
        <v>75</v>
      </c>
      <c r="C407" t="s">
        <v>794</v>
      </c>
      <c r="D407" t="s">
        <v>843</v>
      </c>
      <c r="E407" t="s">
        <v>30</v>
      </c>
      <c r="F407" t="s">
        <v>844</v>
      </c>
      <c r="G407" t="s">
        <v>845</v>
      </c>
      <c r="H407" s="1">
        <v>46180</v>
      </c>
      <c r="I407" s="6">
        <v>45568</v>
      </c>
      <c r="J407" s="6">
        <v>46258</v>
      </c>
      <c r="K407">
        <v>75</v>
      </c>
      <c r="L407">
        <v>80</v>
      </c>
      <c r="M407">
        <v>87</v>
      </c>
      <c r="N407" s="8">
        <v>9</v>
      </c>
      <c r="O407">
        <v>49</v>
      </c>
      <c r="P407">
        <v>40</v>
      </c>
      <c r="Q407" s="3">
        <v>0.64</v>
      </c>
      <c r="R407">
        <v>675</v>
      </c>
      <c r="S407">
        <v>441</v>
      </c>
      <c r="T407" t="s">
        <v>3877</v>
      </c>
      <c r="U407" t="s">
        <v>3836</v>
      </c>
      <c r="V407" s="14">
        <v>606</v>
      </c>
      <c r="W407">
        <f t="shared" si="12"/>
        <v>5</v>
      </c>
      <c r="X407">
        <f t="shared" si="13"/>
        <v>783</v>
      </c>
    </row>
    <row r="408" spans="1:24" x14ac:dyDescent="0.35">
      <c r="A408" t="s">
        <v>880</v>
      </c>
      <c r="B408" t="s">
        <v>27</v>
      </c>
      <c r="C408" t="s">
        <v>937</v>
      </c>
      <c r="D408" t="s">
        <v>938</v>
      </c>
      <c r="E408" t="s">
        <v>21</v>
      </c>
      <c r="F408" t="s">
        <v>939</v>
      </c>
      <c r="G408" t="s">
        <v>940</v>
      </c>
      <c r="H408" s="1">
        <v>46208</v>
      </c>
      <c r="I408" s="6">
        <v>45650</v>
      </c>
      <c r="J408" s="6">
        <v>46182</v>
      </c>
      <c r="K408">
        <v>46</v>
      </c>
      <c r="L408">
        <v>51</v>
      </c>
      <c r="M408">
        <v>92</v>
      </c>
      <c r="N408" s="8">
        <v>2.2999999999999998</v>
      </c>
      <c r="O408">
        <v>47</v>
      </c>
      <c r="P408">
        <v>25</v>
      </c>
      <c r="Q408" s="3">
        <v>-0.38</v>
      </c>
      <c r="R408">
        <v>105.8</v>
      </c>
      <c r="S408">
        <v>108.1</v>
      </c>
      <c r="T408" t="s">
        <v>3877</v>
      </c>
      <c r="U408" t="s">
        <v>3837</v>
      </c>
      <c r="V408" s="14">
        <v>524</v>
      </c>
      <c r="W408">
        <f t="shared" si="12"/>
        <v>5</v>
      </c>
      <c r="X408">
        <f t="shared" si="13"/>
        <v>211.6</v>
      </c>
    </row>
    <row r="409" spans="1:24" x14ac:dyDescent="0.35">
      <c r="A409" t="s">
        <v>188</v>
      </c>
      <c r="B409" t="s">
        <v>65</v>
      </c>
      <c r="C409" t="s">
        <v>666</v>
      </c>
      <c r="D409" t="s">
        <v>1102</v>
      </c>
      <c r="E409" t="s">
        <v>21</v>
      </c>
      <c r="F409" t="s">
        <v>1103</v>
      </c>
      <c r="G409" t="s">
        <v>1104</v>
      </c>
      <c r="H409" s="1">
        <v>46244</v>
      </c>
      <c r="I409" s="6">
        <v>45475</v>
      </c>
      <c r="J409" s="6">
        <v>46290</v>
      </c>
      <c r="K409">
        <v>20</v>
      </c>
      <c r="L409">
        <v>25</v>
      </c>
      <c r="M409">
        <v>73</v>
      </c>
      <c r="N409" s="8">
        <v>4.75</v>
      </c>
      <c r="O409">
        <v>78</v>
      </c>
      <c r="P409">
        <v>1</v>
      </c>
      <c r="Q409" s="3">
        <v>-0.34</v>
      </c>
      <c r="R409">
        <v>95</v>
      </c>
      <c r="S409">
        <v>370.5</v>
      </c>
      <c r="T409" t="s">
        <v>3877</v>
      </c>
      <c r="U409" t="s">
        <v>3836</v>
      </c>
      <c r="V409" s="14">
        <v>699</v>
      </c>
      <c r="W409">
        <f t="shared" si="12"/>
        <v>5</v>
      </c>
      <c r="X409">
        <f t="shared" si="13"/>
        <v>346.75</v>
      </c>
    </row>
    <row r="410" spans="1:24" x14ac:dyDescent="0.35">
      <c r="A410" t="s">
        <v>1900</v>
      </c>
      <c r="B410" t="s">
        <v>75</v>
      </c>
      <c r="C410" t="s">
        <v>2172</v>
      </c>
      <c r="D410" t="s">
        <v>2562</v>
      </c>
      <c r="E410" t="s">
        <v>30</v>
      </c>
      <c r="F410" t="s">
        <v>2563</v>
      </c>
      <c r="G410" t="s">
        <v>2564</v>
      </c>
      <c r="H410" s="1">
        <v>46432</v>
      </c>
      <c r="I410" s="6">
        <v>45515</v>
      </c>
      <c r="J410" s="6">
        <v>46380</v>
      </c>
      <c r="K410">
        <v>91</v>
      </c>
      <c r="L410">
        <v>96</v>
      </c>
      <c r="M410">
        <v>90</v>
      </c>
      <c r="N410" s="8">
        <v>7.5</v>
      </c>
      <c r="O410">
        <v>90</v>
      </c>
      <c r="P410">
        <v>75</v>
      </c>
      <c r="Q410" s="3">
        <v>0.8</v>
      </c>
      <c r="R410">
        <v>682.5</v>
      </c>
      <c r="S410">
        <v>675</v>
      </c>
      <c r="T410" t="s">
        <v>3877</v>
      </c>
      <c r="U410" t="s">
        <v>3836</v>
      </c>
      <c r="V410" s="14">
        <v>659</v>
      </c>
      <c r="W410">
        <f t="shared" si="12"/>
        <v>5</v>
      </c>
      <c r="X410">
        <f t="shared" si="13"/>
        <v>675</v>
      </c>
    </row>
    <row r="411" spans="1:24" x14ac:dyDescent="0.35">
      <c r="A411" t="s">
        <v>1623</v>
      </c>
      <c r="B411" t="s">
        <v>36</v>
      </c>
      <c r="C411" t="s">
        <v>59</v>
      </c>
      <c r="D411" t="s">
        <v>2613</v>
      </c>
      <c r="E411" t="s">
        <v>30</v>
      </c>
      <c r="F411" t="s">
        <v>2614</v>
      </c>
      <c r="G411" t="s">
        <v>2615</v>
      </c>
      <c r="H411" s="1">
        <v>46439</v>
      </c>
      <c r="I411" s="6">
        <v>45560</v>
      </c>
      <c r="J411" s="6">
        <v>46244</v>
      </c>
      <c r="K411">
        <v>57</v>
      </c>
      <c r="L411">
        <v>62</v>
      </c>
      <c r="M411">
        <v>72</v>
      </c>
      <c r="N411" s="8">
        <v>4</v>
      </c>
      <c r="O411">
        <v>23</v>
      </c>
      <c r="P411">
        <v>4</v>
      </c>
      <c r="Q411" s="3">
        <v>0.71</v>
      </c>
      <c r="R411">
        <v>228</v>
      </c>
      <c r="S411">
        <v>92</v>
      </c>
      <c r="T411" t="s">
        <v>3877</v>
      </c>
      <c r="U411" t="s">
        <v>3836</v>
      </c>
      <c r="V411" s="14">
        <v>614</v>
      </c>
      <c r="W411">
        <f t="shared" si="12"/>
        <v>5</v>
      </c>
      <c r="X411">
        <f t="shared" si="13"/>
        <v>288</v>
      </c>
    </row>
    <row r="412" spans="1:24" x14ac:dyDescent="0.35">
      <c r="A412" t="s">
        <v>113</v>
      </c>
      <c r="B412" t="s">
        <v>114</v>
      </c>
      <c r="C412" t="s">
        <v>229</v>
      </c>
      <c r="D412" t="s">
        <v>2928</v>
      </c>
      <c r="E412" t="s">
        <v>68</v>
      </c>
      <c r="F412" t="s">
        <v>2929</v>
      </c>
      <c r="G412" t="s">
        <v>2930</v>
      </c>
      <c r="H412" s="1">
        <v>46132</v>
      </c>
      <c r="I412" s="6">
        <v>45522</v>
      </c>
      <c r="J412" s="6">
        <v>46436</v>
      </c>
      <c r="K412">
        <v>38</v>
      </c>
      <c r="L412">
        <v>43</v>
      </c>
      <c r="M412">
        <v>91</v>
      </c>
      <c r="N412" s="8">
        <v>4</v>
      </c>
      <c r="O412">
        <v>72</v>
      </c>
      <c r="P412">
        <v>64</v>
      </c>
      <c r="Q412" s="3">
        <v>0.02</v>
      </c>
      <c r="R412">
        <v>152</v>
      </c>
      <c r="S412">
        <v>288</v>
      </c>
      <c r="T412" t="s">
        <v>3877</v>
      </c>
      <c r="U412" t="s">
        <v>3836</v>
      </c>
      <c r="V412" s="14">
        <v>652</v>
      </c>
      <c r="W412">
        <f t="shared" si="12"/>
        <v>5</v>
      </c>
      <c r="X412">
        <f t="shared" si="13"/>
        <v>364</v>
      </c>
    </row>
    <row r="413" spans="1:24" x14ac:dyDescent="0.35">
      <c r="A413" t="s">
        <v>557</v>
      </c>
      <c r="B413" t="s">
        <v>18</v>
      </c>
      <c r="C413" t="s">
        <v>3093</v>
      </c>
      <c r="D413" t="s">
        <v>3094</v>
      </c>
      <c r="E413" t="s">
        <v>30</v>
      </c>
      <c r="F413" t="s">
        <v>3095</v>
      </c>
      <c r="G413" t="s">
        <v>3096</v>
      </c>
      <c r="H413" s="1">
        <v>46167</v>
      </c>
      <c r="I413" s="6">
        <v>45446</v>
      </c>
      <c r="J413" s="6">
        <v>46233</v>
      </c>
      <c r="K413">
        <v>85</v>
      </c>
      <c r="L413">
        <v>90</v>
      </c>
      <c r="M413">
        <v>16</v>
      </c>
      <c r="N413" s="8">
        <v>5</v>
      </c>
      <c r="O413">
        <v>61</v>
      </c>
      <c r="P413">
        <v>80</v>
      </c>
      <c r="Q413" s="3">
        <v>-2.21</v>
      </c>
      <c r="R413">
        <v>425</v>
      </c>
      <c r="S413">
        <v>305</v>
      </c>
      <c r="T413" t="s">
        <v>3877</v>
      </c>
      <c r="U413" t="s">
        <v>3836</v>
      </c>
      <c r="V413" s="14">
        <v>728</v>
      </c>
      <c r="W413">
        <f t="shared" si="12"/>
        <v>5</v>
      </c>
      <c r="X413">
        <f t="shared" si="13"/>
        <v>80</v>
      </c>
    </row>
    <row r="414" spans="1:24" x14ac:dyDescent="0.35">
      <c r="A414" t="s">
        <v>74</v>
      </c>
      <c r="B414" t="s">
        <v>75</v>
      </c>
      <c r="C414" t="s">
        <v>302</v>
      </c>
      <c r="D414" t="s">
        <v>303</v>
      </c>
      <c r="E414" t="s">
        <v>21</v>
      </c>
      <c r="F414" t="s">
        <v>304</v>
      </c>
      <c r="G414" t="s">
        <v>305</v>
      </c>
      <c r="H414" s="1">
        <v>46062</v>
      </c>
      <c r="I414" s="6">
        <v>45347</v>
      </c>
      <c r="J414" s="6">
        <v>46433</v>
      </c>
      <c r="K414">
        <v>60</v>
      </c>
      <c r="L414">
        <v>64</v>
      </c>
      <c r="M414">
        <v>36</v>
      </c>
      <c r="N414" s="8">
        <v>10</v>
      </c>
      <c r="O414">
        <v>34</v>
      </c>
      <c r="P414">
        <v>48</v>
      </c>
      <c r="Q414" s="2">
        <v>1.14E-2</v>
      </c>
      <c r="R414">
        <v>600</v>
      </c>
      <c r="S414">
        <v>340</v>
      </c>
      <c r="T414" t="s">
        <v>3877</v>
      </c>
      <c r="U414" t="s">
        <v>3836</v>
      </c>
      <c r="V414" s="14">
        <v>827</v>
      </c>
      <c r="W414">
        <f t="shared" si="12"/>
        <v>4</v>
      </c>
      <c r="X414">
        <f t="shared" si="13"/>
        <v>360</v>
      </c>
    </row>
    <row r="415" spans="1:24" x14ac:dyDescent="0.35">
      <c r="A415" t="s">
        <v>122</v>
      </c>
      <c r="B415" t="s">
        <v>18</v>
      </c>
      <c r="C415" t="s">
        <v>538</v>
      </c>
      <c r="D415" t="s">
        <v>539</v>
      </c>
      <c r="E415" t="s">
        <v>21</v>
      </c>
      <c r="F415" t="s">
        <v>540</v>
      </c>
      <c r="G415" t="s">
        <v>541</v>
      </c>
      <c r="H415" s="1">
        <v>46119</v>
      </c>
      <c r="I415" s="6">
        <v>45560</v>
      </c>
      <c r="J415" s="6">
        <v>46198</v>
      </c>
      <c r="K415">
        <v>87</v>
      </c>
      <c r="L415">
        <v>91</v>
      </c>
      <c r="M415">
        <v>94</v>
      </c>
      <c r="N415" s="8">
        <v>2.5</v>
      </c>
      <c r="O415">
        <v>47</v>
      </c>
      <c r="P415">
        <v>4</v>
      </c>
      <c r="Q415" s="3">
        <v>0.56000000000000005</v>
      </c>
      <c r="R415">
        <v>217.5</v>
      </c>
      <c r="S415">
        <v>117.5</v>
      </c>
      <c r="T415" t="s">
        <v>3877</v>
      </c>
      <c r="U415" t="s">
        <v>3837</v>
      </c>
      <c r="V415" s="14">
        <v>614</v>
      </c>
      <c r="W415">
        <f t="shared" si="12"/>
        <v>4</v>
      </c>
      <c r="X415">
        <f t="shared" si="13"/>
        <v>235</v>
      </c>
    </row>
    <row r="416" spans="1:24" x14ac:dyDescent="0.35">
      <c r="A416" t="s">
        <v>418</v>
      </c>
      <c r="B416" t="s">
        <v>65</v>
      </c>
      <c r="C416" t="s">
        <v>37</v>
      </c>
      <c r="D416" t="s">
        <v>586</v>
      </c>
      <c r="E416" t="s">
        <v>30</v>
      </c>
      <c r="F416" t="s">
        <v>587</v>
      </c>
      <c r="G416" t="s">
        <v>588</v>
      </c>
      <c r="H416" s="1">
        <v>46123</v>
      </c>
      <c r="I416" s="6">
        <v>45645</v>
      </c>
      <c r="J416" s="6">
        <v>46134</v>
      </c>
      <c r="K416">
        <v>30</v>
      </c>
      <c r="L416">
        <v>34</v>
      </c>
      <c r="M416">
        <v>96</v>
      </c>
      <c r="N416" s="8">
        <v>6.3</v>
      </c>
      <c r="O416">
        <v>61</v>
      </c>
      <c r="P416">
        <v>13</v>
      </c>
      <c r="Q416" s="3">
        <v>-0.51</v>
      </c>
      <c r="R416">
        <v>189</v>
      </c>
      <c r="S416">
        <v>384.3</v>
      </c>
      <c r="T416" t="s">
        <v>3877</v>
      </c>
      <c r="U416" t="s">
        <v>3838</v>
      </c>
      <c r="V416" s="14">
        <v>529</v>
      </c>
      <c r="W416">
        <f t="shared" si="12"/>
        <v>4</v>
      </c>
      <c r="X416">
        <f t="shared" si="13"/>
        <v>604.79999999999995</v>
      </c>
    </row>
    <row r="417" spans="1:24" x14ac:dyDescent="0.35">
      <c r="A417" t="s">
        <v>975</v>
      </c>
      <c r="B417" t="s">
        <v>18</v>
      </c>
      <c r="C417" t="s">
        <v>1507</v>
      </c>
      <c r="D417" t="s">
        <v>2063</v>
      </c>
      <c r="E417" t="s">
        <v>68</v>
      </c>
      <c r="F417" t="s">
        <v>2064</v>
      </c>
      <c r="G417" t="s">
        <v>2065</v>
      </c>
      <c r="H417" s="1">
        <v>46315</v>
      </c>
      <c r="I417" s="6">
        <v>45350</v>
      </c>
      <c r="J417" s="6">
        <v>46272</v>
      </c>
      <c r="K417">
        <v>86</v>
      </c>
      <c r="L417">
        <v>90</v>
      </c>
      <c r="M417">
        <v>39</v>
      </c>
      <c r="N417" s="8">
        <v>2.1</v>
      </c>
      <c r="O417">
        <v>98</v>
      </c>
      <c r="P417">
        <v>85</v>
      </c>
      <c r="Q417" s="3">
        <v>-3.14</v>
      </c>
      <c r="R417">
        <v>180.6</v>
      </c>
      <c r="S417">
        <v>205.8</v>
      </c>
      <c r="T417" t="s">
        <v>3877</v>
      </c>
      <c r="U417" t="s">
        <v>3836</v>
      </c>
      <c r="V417" s="14">
        <v>824</v>
      </c>
      <c r="W417">
        <f t="shared" si="12"/>
        <v>4</v>
      </c>
      <c r="X417">
        <f t="shared" si="13"/>
        <v>81.900000000000006</v>
      </c>
    </row>
    <row r="418" spans="1:24" x14ac:dyDescent="0.35">
      <c r="A418" t="s">
        <v>435</v>
      </c>
      <c r="B418" t="s">
        <v>18</v>
      </c>
      <c r="C418" t="s">
        <v>265</v>
      </c>
      <c r="D418" t="s">
        <v>2257</v>
      </c>
      <c r="E418" t="s">
        <v>21</v>
      </c>
      <c r="F418" t="s">
        <v>2258</v>
      </c>
      <c r="G418" t="s">
        <v>2259</v>
      </c>
      <c r="H418" s="1">
        <v>46344</v>
      </c>
      <c r="I418" s="6">
        <v>45468</v>
      </c>
      <c r="J418" s="6">
        <v>46223</v>
      </c>
      <c r="K418">
        <v>92</v>
      </c>
      <c r="L418">
        <v>96</v>
      </c>
      <c r="M418">
        <v>56</v>
      </c>
      <c r="N418" s="8">
        <v>6</v>
      </c>
      <c r="O418">
        <v>32</v>
      </c>
      <c r="P418">
        <v>22</v>
      </c>
      <c r="Q418" s="3">
        <v>-1.56</v>
      </c>
      <c r="R418">
        <v>552</v>
      </c>
      <c r="S418">
        <v>192</v>
      </c>
      <c r="T418" t="s">
        <v>3877</v>
      </c>
      <c r="U418" t="s">
        <v>3836</v>
      </c>
      <c r="V418" s="14">
        <v>706</v>
      </c>
      <c r="W418">
        <f t="shared" si="12"/>
        <v>4</v>
      </c>
      <c r="X418">
        <f t="shared" si="13"/>
        <v>336</v>
      </c>
    </row>
    <row r="419" spans="1:24" x14ac:dyDescent="0.35">
      <c r="A419" t="s">
        <v>842</v>
      </c>
      <c r="B419" t="s">
        <v>75</v>
      </c>
      <c r="C419" t="s">
        <v>218</v>
      </c>
      <c r="D419" t="s">
        <v>2422</v>
      </c>
      <c r="E419" t="s">
        <v>30</v>
      </c>
      <c r="F419" t="s">
        <v>2423</v>
      </c>
      <c r="G419" t="s">
        <v>2424</v>
      </c>
      <c r="H419" s="1">
        <v>46375</v>
      </c>
      <c r="I419" s="6">
        <v>45396</v>
      </c>
      <c r="J419" s="6">
        <v>46211</v>
      </c>
      <c r="K419">
        <v>67</v>
      </c>
      <c r="L419">
        <v>71</v>
      </c>
      <c r="M419">
        <v>4</v>
      </c>
      <c r="N419" s="8">
        <v>9</v>
      </c>
      <c r="O419">
        <v>76</v>
      </c>
      <c r="P419">
        <v>34</v>
      </c>
      <c r="Q419" s="3">
        <v>0.48</v>
      </c>
      <c r="R419">
        <v>603</v>
      </c>
      <c r="S419">
        <v>684</v>
      </c>
      <c r="T419" t="s">
        <v>3877</v>
      </c>
      <c r="U419" t="s">
        <v>3836</v>
      </c>
      <c r="V419" s="14">
        <v>778</v>
      </c>
      <c r="W419">
        <f t="shared" si="12"/>
        <v>4</v>
      </c>
      <c r="X419">
        <f t="shared" si="13"/>
        <v>36</v>
      </c>
    </row>
    <row r="420" spans="1:24" x14ac:dyDescent="0.35">
      <c r="A420" t="s">
        <v>1234</v>
      </c>
      <c r="B420" t="s">
        <v>27</v>
      </c>
      <c r="C420" t="s">
        <v>787</v>
      </c>
      <c r="D420" t="s">
        <v>2444</v>
      </c>
      <c r="E420" t="s">
        <v>21</v>
      </c>
      <c r="F420" t="s">
        <v>2445</v>
      </c>
      <c r="G420" t="s">
        <v>2446</v>
      </c>
      <c r="H420" s="1">
        <v>46378</v>
      </c>
      <c r="I420" s="6">
        <v>45414</v>
      </c>
      <c r="J420" s="6">
        <v>46362</v>
      </c>
      <c r="K420">
        <v>28</v>
      </c>
      <c r="L420">
        <v>32</v>
      </c>
      <c r="M420">
        <v>71</v>
      </c>
      <c r="N420" s="8">
        <v>2.5</v>
      </c>
      <c r="O420">
        <v>32</v>
      </c>
      <c r="P420">
        <v>49</v>
      </c>
      <c r="Q420" s="3">
        <v>-0.06</v>
      </c>
      <c r="R420">
        <v>70</v>
      </c>
      <c r="S420">
        <v>80</v>
      </c>
      <c r="T420" t="s">
        <v>3877</v>
      </c>
      <c r="U420" t="s">
        <v>3836</v>
      </c>
      <c r="V420" s="14">
        <v>760</v>
      </c>
      <c r="W420">
        <f t="shared" si="12"/>
        <v>4</v>
      </c>
      <c r="X420">
        <f t="shared" si="13"/>
        <v>177.5</v>
      </c>
    </row>
    <row r="421" spans="1:24" x14ac:dyDescent="0.35">
      <c r="A421" t="s">
        <v>708</v>
      </c>
      <c r="B421" t="s">
        <v>163</v>
      </c>
      <c r="C421" t="s">
        <v>1851</v>
      </c>
      <c r="D421" t="s">
        <v>2513</v>
      </c>
      <c r="E421" t="s">
        <v>30</v>
      </c>
      <c r="F421" t="s">
        <v>2514</v>
      </c>
      <c r="G421" t="s">
        <v>2515</v>
      </c>
      <c r="H421" s="1">
        <v>46385</v>
      </c>
      <c r="I421" s="6">
        <v>45435</v>
      </c>
      <c r="J421" s="6">
        <v>46251</v>
      </c>
      <c r="K421">
        <v>87</v>
      </c>
      <c r="L421">
        <v>91</v>
      </c>
      <c r="M421">
        <v>23</v>
      </c>
      <c r="N421" s="8">
        <v>14.9</v>
      </c>
      <c r="O421">
        <v>90</v>
      </c>
      <c r="P421">
        <v>75</v>
      </c>
      <c r="Q421" s="3">
        <v>0.37</v>
      </c>
      <c r="R421">
        <v>1296.3</v>
      </c>
      <c r="S421">
        <v>1341</v>
      </c>
      <c r="T421" t="s">
        <v>3877</v>
      </c>
      <c r="U421" t="s">
        <v>3836</v>
      </c>
      <c r="V421" s="14">
        <v>739</v>
      </c>
      <c r="W421">
        <f t="shared" si="12"/>
        <v>4</v>
      </c>
      <c r="X421">
        <f t="shared" si="13"/>
        <v>342.7</v>
      </c>
    </row>
    <row r="422" spans="1:24" x14ac:dyDescent="0.35">
      <c r="A422" t="s">
        <v>64</v>
      </c>
      <c r="B422" t="s">
        <v>65</v>
      </c>
      <c r="C422" t="s">
        <v>2098</v>
      </c>
      <c r="D422" t="s">
        <v>2591</v>
      </c>
      <c r="E422" t="s">
        <v>21</v>
      </c>
      <c r="F422" t="s">
        <v>2592</v>
      </c>
      <c r="G422" t="s">
        <v>2593</v>
      </c>
      <c r="H422" s="1">
        <v>46437</v>
      </c>
      <c r="I422" s="6">
        <v>45561</v>
      </c>
      <c r="J422" s="6">
        <v>46411</v>
      </c>
      <c r="K422">
        <v>51</v>
      </c>
      <c r="L422">
        <v>55</v>
      </c>
      <c r="M422">
        <v>76</v>
      </c>
      <c r="N422" s="8">
        <v>5</v>
      </c>
      <c r="O422">
        <v>21</v>
      </c>
      <c r="P422">
        <v>13</v>
      </c>
      <c r="Q422" s="3">
        <v>-1.0900000000000001</v>
      </c>
      <c r="R422">
        <v>255</v>
      </c>
      <c r="S422">
        <v>105</v>
      </c>
      <c r="T422" t="s">
        <v>3877</v>
      </c>
      <c r="U422" t="s">
        <v>3836</v>
      </c>
      <c r="V422" s="14">
        <v>613</v>
      </c>
      <c r="W422">
        <f t="shared" si="12"/>
        <v>4</v>
      </c>
      <c r="X422">
        <f t="shared" si="13"/>
        <v>380</v>
      </c>
    </row>
    <row r="423" spans="1:24" x14ac:dyDescent="0.35">
      <c r="A423" t="s">
        <v>1311</v>
      </c>
      <c r="B423" t="s">
        <v>36</v>
      </c>
      <c r="C423" t="s">
        <v>2760</v>
      </c>
      <c r="D423" t="s">
        <v>2940</v>
      </c>
      <c r="E423" t="s">
        <v>21</v>
      </c>
      <c r="F423" t="s">
        <v>2941</v>
      </c>
      <c r="G423" t="s">
        <v>2942</v>
      </c>
      <c r="H423" s="1">
        <v>46134</v>
      </c>
      <c r="I423" s="6">
        <v>45389</v>
      </c>
      <c r="J423" s="6">
        <v>46433</v>
      </c>
      <c r="K423">
        <v>85</v>
      </c>
      <c r="L423">
        <v>89</v>
      </c>
      <c r="M423">
        <v>41</v>
      </c>
      <c r="N423" s="8">
        <v>8</v>
      </c>
      <c r="O423">
        <v>68</v>
      </c>
      <c r="P423">
        <v>93</v>
      </c>
      <c r="Q423" s="3">
        <v>-1.8</v>
      </c>
      <c r="R423">
        <v>680</v>
      </c>
      <c r="S423">
        <v>544</v>
      </c>
      <c r="T423" t="s">
        <v>3877</v>
      </c>
      <c r="U423" t="s">
        <v>3836</v>
      </c>
      <c r="V423" s="14">
        <v>785</v>
      </c>
      <c r="W423">
        <f t="shared" si="12"/>
        <v>4</v>
      </c>
      <c r="X423">
        <f t="shared" si="13"/>
        <v>328</v>
      </c>
    </row>
    <row r="424" spans="1:24" x14ac:dyDescent="0.35">
      <c r="A424" t="s">
        <v>793</v>
      </c>
      <c r="B424" t="s">
        <v>75</v>
      </c>
      <c r="C424" t="s">
        <v>3000</v>
      </c>
      <c r="D424" t="s">
        <v>3001</v>
      </c>
      <c r="E424" t="s">
        <v>68</v>
      </c>
      <c r="F424" t="s">
        <v>3002</v>
      </c>
      <c r="G424" t="s">
        <v>3003</v>
      </c>
      <c r="H424" s="1">
        <v>46142</v>
      </c>
      <c r="I424" s="6">
        <v>45583</v>
      </c>
      <c r="J424" s="6">
        <v>46180</v>
      </c>
      <c r="K424">
        <v>16</v>
      </c>
      <c r="L424">
        <v>20</v>
      </c>
      <c r="M424">
        <v>45</v>
      </c>
      <c r="N424" s="8">
        <v>8</v>
      </c>
      <c r="O424">
        <v>81</v>
      </c>
      <c r="P424">
        <v>62</v>
      </c>
      <c r="Q424" s="3">
        <v>0.48</v>
      </c>
      <c r="R424">
        <v>128</v>
      </c>
      <c r="S424">
        <v>648</v>
      </c>
      <c r="T424" t="s">
        <v>3877</v>
      </c>
      <c r="U424" t="s">
        <v>3837</v>
      </c>
      <c r="V424" s="14">
        <v>591</v>
      </c>
      <c r="W424">
        <f t="shared" si="12"/>
        <v>4</v>
      </c>
      <c r="X424">
        <f t="shared" si="13"/>
        <v>360</v>
      </c>
    </row>
    <row r="425" spans="1:24" x14ac:dyDescent="0.35">
      <c r="A425" t="s">
        <v>727</v>
      </c>
      <c r="B425" t="s">
        <v>36</v>
      </c>
      <c r="C425" t="s">
        <v>456</v>
      </c>
      <c r="D425" t="s">
        <v>3360</v>
      </c>
      <c r="E425" t="s">
        <v>21</v>
      </c>
      <c r="F425" t="s">
        <v>3361</v>
      </c>
      <c r="G425" t="s">
        <v>3362</v>
      </c>
      <c r="H425" s="1">
        <v>46222</v>
      </c>
      <c r="I425" s="6">
        <v>45527</v>
      </c>
      <c r="J425" s="6">
        <v>46157</v>
      </c>
      <c r="K425">
        <v>29</v>
      </c>
      <c r="L425">
        <v>33</v>
      </c>
      <c r="M425">
        <v>88</v>
      </c>
      <c r="N425" s="8">
        <v>0.8</v>
      </c>
      <c r="O425">
        <v>50</v>
      </c>
      <c r="P425">
        <v>35</v>
      </c>
      <c r="Q425" s="3">
        <v>-0.51</v>
      </c>
      <c r="R425">
        <v>23.200000000000003</v>
      </c>
      <c r="S425">
        <v>40</v>
      </c>
      <c r="T425" t="s">
        <v>3877</v>
      </c>
      <c r="U425" t="s">
        <v>3838</v>
      </c>
      <c r="V425" s="14">
        <v>647</v>
      </c>
      <c r="W425">
        <f t="shared" si="12"/>
        <v>4</v>
      </c>
      <c r="X425">
        <f t="shared" si="13"/>
        <v>70.400000000000006</v>
      </c>
    </row>
    <row r="426" spans="1:24" x14ac:dyDescent="0.35">
      <c r="A426" t="s">
        <v>331</v>
      </c>
      <c r="B426" t="s">
        <v>27</v>
      </c>
      <c r="C426" t="s">
        <v>1445</v>
      </c>
      <c r="D426" t="s">
        <v>3487</v>
      </c>
      <c r="E426" t="s">
        <v>68</v>
      </c>
      <c r="F426" t="s">
        <v>3488</v>
      </c>
      <c r="G426" t="s">
        <v>3489</v>
      </c>
      <c r="H426" s="1">
        <v>46233</v>
      </c>
      <c r="I426" s="6">
        <v>45545</v>
      </c>
      <c r="J426" s="6">
        <v>46082</v>
      </c>
      <c r="K426">
        <v>21</v>
      </c>
      <c r="L426">
        <v>25</v>
      </c>
      <c r="M426">
        <v>39</v>
      </c>
      <c r="N426" s="8">
        <v>4</v>
      </c>
      <c r="O426">
        <v>79</v>
      </c>
      <c r="P426">
        <v>30</v>
      </c>
      <c r="Q426" s="3">
        <v>-1.34</v>
      </c>
      <c r="R426">
        <v>84</v>
      </c>
      <c r="S426">
        <v>316</v>
      </c>
      <c r="T426" t="s">
        <v>3877</v>
      </c>
      <c r="U426" t="s">
        <v>3838</v>
      </c>
      <c r="V426" s="14">
        <v>629</v>
      </c>
      <c r="W426">
        <f t="shared" si="12"/>
        <v>4</v>
      </c>
      <c r="X426">
        <f t="shared" si="13"/>
        <v>156</v>
      </c>
    </row>
    <row r="427" spans="1:24" x14ac:dyDescent="0.35">
      <c r="A427" t="s">
        <v>435</v>
      </c>
      <c r="B427" t="s">
        <v>18</v>
      </c>
      <c r="C427" t="s">
        <v>2417</v>
      </c>
      <c r="D427" t="s">
        <v>3511</v>
      </c>
      <c r="E427" t="s">
        <v>68</v>
      </c>
      <c r="F427" t="s">
        <v>3512</v>
      </c>
      <c r="G427" t="s">
        <v>3513</v>
      </c>
      <c r="H427" s="1">
        <v>46248</v>
      </c>
      <c r="I427" s="6">
        <v>45458</v>
      </c>
      <c r="J427" s="6">
        <v>46308</v>
      </c>
      <c r="K427">
        <v>65</v>
      </c>
      <c r="L427">
        <v>69</v>
      </c>
      <c r="M427">
        <v>4</v>
      </c>
      <c r="N427" s="8">
        <v>6</v>
      </c>
      <c r="O427">
        <v>80</v>
      </c>
      <c r="P427">
        <v>26</v>
      </c>
      <c r="Q427" s="3">
        <v>0.93</v>
      </c>
      <c r="R427">
        <v>390</v>
      </c>
      <c r="S427">
        <v>480</v>
      </c>
      <c r="T427" t="s">
        <v>3877</v>
      </c>
      <c r="U427" t="s">
        <v>3836</v>
      </c>
      <c r="V427" s="14">
        <v>716</v>
      </c>
      <c r="W427">
        <f t="shared" si="12"/>
        <v>4</v>
      </c>
      <c r="X427">
        <f t="shared" si="13"/>
        <v>24</v>
      </c>
    </row>
    <row r="428" spans="1:24" x14ac:dyDescent="0.35">
      <c r="A428" t="s">
        <v>695</v>
      </c>
      <c r="B428" t="s">
        <v>65</v>
      </c>
      <c r="C428" t="s">
        <v>1653</v>
      </c>
      <c r="D428" t="s">
        <v>3602</v>
      </c>
      <c r="E428" t="s">
        <v>21</v>
      </c>
      <c r="F428" t="s">
        <v>3603</v>
      </c>
      <c r="G428" t="s">
        <v>3604</v>
      </c>
      <c r="H428" s="1">
        <v>46257</v>
      </c>
      <c r="I428" s="6">
        <v>45552</v>
      </c>
      <c r="J428" s="6">
        <v>46410</v>
      </c>
      <c r="K428">
        <v>44</v>
      </c>
      <c r="L428">
        <v>48</v>
      </c>
      <c r="M428">
        <v>77</v>
      </c>
      <c r="N428" s="8">
        <v>2.5</v>
      </c>
      <c r="O428">
        <v>67</v>
      </c>
      <c r="P428">
        <v>79</v>
      </c>
      <c r="Q428" s="3">
        <v>0.64</v>
      </c>
      <c r="R428">
        <v>110</v>
      </c>
      <c r="S428">
        <v>167.5</v>
      </c>
      <c r="T428" t="s">
        <v>3877</v>
      </c>
      <c r="U428" t="s">
        <v>3836</v>
      </c>
      <c r="V428" s="14">
        <v>622</v>
      </c>
      <c r="W428">
        <f t="shared" si="12"/>
        <v>4</v>
      </c>
      <c r="X428">
        <f t="shared" si="13"/>
        <v>192.5</v>
      </c>
    </row>
    <row r="429" spans="1:24" x14ac:dyDescent="0.35">
      <c r="A429" t="s">
        <v>35</v>
      </c>
      <c r="B429" t="s">
        <v>36</v>
      </c>
      <c r="C429" t="s">
        <v>3786</v>
      </c>
      <c r="D429" t="s">
        <v>3787</v>
      </c>
      <c r="E429" t="s">
        <v>30</v>
      </c>
      <c r="F429" t="s">
        <v>3788</v>
      </c>
      <c r="G429" t="s">
        <v>3789</v>
      </c>
      <c r="H429" s="1">
        <v>46292</v>
      </c>
      <c r="I429" s="6">
        <v>45569</v>
      </c>
      <c r="J429" s="6">
        <v>46231</v>
      </c>
      <c r="K429">
        <v>52</v>
      </c>
      <c r="L429">
        <v>56</v>
      </c>
      <c r="M429">
        <v>34</v>
      </c>
      <c r="N429" s="8">
        <v>12</v>
      </c>
      <c r="O429">
        <v>31</v>
      </c>
      <c r="P429">
        <v>69</v>
      </c>
      <c r="Q429" s="3">
        <v>0.24</v>
      </c>
      <c r="R429">
        <v>624</v>
      </c>
      <c r="S429">
        <v>372</v>
      </c>
      <c r="T429" t="s">
        <v>3877</v>
      </c>
      <c r="U429" t="s">
        <v>3836</v>
      </c>
      <c r="V429" s="14">
        <v>605</v>
      </c>
      <c r="W429">
        <f t="shared" si="12"/>
        <v>4</v>
      </c>
      <c r="X429">
        <f t="shared" si="13"/>
        <v>408</v>
      </c>
    </row>
    <row r="430" spans="1:24" x14ac:dyDescent="0.35">
      <c r="A430" t="s">
        <v>177</v>
      </c>
      <c r="B430" t="s">
        <v>18</v>
      </c>
      <c r="C430" t="s">
        <v>178</v>
      </c>
      <c r="D430" t="s">
        <v>179</v>
      </c>
      <c r="E430" t="s">
        <v>30</v>
      </c>
      <c r="F430" t="s">
        <v>180</v>
      </c>
      <c r="G430" t="s">
        <v>181</v>
      </c>
      <c r="H430" s="1">
        <v>46056</v>
      </c>
      <c r="I430" s="6">
        <v>45481</v>
      </c>
      <c r="J430" s="6">
        <v>46337</v>
      </c>
      <c r="K430">
        <v>89</v>
      </c>
      <c r="L430">
        <v>92</v>
      </c>
      <c r="M430">
        <v>62</v>
      </c>
      <c r="N430" s="8">
        <v>4.8</v>
      </c>
      <c r="O430">
        <v>46</v>
      </c>
      <c r="P430">
        <v>11</v>
      </c>
      <c r="Q430" s="2">
        <v>2.5700000000000001E-2</v>
      </c>
      <c r="R430">
        <v>427.2</v>
      </c>
      <c r="S430">
        <v>220.79999999999998</v>
      </c>
      <c r="T430" t="s">
        <v>3877</v>
      </c>
      <c r="U430" t="s">
        <v>3836</v>
      </c>
      <c r="V430" s="14">
        <v>693</v>
      </c>
      <c r="W430">
        <f t="shared" si="12"/>
        <v>3</v>
      </c>
      <c r="X430">
        <f t="shared" si="13"/>
        <v>297.59999999999997</v>
      </c>
    </row>
    <row r="431" spans="1:24" x14ac:dyDescent="0.35">
      <c r="A431" t="s">
        <v>382</v>
      </c>
      <c r="B431" t="s">
        <v>36</v>
      </c>
      <c r="C431" t="s">
        <v>630</v>
      </c>
      <c r="D431" t="s">
        <v>631</v>
      </c>
      <c r="E431" t="s">
        <v>30</v>
      </c>
      <c r="F431" t="s">
        <v>632</v>
      </c>
      <c r="G431" t="s">
        <v>633</v>
      </c>
      <c r="H431" s="1">
        <v>46146</v>
      </c>
      <c r="I431" s="6">
        <v>45546</v>
      </c>
      <c r="J431" s="6">
        <v>46293</v>
      </c>
      <c r="K431">
        <v>21</v>
      </c>
      <c r="L431">
        <v>24</v>
      </c>
      <c r="M431">
        <v>2</v>
      </c>
      <c r="N431" s="8">
        <v>2.35</v>
      </c>
      <c r="O431">
        <v>87</v>
      </c>
      <c r="P431">
        <v>36</v>
      </c>
      <c r="Q431" s="3">
        <v>0.8</v>
      </c>
      <c r="R431">
        <v>49.35</v>
      </c>
      <c r="S431">
        <v>204.45000000000002</v>
      </c>
      <c r="T431" t="s">
        <v>3877</v>
      </c>
      <c r="U431" t="s">
        <v>3836</v>
      </c>
      <c r="V431" s="14">
        <v>628</v>
      </c>
      <c r="W431">
        <f t="shared" si="12"/>
        <v>3</v>
      </c>
      <c r="X431">
        <f t="shared" si="13"/>
        <v>4.7</v>
      </c>
    </row>
    <row r="432" spans="1:24" x14ac:dyDescent="0.35">
      <c r="A432" t="s">
        <v>283</v>
      </c>
      <c r="B432" t="s">
        <v>163</v>
      </c>
      <c r="C432" t="s">
        <v>51</v>
      </c>
      <c r="D432" t="s">
        <v>1449</v>
      </c>
      <c r="E432" t="s">
        <v>30</v>
      </c>
      <c r="F432" t="s">
        <v>1450</v>
      </c>
      <c r="G432" t="s">
        <v>1451</v>
      </c>
      <c r="H432" s="1">
        <v>46335</v>
      </c>
      <c r="I432" s="6">
        <v>45489</v>
      </c>
      <c r="J432" s="6">
        <v>46078</v>
      </c>
      <c r="K432">
        <v>59</v>
      </c>
      <c r="L432">
        <v>62</v>
      </c>
      <c r="M432">
        <v>57</v>
      </c>
      <c r="N432" s="8">
        <v>10.3</v>
      </c>
      <c r="O432">
        <v>90</v>
      </c>
      <c r="P432">
        <v>94</v>
      </c>
      <c r="Q432" s="3">
        <v>-1</v>
      </c>
      <c r="R432">
        <v>607.70000000000005</v>
      </c>
      <c r="S432">
        <v>927.00000000000011</v>
      </c>
      <c r="T432" t="s">
        <v>3877</v>
      </c>
      <c r="U432" t="s">
        <v>3838</v>
      </c>
      <c r="V432" s="14">
        <v>685</v>
      </c>
      <c r="W432">
        <f t="shared" si="12"/>
        <v>3</v>
      </c>
      <c r="X432">
        <f t="shared" si="13"/>
        <v>587.1</v>
      </c>
    </row>
    <row r="433" spans="1:24" x14ac:dyDescent="0.35">
      <c r="A433" t="s">
        <v>1782</v>
      </c>
      <c r="B433" t="s">
        <v>36</v>
      </c>
      <c r="C433" t="s">
        <v>130</v>
      </c>
      <c r="D433" t="s">
        <v>1860</v>
      </c>
      <c r="E433" t="s">
        <v>21</v>
      </c>
      <c r="F433" t="s">
        <v>1861</v>
      </c>
      <c r="G433" t="s">
        <v>1862</v>
      </c>
      <c r="H433" s="1">
        <v>46404</v>
      </c>
      <c r="I433" s="6">
        <v>45485</v>
      </c>
      <c r="J433" s="6">
        <v>46288</v>
      </c>
      <c r="K433">
        <v>55</v>
      </c>
      <c r="L433">
        <v>58</v>
      </c>
      <c r="M433">
        <v>6</v>
      </c>
      <c r="N433" s="8">
        <v>7.2</v>
      </c>
      <c r="O433">
        <v>48</v>
      </c>
      <c r="P433">
        <v>17</v>
      </c>
      <c r="Q433" s="3">
        <v>0.28000000000000003</v>
      </c>
      <c r="R433">
        <v>396</v>
      </c>
      <c r="S433">
        <v>345.6</v>
      </c>
      <c r="T433" t="s">
        <v>3877</v>
      </c>
      <c r="U433" t="s">
        <v>3836</v>
      </c>
      <c r="V433" s="14">
        <v>689</v>
      </c>
      <c r="W433">
        <f t="shared" si="12"/>
        <v>3</v>
      </c>
      <c r="X433">
        <f t="shared" si="13"/>
        <v>43.2</v>
      </c>
    </row>
    <row r="434" spans="1:24" x14ac:dyDescent="0.35">
      <c r="A434" t="s">
        <v>212</v>
      </c>
      <c r="B434" t="s">
        <v>75</v>
      </c>
      <c r="C434" t="s">
        <v>218</v>
      </c>
      <c r="D434" t="s">
        <v>1938</v>
      </c>
      <c r="E434" t="s">
        <v>68</v>
      </c>
      <c r="F434" t="s">
        <v>1939</v>
      </c>
      <c r="G434" t="s">
        <v>1940</v>
      </c>
      <c r="H434" s="1">
        <v>46413</v>
      </c>
      <c r="I434" s="6">
        <v>45649</v>
      </c>
      <c r="J434" s="6">
        <v>46232</v>
      </c>
      <c r="K434">
        <v>56</v>
      </c>
      <c r="L434">
        <v>59</v>
      </c>
      <c r="M434">
        <v>87</v>
      </c>
      <c r="N434" s="8">
        <v>7</v>
      </c>
      <c r="O434">
        <v>65</v>
      </c>
      <c r="P434">
        <v>45</v>
      </c>
      <c r="Q434" s="3">
        <v>0.14000000000000001</v>
      </c>
      <c r="R434">
        <v>392</v>
      </c>
      <c r="S434">
        <v>455</v>
      </c>
      <c r="T434" t="s">
        <v>3877</v>
      </c>
      <c r="U434" t="s">
        <v>3836</v>
      </c>
      <c r="V434" s="14">
        <v>525</v>
      </c>
      <c r="W434">
        <f t="shared" si="12"/>
        <v>3</v>
      </c>
      <c r="X434">
        <f t="shared" si="13"/>
        <v>609</v>
      </c>
    </row>
    <row r="435" spans="1:24" x14ac:dyDescent="0.35">
      <c r="A435" t="s">
        <v>228</v>
      </c>
      <c r="B435" t="s">
        <v>18</v>
      </c>
      <c r="C435" t="s">
        <v>1025</v>
      </c>
      <c r="D435" t="s">
        <v>1941</v>
      </c>
      <c r="E435" t="s">
        <v>68</v>
      </c>
      <c r="F435" t="s">
        <v>1942</v>
      </c>
      <c r="G435" t="s">
        <v>1943</v>
      </c>
      <c r="H435" s="1">
        <v>46413</v>
      </c>
      <c r="I435" s="6">
        <v>45568</v>
      </c>
      <c r="J435" s="6">
        <v>46143</v>
      </c>
      <c r="K435">
        <v>60</v>
      </c>
      <c r="L435">
        <v>63</v>
      </c>
      <c r="M435">
        <v>81</v>
      </c>
      <c r="N435" s="8">
        <v>1.8</v>
      </c>
      <c r="O435">
        <v>74</v>
      </c>
      <c r="P435">
        <v>31</v>
      </c>
      <c r="Q435" s="3">
        <v>0.31</v>
      </c>
      <c r="R435">
        <v>108</v>
      </c>
      <c r="S435">
        <v>133.20000000000002</v>
      </c>
      <c r="T435" t="s">
        <v>3877</v>
      </c>
      <c r="U435" t="s">
        <v>3838</v>
      </c>
      <c r="V435" s="14">
        <v>606</v>
      </c>
      <c r="W435">
        <f t="shared" si="12"/>
        <v>3</v>
      </c>
      <c r="X435">
        <f t="shared" si="13"/>
        <v>145.80000000000001</v>
      </c>
    </row>
    <row r="436" spans="1:24" x14ac:dyDescent="0.35">
      <c r="A436" t="s">
        <v>1307</v>
      </c>
      <c r="B436" t="s">
        <v>163</v>
      </c>
      <c r="C436" t="s">
        <v>1174</v>
      </c>
      <c r="D436" t="s">
        <v>1999</v>
      </c>
      <c r="E436" t="s">
        <v>68</v>
      </c>
      <c r="F436" t="s">
        <v>2000</v>
      </c>
      <c r="G436" t="s">
        <v>2001</v>
      </c>
      <c r="H436" s="1">
        <v>46309</v>
      </c>
      <c r="I436" s="6">
        <v>45688</v>
      </c>
      <c r="J436" s="6">
        <v>46346</v>
      </c>
      <c r="K436">
        <v>24</v>
      </c>
      <c r="L436">
        <v>27</v>
      </c>
      <c r="M436">
        <v>35</v>
      </c>
      <c r="N436" s="8">
        <v>8</v>
      </c>
      <c r="O436">
        <v>49</v>
      </c>
      <c r="P436">
        <v>58</v>
      </c>
      <c r="Q436" s="3">
        <v>0.41</v>
      </c>
      <c r="R436">
        <v>192</v>
      </c>
      <c r="S436">
        <v>392</v>
      </c>
      <c r="T436" t="s">
        <v>3877</v>
      </c>
      <c r="U436" t="s">
        <v>3836</v>
      </c>
      <c r="V436" s="14">
        <v>486</v>
      </c>
      <c r="W436">
        <f t="shared" si="12"/>
        <v>3</v>
      </c>
      <c r="X436">
        <f t="shared" si="13"/>
        <v>280</v>
      </c>
    </row>
    <row r="437" spans="1:24" x14ac:dyDescent="0.35">
      <c r="A437" t="s">
        <v>382</v>
      </c>
      <c r="B437" t="s">
        <v>36</v>
      </c>
      <c r="C437" t="s">
        <v>178</v>
      </c>
      <c r="D437" t="s">
        <v>3737</v>
      </c>
      <c r="E437" t="s">
        <v>21</v>
      </c>
      <c r="F437" t="s">
        <v>3738</v>
      </c>
      <c r="G437" t="s">
        <v>3739</v>
      </c>
      <c r="H437" s="1">
        <v>46286</v>
      </c>
      <c r="I437" s="6">
        <v>45458</v>
      </c>
      <c r="J437" s="6">
        <v>46280</v>
      </c>
      <c r="K437">
        <v>29</v>
      </c>
      <c r="L437">
        <v>32</v>
      </c>
      <c r="M437">
        <v>26</v>
      </c>
      <c r="N437" s="8">
        <v>2.5</v>
      </c>
      <c r="O437">
        <v>64</v>
      </c>
      <c r="P437">
        <v>85</v>
      </c>
      <c r="Q437" s="3">
        <v>-0.66</v>
      </c>
      <c r="R437">
        <v>72.5</v>
      </c>
      <c r="S437">
        <v>160</v>
      </c>
      <c r="T437" t="s">
        <v>3877</v>
      </c>
      <c r="U437" t="s">
        <v>3836</v>
      </c>
      <c r="V437" s="14">
        <v>716</v>
      </c>
      <c r="W437">
        <f t="shared" si="12"/>
        <v>3</v>
      </c>
      <c r="X437">
        <f t="shared" si="13"/>
        <v>65</v>
      </c>
    </row>
    <row r="438" spans="1:24" x14ac:dyDescent="0.35">
      <c r="A438" t="s">
        <v>113</v>
      </c>
      <c r="B438" t="s">
        <v>114</v>
      </c>
      <c r="C438" t="s">
        <v>115</v>
      </c>
      <c r="D438" t="s">
        <v>116</v>
      </c>
      <c r="E438" t="s">
        <v>30</v>
      </c>
      <c r="F438" t="s">
        <v>117</v>
      </c>
      <c r="G438" t="s">
        <v>118</v>
      </c>
      <c r="H438" s="1">
        <v>46031</v>
      </c>
      <c r="I438" s="6">
        <v>45368</v>
      </c>
      <c r="J438" s="6">
        <v>46234</v>
      </c>
      <c r="K438">
        <v>77</v>
      </c>
      <c r="L438">
        <v>79</v>
      </c>
      <c r="M438">
        <v>65</v>
      </c>
      <c r="N438" s="8">
        <v>4</v>
      </c>
      <c r="O438">
        <v>62</v>
      </c>
      <c r="P438">
        <v>75</v>
      </c>
      <c r="Q438" s="2">
        <v>2.69E-2</v>
      </c>
      <c r="R438">
        <v>308</v>
      </c>
      <c r="S438">
        <v>248</v>
      </c>
      <c r="T438" t="s">
        <v>3877</v>
      </c>
      <c r="U438" t="s">
        <v>3836</v>
      </c>
      <c r="V438" s="14">
        <v>806</v>
      </c>
      <c r="W438">
        <f t="shared" si="12"/>
        <v>2</v>
      </c>
      <c r="X438">
        <f t="shared" si="13"/>
        <v>260</v>
      </c>
    </row>
    <row r="439" spans="1:24" x14ac:dyDescent="0.35">
      <c r="A439" t="s">
        <v>188</v>
      </c>
      <c r="B439" t="s">
        <v>65</v>
      </c>
      <c r="C439" t="s">
        <v>573</v>
      </c>
      <c r="D439" t="s">
        <v>574</v>
      </c>
      <c r="E439" t="s">
        <v>21</v>
      </c>
      <c r="F439" t="s">
        <v>575</v>
      </c>
      <c r="G439" t="s">
        <v>576</v>
      </c>
      <c r="H439" s="1">
        <v>46122</v>
      </c>
      <c r="I439" s="6">
        <v>45634</v>
      </c>
      <c r="J439" s="6">
        <v>46226</v>
      </c>
      <c r="K439">
        <v>17</v>
      </c>
      <c r="L439">
        <v>19</v>
      </c>
      <c r="M439">
        <v>74</v>
      </c>
      <c r="N439" s="8">
        <v>4.75</v>
      </c>
      <c r="O439">
        <v>58</v>
      </c>
      <c r="P439">
        <v>27</v>
      </c>
      <c r="Q439" s="3">
        <v>-1.21</v>
      </c>
      <c r="R439">
        <v>80.75</v>
      </c>
      <c r="S439">
        <v>275.5</v>
      </c>
      <c r="T439" t="s">
        <v>3877</v>
      </c>
      <c r="U439" t="s">
        <v>3836</v>
      </c>
      <c r="V439" s="14">
        <v>540</v>
      </c>
      <c r="W439">
        <f t="shared" si="12"/>
        <v>2</v>
      </c>
      <c r="X439">
        <f t="shared" si="13"/>
        <v>351.5</v>
      </c>
    </row>
    <row r="440" spans="1:24" x14ac:dyDescent="0.35">
      <c r="A440" t="s">
        <v>142</v>
      </c>
      <c r="B440" t="s">
        <v>36</v>
      </c>
      <c r="C440" t="s">
        <v>1979</v>
      </c>
      <c r="D440" t="s">
        <v>1980</v>
      </c>
      <c r="E440" t="s">
        <v>21</v>
      </c>
      <c r="F440" t="s">
        <v>1981</v>
      </c>
      <c r="G440" t="s">
        <v>1982</v>
      </c>
      <c r="H440" s="1">
        <v>46418</v>
      </c>
      <c r="I440" s="6">
        <v>45473</v>
      </c>
      <c r="J440" s="6">
        <v>46289</v>
      </c>
      <c r="K440">
        <v>51</v>
      </c>
      <c r="L440">
        <v>53</v>
      </c>
      <c r="M440">
        <v>88</v>
      </c>
      <c r="N440" s="8">
        <v>6</v>
      </c>
      <c r="O440">
        <v>54</v>
      </c>
      <c r="P440">
        <v>59</v>
      </c>
      <c r="Q440" s="3">
        <v>-1</v>
      </c>
      <c r="R440">
        <v>306</v>
      </c>
      <c r="S440">
        <v>324</v>
      </c>
      <c r="T440" t="s">
        <v>3877</v>
      </c>
      <c r="U440" t="s">
        <v>3836</v>
      </c>
      <c r="V440" s="14">
        <v>701</v>
      </c>
      <c r="W440">
        <f t="shared" si="12"/>
        <v>2</v>
      </c>
      <c r="X440">
        <f t="shared" si="13"/>
        <v>528</v>
      </c>
    </row>
    <row r="441" spans="1:24" x14ac:dyDescent="0.35">
      <c r="A441" t="s">
        <v>842</v>
      </c>
      <c r="B441" t="s">
        <v>75</v>
      </c>
      <c r="C441" t="s">
        <v>1991</v>
      </c>
      <c r="D441" t="s">
        <v>1992</v>
      </c>
      <c r="E441" t="s">
        <v>68</v>
      </c>
      <c r="F441" t="s">
        <v>1993</v>
      </c>
      <c r="G441" t="s">
        <v>1994</v>
      </c>
      <c r="H441" s="1">
        <v>46308</v>
      </c>
      <c r="I441" s="6">
        <v>45350</v>
      </c>
      <c r="J441" s="6">
        <v>46261</v>
      </c>
      <c r="K441">
        <v>98</v>
      </c>
      <c r="L441">
        <v>100</v>
      </c>
      <c r="M441">
        <v>34</v>
      </c>
      <c r="N441" s="8">
        <v>9</v>
      </c>
      <c r="O441">
        <v>53</v>
      </c>
      <c r="P441">
        <v>20</v>
      </c>
      <c r="Q441" s="3">
        <v>-1</v>
      </c>
      <c r="R441">
        <v>882</v>
      </c>
      <c r="S441">
        <v>477</v>
      </c>
      <c r="T441" t="s">
        <v>3877</v>
      </c>
      <c r="U441" t="s">
        <v>3836</v>
      </c>
      <c r="V441" s="14">
        <v>824</v>
      </c>
      <c r="W441">
        <f t="shared" si="12"/>
        <v>2</v>
      </c>
      <c r="X441">
        <f t="shared" si="13"/>
        <v>306</v>
      </c>
    </row>
    <row r="442" spans="1:24" x14ac:dyDescent="0.35">
      <c r="A442" t="s">
        <v>653</v>
      </c>
      <c r="B442" t="s">
        <v>163</v>
      </c>
      <c r="C442" t="s">
        <v>2135</v>
      </c>
      <c r="D442" t="s">
        <v>2136</v>
      </c>
      <c r="E442" t="s">
        <v>30</v>
      </c>
      <c r="F442" t="s">
        <v>2137</v>
      </c>
      <c r="G442" t="s">
        <v>2138</v>
      </c>
      <c r="H442" s="1">
        <v>46321</v>
      </c>
      <c r="I442" s="6">
        <v>45664</v>
      </c>
      <c r="J442" s="6">
        <v>46311</v>
      </c>
      <c r="K442">
        <v>81</v>
      </c>
      <c r="L442">
        <v>83</v>
      </c>
      <c r="M442">
        <v>36</v>
      </c>
      <c r="N442" s="8">
        <v>25</v>
      </c>
      <c r="O442">
        <v>74</v>
      </c>
      <c r="P442">
        <v>86</v>
      </c>
      <c r="Q442" s="3">
        <v>0.12</v>
      </c>
      <c r="R442">
        <v>2025</v>
      </c>
      <c r="S442">
        <v>1850</v>
      </c>
      <c r="T442" t="s">
        <v>3877</v>
      </c>
      <c r="U442" t="s">
        <v>3836</v>
      </c>
      <c r="V442" s="14">
        <v>510</v>
      </c>
      <c r="W442">
        <f t="shared" si="12"/>
        <v>2</v>
      </c>
      <c r="X442">
        <f t="shared" si="13"/>
        <v>900</v>
      </c>
    </row>
    <row r="443" spans="1:24" x14ac:dyDescent="0.35">
      <c r="A443" t="s">
        <v>113</v>
      </c>
      <c r="B443" t="s">
        <v>114</v>
      </c>
      <c r="C443" t="s">
        <v>37</v>
      </c>
      <c r="D443" t="s">
        <v>2953</v>
      </c>
      <c r="E443" t="s">
        <v>30</v>
      </c>
      <c r="F443" t="s">
        <v>2954</v>
      </c>
      <c r="G443" t="s">
        <v>2955</v>
      </c>
      <c r="H443" s="1">
        <v>46137</v>
      </c>
      <c r="I443" s="6">
        <v>45679</v>
      </c>
      <c r="J443" s="6">
        <v>46353</v>
      </c>
      <c r="K443">
        <v>97</v>
      </c>
      <c r="L443">
        <v>99</v>
      </c>
      <c r="M443">
        <v>96</v>
      </c>
      <c r="N443" s="8">
        <v>4</v>
      </c>
      <c r="O443">
        <v>57</v>
      </c>
      <c r="P443">
        <v>42</v>
      </c>
      <c r="Q443" s="3">
        <v>-0.7</v>
      </c>
      <c r="R443">
        <v>388</v>
      </c>
      <c r="S443">
        <v>228</v>
      </c>
      <c r="T443" t="s">
        <v>3877</v>
      </c>
      <c r="U443" t="s">
        <v>3836</v>
      </c>
      <c r="V443" s="14">
        <v>495</v>
      </c>
      <c r="W443">
        <f t="shared" si="12"/>
        <v>2</v>
      </c>
      <c r="X443">
        <f t="shared" si="13"/>
        <v>384</v>
      </c>
    </row>
    <row r="444" spans="1:24" x14ac:dyDescent="0.35">
      <c r="A444" t="s">
        <v>1307</v>
      </c>
      <c r="B444" t="s">
        <v>163</v>
      </c>
      <c r="C444" t="s">
        <v>2023</v>
      </c>
      <c r="D444" t="s">
        <v>3125</v>
      </c>
      <c r="E444" t="s">
        <v>21</v>
      </c>
      <c r="F444" t="s">
        <v>3126</v>
      </c>
      <c r="G444" t="s">
        <v>3127</v>
      </c>
      <c r="H444" s="1">
        <v>46170</v>
      </c>
      <c r="I444" s="6">
        <v>45671</v>
      </c>
      <c r="J444" s="6">
        <v>46253</v>
      </c>
      <c r="K444">
        <v>64</v>
      </c>
      <c r="L444">
        <v>66</v>
      </c>
      <c r="M444">
        <v>28</v>
      </c>
      <c r="N444" s="8">
        <v>8</v>
      </c>
      <c r="O444">
        <v>25</v>
      </c>
      <c r="P444">
        <v>52</v>
      </c>
      <c r="Q444" s="3">
        <v>0.28999999999999998</v>
      </c>
      <c r="R444">
        <v>512</v>
      </c>
      <c r="S444">
        <v>200</v>
      </c>
      <c r="T444" t="s">
        <v>3877</v>
      </c>
      <c r="U444" t="s">
        <v>3836</v>
      </c>
      <c r="V444" s="14">
        <v>503</v>
      </c>
      <c r="W444">
        <f t="shared" si="12"/>
        <v>2</v>
      </c>
      <c r="X444">
        <f t="shared" si="13"/>
        <v>224</v>
      </c>
    </row>
    <row r="445" spans="1:24" x14ac:dyDescent="0.35">
      <c r="A445" t="s">
        <v>1350</v>
      </c>
      <c r="B445" t="s">
        <v>114</v>
      </c>
      <c r="C445" t="s">
        <v>254</v>
      </c>
      <c r="D445" t="s">
        <v>3357</v>
      </c>
      <c r="E445" t="s">
        <v>68</v>
      </c>
      <c r="F445" t="s">
        <v>3358</v>
      </c>
      <c r="G445" t="s">
        <v>3359</v>
      </c>
      <c r="H445" s="1">
        <v>46222</v>
      </c>
      <c r="I445" s="6">
        <v>45494</v>
      </c>
      <c r="J445" s="6">
        <v>46339</v>
      </c>
      <c r="K445">
        <v>22</v>
      </c>
      <c r="L445">
        <v>24</v>
      </c>
      <c r="M445">
        <v>94</v>
      </c>
      <c r="N445" s="8">
        <v>6</v>
      </c>
      <c r="O445">
        <v>47</v>
      </c>
      <c r="P445">
        <v>71</v>
      </c>
      <c r="Q445" s="3">
        <v>0.11</v>
      </c>
      <c r="R445">
        <v>132</v>
      </c>
      <c r="S445">
        <v>282</v>
      </c>
      <c r="T445" t="s">
        <v>3877</v>
      </c>
      <c r="U445" t="s">
        <v>3836</v>
      </c>
      <c r="V445" s="14">
        <v>680</v>
      </c>
      <c r="W445">
        <f t="shared" si="12"/>
        <v>2</v>
      </c>
      <c r="X445">
        <f t="shared" si="13"/>
        <v>564</v>
      </c>
    </row>
    <row r="446" spans="1:24" x14ac:dyDescent="0.35">
      <c r="A446" t="s">
        <v>718</v>
      </c>
      <c r="B446" t="s">
        <v>65</v>
      </c>
      <c r="C446" t="s">
        <v>362</v>
      </c>
      <c r="D446" t="s">
        <v>3400</v>
      </c>
      <c r="E446" t="s">
        <v>68</v>
      </c>
      <c r="F446" t="s">
        <v>3401</v>
      </c>
      <c r="G446" t="s">
        <v>3402</v>
      </c>
      <c r="H446" s="1">
        <v>46226</v>
      </c>
      <c r="I446" s="6">
        <v>45354</v>
      </c>
      <c r="J446" s="6">
        <v>46194</v>
      </c>
      <c r="K446">
        <v>14</v>
      </c>
      <c r="L446">
        <v>16</v>
      </c>
      <c r="M446">
        <v>93</v>
      </c>
      <c r="N446" s="8">
        <v>2</v>
      </c>
      <c r="O446">
        <v>39</v>
      </c>
      <c r="P446">
        <v>30</v>
      </c>
      <c r="Q446" s="3">
        <v>0.56999999999999995</v>
      </c>
      <c r="R446">
        <v>28</v>
      </c>
      <c r="S446">
        <v>78</v>
      </c>
      <c r="T446" t="s">
        <v>3877</v>
      </c>
      <c r="U446" t="s">
        <v>3837</v>
      </c>
      <c r="V446" s="14">
        <v>820</v>
      </c>
      <c r="W446">
        <f t="shared" si="12"/>
        <v>2</v>
      </c>
      <c r="X446">
        <f t="shared" si="13"/>
        <v>186</v>
      </c>
    </row>
    <row r="447" spans="1:24" x14ac:dyDescent="0.35">
      <c r="A447" t="s">
        <v>58</v>
      </c>
      <c r="B447" t="s">
        <v>18</v>
      </c>
      <c r="C447" t="s">
        <v>672</v>
      </c>
      <c r="D447" t="s">
        <v>3460</v>
      </c>
      <c r="E447" t="s">
        <v>68</v>
      </c>
      <c r="F447" t="s">
        <v>3461</v>
      </c>
      <c r="G447" t="s">
        <v>3462</v>
      </c>
      <c r="H447" s="1">
        <v>46231</v>
      </c>
      <c r="I447" s="6">
        <v>45409</v>
      </c>
      <c r="J447" s="6">
        <v>46095</v>
      </c>
      <c r="K447">
        <v>90</v>
      </c>
      <c r="L447">
        <v>92</v>
      </c>
      <c r="M447">
        <v>56</v>
      </c>
      <c r="N447" s="8">
        <v>2.5</v>
      </c>
      <c r="O447">
        <v>71</v>
      </c>
      <c r="P447">
        <v>13</v>
      </c>
      <c r="Q447" s="3">
        <v>0.13</v>
      </c>
      <c r="R447">
        <v>225</v>
      </c>
      <c r="S447">
        <v>177.5</v>
      </c>
      <c r="T447" t="s">
        <v>3877</v>
      </c>
      <c r="U447" t="s">
        <v>3838</v>
      </c>
      <c r="V447" s="14">
        <v>765</v>
      </c>
      <c r="W447">
        <f t="shared" si="12"/>
        <v>2</v>
      </c>
      <c r="X447">
        <f t="shared" si="13"/>
        <v>140</v>
      </c>
    </row>
    <row r="448" spans="1:24" x14ac:dyDescent="0.35">
      <c r="A448" t="s">
        <v>326</v>
      </c>
      <c r="B448" t="s">
        <v>18</v>
      </c>
      <c r="C448" t="s">
        <v>76</v>
      </c>
      <c r="D448" t="s">
        <v>2296</v>
      </c>
      <c r="E448" t="s">
        <v>68</v>
      </c>
      <c r="F448" t="s">
        <v>2297</v>
      </c>
      <c r="G448" t="s">
        <v>2298</v>
      </c>
      <c r="H448" s="1">
        <v>46350</v>
      </c>
      <c r="I448" s="6">
        <v>45623</v>
      </c>
      <c r="J448" s="6">
        <v>46350</v>
      </c>
      <c r="K448">
        <v>90</v>
      </c>
      <c r="L448">
        <v>91</v>
      </c>
      <c r="M448">
        <v>62</v>
      </c>
      <c r="N448" s="8">
        <v>5</v>
      </c>
      <c r="O448">
        <v>34</v>
      </c>
      <c r="P448">
        <v>72</v>
      </c>
      <c r="Q448" s="3">
        <v>-0.92</v>
      </c>
      <c r="R448">
        <v>450</v>
      </c>
      <c r="S448">
        <v>170</v>
      </c>
      <c r="T448" t="s">
        <v>3877</v>
      </c>
      <c r="U448" t="s">
        <v>3836</v>
      </c>
      <c r="V448" s="14">
        <v>551</v>
      </c>
      <c r="W448">
        <f t="shared" si="12"/>
        <v>1</v>
      </c>
      <c r="X448">
        <f t="shared" si="13"/>
        <v>310</v>
      </c>
    </row>
    <row r="449" spans="1:24" x14ac:dyDescent="0.35">
      <c r="A449" t="s">
        <v>413</v>
      </c>
      <c r="B449" t="s">
        <v>65</v>
      </c>
      <c r="C449" t="s">
        <v>1441</v>
      </c>
      <c r="D449" t="s">
        <v>2549</v>
      </c>
      <c r="E449" t="s">
        <v>30</v>
      </c>
      <c r="F449" t="s">
        <v>2550</v>
      </c>
      <c r="G449" t="s">
        <v>2551</v>
      </c>
      <c r="H449" s="1">
        <v>46431</v>
      </c>
      <c r="I449" s="6">
        <v>45573</v>
      </c>
      <c r="J449" s="6">
        <v>46225</v>
      </c>
      <c r="K449">
        <v>10</v>
      </c>
      <c r="L449">
        <v>11</v>
      </c>
      <c r="M449">
        <v>29</v>
      </c>
      <c r="N449" s="8">
        <v>4.3</v>
      </c>
      <c r="O449">
        <v>29</v>
      </c>
      <c r="P449">
        <v>72</v>
      </c>
      <c r="Q449" s="3">
        <v>-0.9</v>
      </c>
      <c r="R449">
        <v>43</v>
      </c>
      <c r="S449">
        <v>124.69999999999999</v>
      </c>
      <c r="T449" t="s">
        <v>3877</v>
      </c>
      <c r="U449" t="s">
        <v>3836</v>
      </c>
      <c r="V449" s="14">
        <v>601</v>
      </c>
      <c r="W449">
        <f t="shared" si="12"/>
        <v>1</v>
      </c>
      <c r="X449">
        <f t="shared" si="13"/>
        <v>124.69999999999999</v>
      </c>
    </row>
    <row r="450" spans="1:24" x14ac:dyDescent="0.35">
      <c r="A450" t="s">
        <v>253</v>
      </c>
      <c r="B450" t="s">
        <v>65</v>
      </c>
      <c r="C450" t="s">
        <v>1187</v>
      </c>
      <c r="D450" t="s">
        <v>2670</v>
      </c>
      <c r="E450" t="s">
        <v>68</v>
      </c>
      <c r="F450" t="s">
        <v>2671</v>
      </c>
      <c r="G450" t="s">
        <v>2672</v>
      </c>
      <c r="H450" s="1">
        <v>46082</v>
      </c>
      <c r="I450" s="6">
        <v>45447</v>
      </c>
      <c r="J450" s="6">
        <v>46347</v>
      </c>
      <c r="K450">
        <v>31</v>
      </c>
      <c r="L450">
        <v>32</v>
      </c>
      <c r="M450">
        <v>69</v>
      </c>
      <c r="N450" s="8">
        <v>2</v>
      </c>
      <c r="O450">
        <v>38</v>
      </c>
      <c r="P450">
        <v>23</v>
      </c>
      <c r="Q450" s="3">
        <v>0.05</v>
      </c>
      <c r="R450">
        <v>62</v>
      </c>
      <c r="S450">
        <v>76</v>
      </c>
      <c r="T450" t="s">
        <v>3877</v>
      </c>
      <c r="U450" t="s">
        <v>3836</v>
      </c>
      <c r="V450" s="14">
        <v>727</v>
      </c>
      <c r="W450">
        <f t="shared" ref="W450:W466" si="14">L450-K450</f>
        <v>1</v>
      </c>
      <c r="X450">
        <f t="shared" ref="X450:X466" si="15">M450*N450</f>
        <v>138</v>
      </c>
    </row>
    <row r="451" spans="1:24" x14ac:dyDescent="0.35">
      <c r="A451" t="s">
        <v>435</v>
      </c>
      <c r="B451" t="s">
        <v>18</v>
      </c>
      <c r="C451" t="s">
        <v>538</v>
      </c>
      <c r="D451" t="s">
        <v>3007</v>
      </c>
      <c r="E451" t="s">
        <v>68</v>
      </c>
      <c r="F451" t="s">
        <v>3008</v>
      </c>
      <c r="G451" t="s">
        <v>3009</v>
      </c>
      <c r="H451" s="1">
        <v>46155</v>
      </c>
      <c r="I451" s="6">
        <v>45516</v>
      </c>
      <c r="J451" s="6">
        <v>46261</v>
      </c>
      <c r="K451">
        <v>60</v>
      </c>
      <c r="L451">
        <v>61</v>
      </c>
      <c r="M451">
        <v>2</v>
      </c>
      <c r="N451" s="8">
        <v>6</v>
      </c>
      <c r="O451">
        <v>96</v>
      </c>
      <c r="P451">
        <v>50</v>
      </c>
      <c r="Q451" s="3">
        <v>-0.12</v>
      </c>
      <c r="R451">
        <v>360</v>
      </c>
      <c r="S451">
        <v>576</v>
      </c>
      <c r="T451" t="s">
        <v>3877</v>
      </c>
      <c r="U451" t="s">
        <v>3836</v>
      </c>
      <c r="V451" s="14">
        <v>658</v>
      </c>
      <c r="W451">
        <f t="shared" si="14"/>
        <v>1</v>
      </c>
      <c r="X451">
        <f t="shared" si="15"/>
        <v>12</v>
      </c>
    </row>
    <row r="452" spans="1:24" x14ac:dyDescent="0.35">
      <c r="A452" t="s">
        <v>1527</v>
      </c>
      <c r="B452" t="s">
        <v>18</v>
      </c>
      <c r="C452" t="s">
        <v>1478</v>
      </c>
      <c r="D452" t="s">
        <v>3090</v>
      </c>
      <c r="E452" t="s">
        <v>30</v>
      </c>
      <c r="F452" t="s">
        <v>3091</v>
      </c>
      <c r="G452" t="s">
        <v>3092</v>
      </c>
      <c r="H452" s="1">
        <v>46167</v>
      </c>
      <c r="I452" s="6">
        <v>45435</v>
      </c>
      <c r="J452" s="6">
        <v>46282</v>
      </c>
      <c r="K452">
        <v>24</v>
      </c>
      <c r="L452">
        <v>25</v>
      </c>
      <c r="M452">
        <v>52</v>
      </c>
      <c r="N452" s="8">
        <v>4.5</v>
      </c>
      <c r="O452">
        <v>24</v>
      </c>
      <c r="P452">
        <v>77</v>
      </c>
      <c r="Q452" s="3">
        <v>0.33</v>
      </c>
      <c r="R452">
        <v>108</v>
      </c>
      <c r="S452">
        <v>108</v>
      </c>
      <c r="T452" t="s">
        <v>3877</v>
      </c>
      <c r="U452" t="s">
        <v>3836</v>
      </c>
      <c r="V452" s="14">
        <v>739</v>
      </c>
      <c r="W452">
        <f t="shared" si="14"/>
        <v>1</v>
      </c>
      <c r="X452">
        <f t="shared" si="15"/>
        <v>234</v>
      </c>
    </row>
    <row r="453" spans="1:24" x14ac:dyDescent="0.35">
      <c r="A453" t="s">
        <v>596</v>
      </c>
      <c r="B453" t="s">
        <v>18</v>
      </c>
      <c r="C453" t="s">
        <v>1261</v>
      </c>
      <c r="D453" t="s">
        <v>3169</v>
      </c>
      <c r="E453" t="s">
        <v>68</v>
      </c>
      <c r="F453" t="s">
        <v>3170</v>
      </c>
      <c r="G453" t="s">
        <v>3171</v>
      </c>
      <c r="H453" s="1">
        <v>46188</v>
      </c>
      <c r="I453" s="6">
        <v>45537</v>
      </c>
      <c r="J453" s="6">
        <v>46254</v>
      </c>
      <c r="K453">
        <v>37</v>
      </c>
      <c r="L453">
        <v>38</v>
      </c>
      <c r="M453">
        <v>24</v>
      </c>
      <c r="N453" s="8">
        <v>4</v>
      </c>
      <c r="O453">
        <v>93</v>
      </c>
      <c r="P453">
        <v>32</v>
      </c>
      <c r="Q453" s="3">
        <v>0.11</v>
      </c>
      <c r="R453">
        <v>148</v>
      </c>
      <c r="S453">
        <v>372</v>
      </c>
      <c r="T453" t="s">
        <v>3877</v>
      </c>
      <c r="U453" t="s">
        <v>3836</v>
      </c>
      <c r="V453" s="14">
        <v>637</v>
      </c>
      <c r="W453">
        <f t="shared" si="14"/>
        <v>1</v>
      </c>
      <c r="X453">
        <f t="shared" si="15"/>
        <v>96</v>
      </c>
    </row>
    <row r="454" spans="1:24" x14ac:dyDescent="0.35">
      <c r="A454" t="s">
        <v>308</v>
      </c>
      <c r="B454" t="s">
        <v>27</v>
      </c>
      <c r="C454" t="s">
        <v>3307</v>
      </c>
      <c r="D454" t="s">
        <v>3308</v>
      </c>
      <c r="E454" t="s">
        <v>30</v>
      </c>
      <c r="F454" t="s">
        <v>3309</v>
      </c>
      <c r="G454" t="s">
        <v>3310</v>
      </c>
      <c r="H454" s="1">
        <v>46203</v>
      </c>
      <c r="I454" s="6">
        <v>45497</v>
      </c>
      <c r="J454" s="6">
        <v>46221</v>
      </c>
      <c r="K454">
        <v>85</v>
      </c>
      <c r="L454">
        <v>86</v>
      </c>
      <c r="M454">
        <v>21</v>
      </c>
      <c r="N454" s="8">
        <v>6.5</v>
      </c>
      <c r="O454">
        <v>78</v>
      </c>
      <c r="P454">
        <v>53</v>
      </c>
      <c r="Q454" s="3">
        <v>-0.23</v>
      </c>
      <c r="R454">
        <v>552.5</v>
      </c>
      <c r="S454">
        <v>507</v>
      </c>
      <c r="T454" t="s">
        <v>3877</v>
      </c>
      <c r="U454" t="s">
        <v>3836</v>
      </c>
      <c r="V454" s="14">
        <v>677</v>
      </c>
      <c r="W454">
        <f t="shared" si="14"/>
        <v>1</v>
      </c>
      <c r="X454">
        <f t="shared" si="15"/>
        <v>136.5</v>
      </c>
    </row>
    <row r="455" spans="1:24" x14ac:dyDescent="0.35">
      <c r="A455" t="s">
        <v>337</v>
      </c>
      <c r="B455" t="s">
        <v>27</v>
      </c>
      <c r="C455" t="s">
        <v>862</v>
      </c>
      <c r="D455" t="s">
        <v>3499</v>
      </c>
      <c r="E455" t="s">
        <v>21</v>
      </c>
      <c r="F455" t="s">
        <v>3500</v>
      </c>
      <c r="G455" t="s">
        <v>3501</v>
      </c>
      <c r="H455" s="1">
        <v>46247</v>
      </c>
      <c r="I455" s="6">
        <v>45471</v>
      </c>
      <c r="J455" s="6">
        <v>46086</v>
      </c>
      <c r="K455">
        <v>47</v>
      </c>
      <c r="L455">
        <v>48</v>
      </c>
      <c r="M455">
        <v>73</v>
      </c>
      <c r="N455" s="8">
        <v>6</v>
      </c>
      <c r="O455">
        <v>42</v>
      </c>
      <c r="P455">
        <v>51</v>
      </c>
      <c r="Q455" s="3">
        <v>0.66</v>
      </c>
      <c r="R455">
        <v>282</v>
      </c>
      <c r="S455">
        <v>252</v>
      </c>
      <c r="T455" t="s">
        <v>3877</v>
      </c>
      <c r="U455" t="s">
        <v>3838</v>
      </c>
      <c r="V455" s="14">
        <v>703</v>
      </c>
      <c r="W455">
        <f t="shared" si="14"/>
        <v>1</v>
      </c>
      <c r="X455">
        <f t="shared" si="15"/>
        <v>438</v>
      </c>
    </row>
    <row r="456" spans="1:24" x14ac:dyDescent="0.35">
      <c r="A456" t="s">
        <v>43</v>
      </c>
      <c r="B456" t="s">
        <v>18</v>
      </c>
      <c r="C456" t="s">
        <v>490</v>
      </c>
      <c r="D456" t="s">
        <v>3753</v>
      </c>
      <c r="E456" t="s">
        <v>21</v>
      </c>
      <c r="F456" t="s">
        <v>3754</v>
      </c>
      <c r="G456" t="s">
        <v>3755</v>
      </c>
      <c r="H456" s="1">
        <v>46288</v>
      </c>
      <c r="I456" s="6">
        <v>45617</v>
      </c>
      <c r="J456" s="6">
        <v>46121</v>
      </c>
      <c r="K456">
        <v>67</v>
      </c>
      <c r="L456">
        <v>68</v>
      </c>
      <c r="M456">
        <v>50</v>
      </c>
      <c r="N456" s="8">
        <v>1.5</v>
      </c>
      <c r="O456">
        <v>67</v>
      </c>
      <c r="P456">
        <v>82</v>
      </c>
      <c r="Q456" s="3">
        <v>-0.16</v>
      </c>
      <c r="R456">
        <v>100.5</v>
      </c>
      <c r="S456">
        <v>100.5</v>
      </c>
      <c r="T456" t="s">
        <v>3877</v>
      </c>
      <c r="U456" t="s">
        <v>3838</v>
      </c>
      <c r="V456" s="14">
        <v>557</v>
      </c>
      <c r="W456">
        <f t="shared" si="14"/>
        <v>1</v>
      </c>
      <c r="X456">
        <f t="shared" si="15"/>
        <v>75</v>
      </c>
    </row>
    <row r="457" spans="1:24" x14ac:dyDescent="0.35">
      <c r="A457" t="s">
        <v>418</v>
      </c>
      <c r="B457" t="s">
        <v>65</v>
      </c>
      <c r="C457" t="s">
        <v>1047</v>
      </c>
      <c r="D457" t="s">
        <v>1048</v>
      </c>
      <c r="E457" t="s">
        <v>21</v>
      </c>
      <c r="F457" t="s">
        <v>1049</v>
      </c>
      <c r="G457" t="s">
        <v>1050</v>
      </c>
      <c r="H457" s="1">
        <v>46241</v>
      </c>
      <c r="I457" s="6">
        <v>45488</v>
      </c>
      <c r="J457" s="6">
        <v>46196</v>
      </c>
      <c r="K457">
        <v>68</v>
      </c>
      <c r="L457">
        <v>68</v>
      </c>
      <c r="M457">
        <v>97</v>
      </c>
      <c r="N457" s="8">
        <v>6</v>
      </c>
      <c r="O457">
        <v>37</v>
      </c>
      <c r="P457">
        <v>31</v>
      </c>
      <c r="Q457" s="3">
        <v>-1.27</v>
      </c>
      <c r="R457">
        <v>408</v>
      </c>
      <c r="S457">
        <v>222</v>
      </c>
      <c r="T457" t="s">
        <v>3877</v>
      </c>
      <c r="U457" t="s">
        <v>3837</v>
      </c>
      <c r="V457" s="14">
        <v>686</v>
      </c>
      <c r="W457">
        <f t="shared" si="14"/>
        <v>0</v>
      </c>
      <c r="X457">
        <f t="shared" si="15"/>
        <v>582</v>
      </c>
    </row>
    <row r="458" spans="1:24" x14ac:dyDescent="0.35">
      <c r="A458" t="s">
        <v>1311</v>
      </c>
      <c r="B458" t="s">
        <v>36</v>
      </c>
      <c r="C458" t="s">
        <v>1047</v>
      </c>
      <c r="D458" t="s">
        <v>1312</v>
      </c>
      <c r="E458" t="s">
        <v>21</v>
      </c>
      <c r="F458" t="s">
        <v>1313</v>
      </c>
      <c r="G458" t="s">
        <v>1314</v>
      </c>
      <c r="H458" s="1">
        <v>46304</v>
      </c>
      <c r="I458" s="6">
        <v>45431</v>
      </c>
      <c r="J458" s="6">
        <v>46204</v>
      </c>
      <c r="K458">
        <v>49</v>
      </c>
      <c r="L458">
        <v>49</v>
      </c>
      <c r="M458">
        <v>26</v>
      </c>
      <c r="N458" s="8">
        <v>8</v>
      </c>
      <c r="O458">
        <v>78</v>
      </c>
      <c r="P458">
        <v>61</v>
      </c>
      <c r="Q458" s="3">
        <v>0.47</v>
      </c>
      <c r="R458">
        <v>392</v>
      </c>
      <c r="S458">
        <v>624</v>
      </c>
      <c r="T458" t="s">
        <v>3877</v>
      </c>
      <c r="U458" t="s">
        <v>3836</v>
      </c>
      <c r="V458" s="14">
        <v>743</v>
      </c>
      <c r="W458">
        <f t="shared" si="14"/>
        <v>0</v>
      </c>
      <c r="X458">
        <f t="shared" si="15"/>
        <v>208</v>
      </c>
    </row>
    <row r="459" spans="1:24" x14ac:dyDescent="0.35">
      <c r="A459" t="s">
        <v>1527</v>
      </c>
      <c r="B459" t="s">
        <v>18</v>
      </c>
      <c r="C459" t="s">
        <v>404</v>
      </c>
      <c r="D459" t="s">
        <v>1528</v>
      </c>
      <c r="E459" t="s">
        <v>68</v>
      </c>
      <c r="F459" t="s">
        <v>1529</v>
      </c>
      <c r="G459" t="s">
        <v>1530</v>
      </c>
      <c r="H459" s="1">
        <v>46363</v>
      </c>
      <c r="I459" s="6">
        <v>45564</v>
      </c>
      <c r="J459" s="6">
        <v>46256</v>
      </c>
      <c r="K459">
        <v>97</v>
      </c>
      <c r="L459">
        <v>97</v>
      </c>
      <c r="M459">
        <v>71</v>
      </c>
      <c r="N459" s="8">
        <v>4.5</v>
      </c>
      <c r="O459">
        <v>53</v>
      </c>
      <c r="P459">
        <v>31</v>
      </c>
      <c r="Q459" s="3">
        <v>-0.64</v>
      </c>
      <c r="R459">
        <v>436.5</v>
      </c>
      <c r="S459">
        <v>238.5</v>
      </c>
      <c r="T459" t="s">
        <v>3877</v>
      </c>
      <c r="U459" t="s">
        <v>3836</v>
      </c>
      <c r="V459" s="14">
        <v>610</v>
      </c>
      <c r="W459">
        <f t="shared" si="14"/>
        <v>0</v>
      </c>
      <c r="X459">
        <f t="shared" si="15"/>
        <v>319.5</v>
      </c>
    </row>
    <row r="460" spans="1:24" x14ac:dyDescent="0.35">
      <c r="A460" t="s">
        <v>665</v>
      </c>
      <c r="B460" t="s">
        <v>65</v>
      </c>
      <c r="C460" t="s">
        <v>1675</v>
      </c>
      <c r="D460" t="s">
        <v>1676</v>
      </c>
      <c r="E460" t="s">
        <v>30</v>
      </c>
      <c r="F460" t="s">
        <v>1677</v>
      </c>
      <c r="G460" t="s">
        <v>1678</v>
      </c>
      <c r="H460" s="1">
        <v>46539</v>
      </c>
      <c r="I460" s="6">
        <v>45444</v>
      </c>
      <c r="J460" s="6">
        <v>46148</v>
      </c>
      <c r="K460">
        <v>20</v>
      </c>
      <c r="L460">
        <v>20</v>
      </c>
      <c r="M460">
        <v>56</v>
      </c>
      <c r="N460" s="8">
        <v>1.8</v>
      </c>
      <c r="O460">
        <v>62</v>
      </c>
      <c r="P460">
        <v>69</v>
      </c>
      <c r="Q460" s="3">
        <v>-0.31</v>
      </c>
      <c r="R460">
        <v>36</v>
      </c>
      <c r="S460">
        <v>111.60000000000001</v>
      </c>
      <c r="T460" t="s">
        <v>3877</v>
      </c>
      <c r="U460" t="s">
        <v>3838</v>
      </c>
      <c r="V460" s="14">
        <v>730</v>
      </c>
      <c r="W460">
        <f t="shared" si="14"/>
        <v>0</v>
      </c>
      <c r="X460">
        <f t="shared" si="15"/>
        <v>100.8</v>
      </c>
    </row>
    <row r="461" spans="1:24" x14ac:dyDescent="0.35">
      <c r="A461" t="s">
        <v>314</v>
      </c>
      <c r="B461" t="s">
        <v>18</v>
      </c>
      <c r="C461" t="s">
        <v>1841</v>
      </c>
      <c r="D461" t="s">
        <v>1842</v>
      </c>
      <c r="E461" t="s">
        <v>30</v>
      </c>
      <c r="F461" t="s">
        <v>1843</v>
      </c>
      <c r="G461" t="s">
        <v>1844</v>
      </c>
      <c r="H461" s="1">
        <v>46402</v>
      </c>
      <c r="I461" s="6">
        <v>45412</v>
      </c>
      <c r="J461" s="6">
        <v>46185</v>
      </c>
      <c r="K461">
        <v>22</v>
      </c>
      <c r="L461">
        <v>22</v>
      </c>
      <c r="M461">
        <v>65</v>
      </c>
      <c r="N461" s="8">
        <v>2</v>
      </c>
      <c r="O461">
        <v>62</v>
      </c>
      <c r="P461">
        <v>78</v>
      </c>
      <c r="Q461" s="3">
        <v>-1.73</v>
      </c>
      <c r="R461">
        <v>44</v>
      </c>
      <c r="S461">
        <v>124</v>
      </c>
      <c r="T461" t="s">
        <v>3877</v>
      </c>
      <c r="U461" t="s">
        <v>3837</v>
      </c>
      <c r="V461" s="14">
        <v>762</v>
      </c>
      <c r="W461">
        <f t="shared" si="14"/>
        <v>0</v>
      </c>
      <c r="X461">
        <f t="shared" si="15"/>
        <v>130</v>
      </c>
    </row>
    <row r="462" spans="1:24" x14ac:dyDescent="0.35">
      <c r="A462" t="s">
        <v>89</v>
      </c>
      <c r="B462" t="s">
        <v>36</v>
      </c>
      <c r="C462" t="s">
        <v>19</v>
      </c>
      <c r="D462" t="s">
        <v>1897</v>
      </c>
      <c r="E462" t="s">
        <v>21</v>
      </c>
      <c r="F462" t="s">
        <v>1898</v>
      </c>
      <c r="G462" t="s">
        <v>1899</v>
      </c>
      <c r="H462" s="1">
        <v>46408</v>
      </c>
      <c r="I462" s="6">
        <v>45545</v>
      </c>
      <c r="J462" s="6">
        <v>46378</v>
      </c>
      <c r="K462">
        <v>92</v>
      </c>
      <c r="L462">
        <v>92</v>
      </c>
      <c r="M462">
        <v>28</v>
      </c>
      <c r="N462" s="8">
        <v>1.75</v>
      </c>
      <c r="O462">
        <v>50</v>
      </c>
      <c r="P462">
        <v>67</v>
      </c>
      <c r="Q462" s="3">
        <v>0.23</v>
      </c>
      <c r="R462">
        <v>161</v>
      </c>
      <c r="S462">
        <v>87.5</v>
      </c>
      <c r="T462" t="s">
        <v>3877</v>
      </c>
      <c r="U462" t="s">
        <v>3836</v>
      </c>
      <c r="V462" s="14">
        <v>629</v>
      </c>
      <c r="W462">
        <f t="shared" si="14"/>
        <v>0</v>
      </c>
      <c r="X462">
        <f t="shared" si="15"/>
        <v>49</v>
      </c>
    </row>
    <row r="463" spans="1:24" x14ac:dyDescent="0.35">
      <c r="A463" t="s">
        <v>356</v>
      </c>
      <c r="B463" t="s">
        <v>18</v>
      </c>
      <c r="C463" t="s">
        <v>1619</v>
      </c>
      <c r="D463" t="s">
        <v>2710</v>
      </c>
      <c r="E463" t="s">
        <v>21</v>
      </c>
      <c r="F463" t="s">
        <v>2711</v>
      </c>
      <c r="G463" t="s">
        <v>2712</v>
      </c>
      <c r="H463" s="1">
        <v>46098</v>
      </c>
      <c r="I463" s="6">
        <v>45682</v>
      </c>
      <c r="J463" s="6">
        <v>46325</v>
      </c>
      <c r="K463">
        <v>48</v>
      </c>
      <c r="L463">
        <v>48</v>
      </c>
      <c r="M463">
        <v>39</v>
      </c>
      <c r="N463" s="8">
        <v>3.45</v>
      </c>
      <c r="O463">
        <v>51</v>
      </c>
      <c r="P463">
        <v>50</v>
      </c>
      <c r="Q463" s="3">
        <v>0.93</v>
      </c>
      <c r="R463">
        <v>165.60000000000002</v>
      </c>
      <c r="S463">
        <v>175.95000000000002</v>
      </c>
      <c r="T463" t="s">
        <v>3877</v>
      </c>
      <c r="U463" t="s">
        <v>3836</v>
      </c>
      <c r="V463" s="14">
        <v>492</v>
      </c>
      <c r="W463">
        <f t="shared" si="14"/>
        <v>0</v>
      </c>
      <c r="X463">
        <f t="shared" si="15"/>
        <v>134.55000000000001</v>
      </c>
    </row>
    <row r="464" spans="1:24" x14ac:dyDescent="0.35">
      <c r="A464" t="s">
        <v>177</v>
      </c>
      <c r="B464" t="s">
        <v>18</v>
      </c>
      <c r="C464" t="s">
        <v>2717</v>
      </c>
      <c r="D464" t="s">
        <v>2718</v>
      </c>
      <c r="E464" t="s">
        <v>68</v>
      </c>
      <c r="F464" t="s">
        <v>2719</v>
      </c>
      <c r="G464" t="s">
        <v>2720</v>
      </c>
      <c r="H464" s="1">
        <v>46099</v>
      </c>
      <c r="I464" s="6">
        <v>45509</v>
      </c>
      <c r="J464" s="6">
        <v>46416</v>
      </c>
      <c r="K464">
        <v>58</v>
      </c>
      <c r="L464">
        <v>58</v>
      </c>
      <c r="M464">
        <v>28</v>
      </c>
      <c r="N464" s="8">
        <v>4.7</v>
      </c>
      <c r="O464">
        <v>85</v>
      </c>
      <c r="P464">
        <v>63</v>
      </c>
      <c r="Q464" s="3">
        <v>0.81</v>
      </c>
      <c r="R464">
        <v>272.60000000000002</v>
      </c>
      <c r="S464">
        <v>399.5</v>
      </c>
      <c r="T464" t="s">
        <v>3877</v>
      </c>
      <c r="U464" t="s">
        <v>3836</v>
      </c>
      <c r="V464" s="14">
        <v>665</v>
      </c>
      <c r="W464">
        <f t="shared" si="14"/>
        <v>0</v>
      </c>
      <c r="X464">
        <f t="shared" si="15"/>
        <v>131.6</v>
      </c>
    </row>
    <row r="465" spans="1:24" x14ac:dyDescent="0.35">
      <c r="A465" t="s">
        <v>212</v>
      </c>
      <c r="B465" t="s">
        <v>75</v>
      </c>
      <c r="C465" t="s">
        <v>1129</v>
      </c>
      <c r="D465" t="s">
        <v>3561</v>
      </c>
      <c r="E465" t="s">
        <v>68</v>
      </c>
      <c r="F465" t="s">
        <v>3562</v>
      </c>
      <c r="G465" t="s">
        <v>3563</v>
      </c>
      <c r="H465" s="1">
        <v>46252</v>
      </c>
      <c r="I465" s="6">
        <v>45606</v>
      </c>
      <c r="J465" s="6">
        <v>46096</v>
      </c>
      <c r="K465">
        <v>59</v>
      </c>
      <c r="L465">
        <v>59</v>
      </c>
      <c r="M465">
        <v>10</v>
      </c>
      <c r="N465" s="8">
        <v>7</v>
      </c>
      <c r="O465">
        <v>57</v>
      </c>
      <c r="P465">
        <v>50</v>
      </c>
      <c r="Q465" s="3">
        <v>0.26</v>
      </c>
      <c r="R465">
        <v>413</v>
      </c>
      <c r="S465">
        <v>399</v>
      </c>
      <c r="T465" t="s">
        <v>3877</v>
      </c>
      <c r="U465" t="s">
        <v>3838</v>
      </c>
      <c r="V465" s="14">
        <v>568</v>
      </c>
      <c r="W465">
        <f t="shared" si="14"/>
        <v>0</v>
      </c>
      <c r="X465">
        <f t="shared" si="15"/>
        <v>70</v>
      </c>
    </row>
    <row r="466" spans="1:24" x14ac:dyDescent="0.35">
      <c r="A466" t="s">
        <v>2946</v>
      </c>
      <c r="B466" t="s">
        <v>65</v>
      </c>
      <c r="C466" t="s">
        <v>1129</v>
      </c>
      <c r="D466" t="s">
        <v>3790</v>
      </c>
      <c r="E466" t="s">
        <v>68</v>
      </c>
      <c r="F466" t="s">
        <v>3791</v>
      </c>
      <c r="G466" t="s">
        <v>3792</v>
      </c>
      <c r="H466" s="1">
        <v>46294</v>
      </c>
      <c r="I466" s="6">
        <v>45469</v>
      </c>
      <c r="J466" s="6">
        <v>46343</v>
      </c>
      <c r="K466">
        <v>72</v>
      </c>
      <c r="L466">
        <v>72</v>
      </c>
      <c r="M466">
        <v>68</v>
      </c>
      <c r="N466" s="8">
        <v>1.5</v>
      </c>
      <c r="O466">
        <v>39</v>
      </c>
      <c r="P466">
        <v>78</v>
      </c>
      <c r="Q466" s="3">
        <v>-1.23</v>
      </c>
      <c r="R466">
        <v>108</v>
      </c>
      <c r="S466">
        <v>58.5</v>
      </c>
      <c r="T466" t="s">
        <v>3877</v>
      </c>
      <c r="U466" t="s">
        <v>3836</v>
      </c>
      <c r="V466" s="14">
        <v>705</v>
      </c>
      <c r="W466">
        <f t="shared" si="14"/>
        <v>0</v>
      </c>
      <c r="X466">
        <f t="shared" si="15"/>
        <v>102</v>
      </c>
    </row>
  </sheetData>
  <sortState xmlns:xlrd2="http://schemas.microsoft.com/office/spreadsheetml/2017/richdata2" ref="A2:X466">
    <sortCondition descending="1" ref="W2:W46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0C9D-C616-4A41-A0B8-786114A6E3E6}">
  <dimension ref="A2:E55"/>
  <sheetViews>
    <sheetView topLeftCell="A34" workbookViewId="0">
      <selection activeCell="E43" sqref="E43"/>
    </sheetView>
  </sheetViews>
  <sheetFormatPr defaultRowHeight="14.5" x14ac:dyDescent="0.35"/>
  <cols>
    <col min="1" max="1" width="12.36328125" bestFit="1" customWidth="1"/>
    <col min="2" max="2" width="21.36328125" bestFit="1" customWidth="1"/>
    <col min="3" max="3" width="17.54296875" bestFit="1" customWidth="1"/>
    <col min="4" max="4" width="11.81640625" bestFit="1" customWidth="1"/>
    <col min="5" max="5" width="10.7265625" bestFit="1" customWidth="1"/>
  </cols>
  <sheetData>
    <row r="2" spans="1:5" x14ac:dyDescent="0.35">
      <c r="A2" s="35" t="s">
        <v>3880</v>
      </c>
      <c r="B2" s="36"/>
      <c r="C2" s="36"/>
      <c r="D2" s="36"/>
      <c r="E2" s="37"/>
    </row>
    <row r="3" spans="1:5" x14ac:dyDescent="0.35">
      <c r="A3" s="23" t="s">
        <v>3884</v>
      </c>
      <c r="B3" s="23" t="s">
        <v>3883</v>
      </c>
    </row>
    <row r="4" spans="1:5" x14ac:dyDescent="0.35">
      <c r="A4" s="23" t="s">
        <v>3881</v>
      </c>
      <c r="B4" t="s">
        <v>68</v>
      </c>
      <c r="C4" t="s">
        <v>30</v>
      </c>
      <c r="D4" t="s">
        <v>21</v>
      </c>
      <c r="E4" t="s">
        <v>3882</v>
      </c>
    </row>
    <row r="5" spans="1:5" x14ac:dyDescent="0.35">
      <c r="A5" s="24" t="s">
        <v>114</v>
      </c>
      <c r="B5">
        <v>22</v>
      </c>
      <c r="C5">
        <v>29</v>
      </c>
      <c r="D5">
        <v>23</v>
      </c>
      <c r="E5">
        <v>74</v>
      </c>
    </row>
    <row r="6" spans="1:5" x14ac:dyDescent="0.35">
      <c r="A6" s="24" t="s">
        <v>163</v>
      </c>
      <c r="B6">
        <v>31</v>
      </c>
      <c r="C6">
        <v>23</v>
      </c>
      <c r="D6">
        <v>21</v>
      </c>
      <c r="E6">
        <v>75</v>
      </c>
    </row>
    <row r="7" spans="1:5" x14ac:dyDescent="0.35">
      <c r="A7" s="24" t="s">
        <v>36</v>
      </c>
      <c r="B7">
        <v>56</v>
      </c>
      <c r="C7">
        <v>59</v>
      </c>
      <c r="D7">
        <v>65</v>
      </c>
      <c r="E7">
        <v>180</v>
      </c>
    </row>
    <row r="8" spans="1:5" x14ac:dyDescent="0.35">
      <c r="A8" s="24" t="s">
        <v>18</v>
      </c>
      <c r="B8">
        <v>108</v>
      </c>
      <c r="C8">
        <v>112</v>
      </c>
      <c r="D8">
        <v>111</v>
      </c>
      <c r="E8">
        <v>331</v>
      </c>
    </row>
    <row r="9" spans="1:5" x14ac:dyDescent="0.35">
      <c r="A9" s="24" t="s">
        <v>65</v>
      </c>
      <c r="B9">
        <v>56</v>
      </c>
      <c r="C9">
        <v>54</v>
      </c>
      <c r="D9">
        <v>52</v>
      </c>
      <c r="E9">
        <v>162</v>
      </c>
    </row>
    <row r="10" spans="1:5" x14ac:dyDescent="0.35">
      <c r="A10" s="24" t="s">
        <v>27</v>
      </c>
      <c r="B10">
        <v>23</v>
      </c>
      <c r="C10">
        <v>24</v>
      </c>
      <c r="D10">
        <v>30</v>
      </c>
      <c r="E10">
        <v>77</v>
      </c>
    </row>
    <row r="11" spans="1:5" x14ac:dyDescent="0.35">
      <c r="A11" s="24" t="s">
        <v>75</v>
      </c>
      <c r="B11">
        <v>36</v>
      </c>
      <c r="C11">
        <v>24</v>
      </c>
      <c r="D11">
        <v>30</v>
      </c>
      <c r="E11">
        <v>90</v>
      </c>
    </row>
    <row r="12" spans="1:5" x14ac:dyDescent="0.35">
      <c r="A12" s="24" t="s">
        <v>3882</v>
      </c>
      <c r="B12">
        <v>332</v>
      </c>
      <c r="C12">
        <v>325</v>
      </c>
      <c r="D12">
        <v>332</v>
      </c>
      <c r="E12">
        <v>989</v>
      </c>
    </row>
    <row r="15" spans="1:5" x14ac:dyDescent="0.35">
      <c r="A15" s="35" t="s">
        <v>3886</v>
      </c>
      <c r="B15" s="37"/>
    </row>
    <row r="16" spans="1:5" x14ac:dyDescent="0.35">
      <c r="A16" s="23" t="s">
        <v>3881</v>
      </c>
      <c r="B16" t="s">
        <v>3885</v>
      </c>
    </row>
    <row r="17" spans="1:3" x14ac:dyDescent="0.35">
      <c r="A17" s="24" t="s">
        <v>114</v>
      </c>
      <c r="B17" s="17">
        <v>18354.3</v>
      </c>
    </row>
    <row r="18" spans="1:3" x14ac:dyDescent="0.35">
      <c r="A18" s="24" t="s">
        <v>163</v>
      </c>
      <c r="B18" s="17">
        <v>71517.55</v>
      </c>
    </row>
    <row r="19" spans="1:3" x14ac:dyDescent="0.35">
      <c r="A19" s="24" t="s">
        <v>36</v>
      </c>
      <c r="B19" s="17">
        <v>48344.950000000004</v>
      </c>
    </row>
    <row r="20" spans="1:3" x14ac:dyDescent="0.35">
      <c r="A20" s="24" t="s">
        <v>18</v>
      </c>
      <c r="B20" s="17">
        <v>91634.489999999976</v>
      </c>
    </row>
    <row r="21" spans="1:3" x14ac:dyDescent="0.35">
      <c r="A21" s="24" t="s">
        <v>65</v>
      </c>
      <c r="B21" s="17">
        <v>33797.050000000003</v>
      </c>
    </row>
    <row r="22" spans="1:3" x14ac:dyDescent="0.35">
      <c r="A22" s="24" t="s">
        <v>27</v>
      </c>
      <c r="B22" s="17">
        <v>18841.899999999994</v>
      </c>
    </row>
    <row r="23" spans="1:3" x14ac:dyDescent="0.35">
      <c r="A23" s="24" t="s">
        <v>75</v>
      </c>
      <c r="B23" s="17">
        <v>61539.1</v>
      </c>
    </row>
    <row r="24" spans="1:3" x14ac:dyDescent="0.35">
      <c r="A24" s="24" t="s">
        <v>3882</v>
      </c>
      <c r="B24" s="17">
        <v>344029.33999999997</v>
      </c>
    </row>
    <row r="27" spans="1:3" x14ac:dyDescent="0.35">
      <c r="A27" s="35" t="s">
        <v>3902</v>
      </c>
      <c r="B27" s="36"/>
      <c r="C27" s="37"/>
    </row>
    <row r="28" spans="1:3" x14ac:dyDescent="0.35">
      <c r="A28" s="23" t="s">
        <v>3881</v>
      </c>
      <c r="B28" t="s">
        <v>3884</v>
      </c>
      <c r="C28" t="s">
        <v>3901</v>
      </c>
    </row>
    <row r="29" spans="1:3" x14ac:dyDescent="0.35">
      <c r="A29" s="24" t="s">
        <v>3887</v>
      </c>
      <c r="B29">
        <v>847</v>
      </c>
      <c r="C29" s="17">
        <v>284996.37000000005</v>
      </c>
    </row>
    <row r="30" spans="1:3" x14ac:dyDescent="0.35">
      <c r="A30" s="25" t="s">
        <v>3889</v>
      </c>
      <c r="B30">
        <v>22</v>
      </c>
      <c r="C30" s="17">
        <v>6710.7000000000007</v>
      </c>
    </row>
    <row r="31" spans="1:3" x14ac:dyDescent="0.35">
      <c r="A31" s="25" t="s">
        <v>3890</v>
      </c>
      <c r="B31">
        <v>38</v>
      </c>
      <c r="C31" s="17">
        <v>12419.65</v>
      </c>
    </row>
    <row r="32" spans="1:3" x14ac:dyDescent="0.35">
      <c r="A32" s="25" t="s">
        <v>3891</v>
      </c>
      <c r="B32">
        <v>83</v>
      </c>
      <c r="C32" s="17">
        <v>23888.760000000006</v>
      </c>
    </row>
    <row r="33" spans="1:3" x14ac:dyDescent="0.35">
      <c r="A33" s="25" t="s">
        <v>3892</v>
      </c>
      <c r="B33">
        <v>69</v>
      </c>
      <c r="C33" s="17">
        <v>23652.6</v>
      </c>
    </row>
    <row r="34" spans="1:3" x14ac:dyDescent="0.35">
      <c r="A34" s="25" t="s">
        <v>3893</v>
      </c>
      <c r="B34">
        <v>82</v>
      </c>
      <c r="C34" s="17">
        <v>28506.970000000008</v>
      </c>
    </row>
    <row r="35" spans="1:3" x14ac:dyDescent="0.35">
      <c r="A35" s="25" t="s">
        <v>3894</v>
      </c>
      <c r="B35">
        <v>80</v>
      </c>
      <c r="C35" s="17">
        <v>29796.2</v>
      </c>
    </row>
    <row r="36" spans="1:3" x14ac:dyDescent="0.35">
      <c r="A36" s="25" t="s">
        <v>3895</v>
      </c>
      <c r="B36">
        <v>76</v>
      </c>
      <c r="C36" s="17">
        <v>21961.35</v>
      </c>
    </row>
    <row r="37" spans="1:3" x14ac:dyDescent="0.35">
      <c r="A37" s="25" t="s">
        <v>3896</v>
      </c>
      <c r="B37">
        <v>93</v>
      </c>
      <c r="C37" s="17">
        <v>28221.52</v>
      </c>
    </row>
    <row r="38" spans="1:3" x14ac:dyDescent="0.35">
      <c r="A38" s="25" t="s">
        <v>3897</v>
      </c>
      <c r="B38">
        <v>60</v>
      </c>
      <c r="C38" s="17">
        <v>25527.08</v>
      </c>
    </row>
    <row r="39" spans="1:3" x14ac:dyDescent="0.35">
      <c r="A39" s="25" t="s">
        <v>3898</v>
      </c>
      <c r="B39">
        <v>92</v>
      </c>
      <c r="C39" s="17">
        <v>26897.840000000004</v>
      </c>
    </row>
    <row r="40" spans="1:3" x14ac:dyDescent="0.35">
      <c r="A40" s="25" t="s">
        <v>3899</v>
      </c>
      <c r="B40">
        <v>78</v>
      </c>
      <c r="C40" s="17">
        <v>27970.449999999997</v>
      </c>
    </row>
    <row r="41" spans="1:3" x14ac:dyDescent="0.35">
      <c r="A41" s="25" t="s">
        <v>3900</v>
      </c>
      <c r="B41">
        <v>74</v>
      </c>
      <c r="C41" s="17">
        <v>29443.25</v>
      </c>
    </row>
    <row r="42" spans="1:3" x14ac:dyDescent="0.35">
      <c r="A42" s="24" t="s">
        <v>3888</v>
      </c>
      <c r="B42">
        <v>142</v>
      </c>
      <c r="C42" s="17">
        <v>47094.340000000004</v>
      </c>
    </row>
    <row r="43" spans="1:3" x14ac:dyDescent="0.35">
      <c r="A43" s="25" t="s">
        <v>3889</v>
      </c>
      <c r="B43">
        <v>53</v>
      </c>
      <c r="C43" s="17">
        <v>18261.2</v>
      </c>
    </row>
    <row r="44" spans="1:3" x14ac:dyDescent="0.35">
      <c r="A44" s="25" t="s">
        <v>3890</v>
      </c>
      <c r="B44">
        <v>32</v>
      </c>
      <c r="C44" s="17">
        <v>9935.0499999999993</v>
      </c>
    </row>
    <row r="45" spans="1:3" x14ac:dyDescent="0.35">
      <c r="A45" s="25" t="s">
        <v>3891</v>
      </c>
      <c r="B45">
        <v>7</v>
      </c>
      <c r="C45" s="17">
        <v>1616.5</v>
      </c>
    </row>
    <row r="46" spans="1:3" x14ac:dyDescent="0.35">
      <c r="A46" s="25" t="s">
        <v>3892</v>
      </c>
      <c r="B46">
        <v>7</v>
      </c>
      <c r="C46" s="17">
        <v>2962</v>
      </c>
    </row>
    <row r="47" spans="1:3" x14ac:dyDescent="0.35">
      <c r="A47" s="25" t="s">
        <v>3893</v>
      </c>
      <c r="B47">
        <v>5</v>
      </c>
      <c r="C47" s="17">
        <v>1201.8</v>
      </c>
    </row>
    <row r="48" spans="1:3" x14ac:dyDescent="0.35">
      <c r="A48" s="25" t="s">
        <v>3894</v>
      </c>
      <c r="B48">
        <v>7</v>
      </c>
      <c r="C48" s="17">
        <v>1547.8</v>
      </c>
    </row>
    <row r="49" spans="1:3" x14ac:dyDescent="0.35">
      <c r="A49" s="25" t="s">
        <v>3895</v>
      </c>
      <c r="B49">
        <v>6</v>
      </c>
      <c r="C49" s="17">
        <v>1898.1000000000001</v>
      </c>
    </row>
    <row r="50" spans="1:3" x14ac:dyDescent="0.35">
      <c r="A50" s="25" t="s">
        <v>3896</v>
      </c>
      <c r="B50">
        <v>5</v>
      </c>
      <c r="C50" s="17">
        <v>4963.54</v>
      </c>
    </row>
    <row r="51" spans="1:3" x14ac:dyDescent="0.35">
      <c r="A51" s="25" t="s">
        <v>3897</v>
      </c>
      <c r="B51">
        <v>8</v>
      </c>
      <c r="C51" s="17">
        <v>1578</v>
      </c>
    </row>
    <row r="52" spans="1:3" x14ac:dyDescent="0.35">
      <c r="A52" s="25" t="s">
        <v>3898</v>
      </c>
      <c r="B52">
        <v>6</v>
      </c>
      <c r="C52" s="17">
        <v>1716.7</v>
      </c>
    </row>
    <row r="53" spans="1:3" x14ac:dyDescent="0.35">
      <c r="A53" s="25" t="s">
        <v>3899</v>
      </c>
      <c r="B53">
        <v>3</v>
      </c>
      <c r="C53" s="17">
        <v>790.15</v>
      </c>
    </row>
    <row r="54" spans="1:3" x14ac:dyDescent="0.35">
      <c r="A54" s="25" t="s">
        <v>3900</v>
      </c>
      <c r="B54">
        <v>3</v>
      </c>
      <c r="C54" s="17">
        <v>623.5</v>
      </c>
    </row>
    <row r="55" spans="1:3" x14ac:dyDescent="0.35">
      <c r="A55" s="24" t="s">
        <v>3882</v>
      </c>
      <c r="B55">
        <v>989</v>
      </c>
      <c r="C55" s="17">
        <v>332090.7100000002</v>
      </c>
    </row>
  </sheetData>
  <mergeCells count="3">
    <mergeCell ref="A2:E2"/>
    <mergeCell ref="A15:B15"/>
    <mergeCell ref="A27:C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34FA-DA15-48BD-8B10-FD319B0A76F2}">
  <dimension ref="A1:H13"/>
  <sheetViews>
    <sheetView tabSelected="1" zoomScale="53" workbookViewId="0">
      <selection activeCell="N9" sqref="N9"/>
    </sheetView>
  </sheetViews>
  <sheetFormatPr defaultRowHeight="14.5" x14ac:dyDescent="0.35"/>
  <cols>
    <col min="2" max="2" width="28" bestFit="1" customWidth="1"/>
    <col min="3" max="3" width="15.81640625" bestFit="1" customWidth="1"/>
  </cols>
  <sheetData>
    <row r="1" spans="1:8" ht="26" x14ac:dyDescent="0.35">
      <c r="A1" s="31"/>
      <c r="B1" s="34" t="s">
        <v>3903</v>
      </c>
      <c r="C1" s="34"/>
      <c r="D1" s="34"/>
      <c r="E1" s="34"/>
      <c r="F1" s="34"/>
      <c r="G1" s="34"/>
      <c r="H1" s="34"/>
    </row>
    <row r="2" spans="1:8" ht="26" x14ac:dyDescent="0.6">
      <c r="A2" s="27"/>
      <c r="B2" s="26"/>
      <c r="C2" s="26"/>
    </row>
    <row r="3" spans="1:8" x14ac:dyDescent="0.35">
      <c r="B3" s="28" t="s">
        <v>3856</v>
      </c>
      <c r="C3" s="33">
        <f ca="1">TODAY()</f>
        <v>46176</v>
      </c>
    </row>
    <row r="4" spans="1:8" x14ac:dyDescent="0.35">
      <c r="B4" s="28" t="s">
        <v>3857</v>
      </c>
      <c r="C4" s="28">
        <f>COUNTA(Inventory_Table[Product_Name])</f>
        <v>990</v>
      </c>
    </row>
    <row r="5" spans="1:8" x14ac:dyDescent="0.35">
      <c r="B5" s="28" t="s">
        <v>3858</v>
      </c>
      <c r="C5" s="29" cm="1">
        <f t="array" ref="C5">SUMPRODUCT(Inventory_Table[Stock_Quantity]*Inventory_Table[Unit_Price])</f>
        <v>332654.71000000002</v>
      </c>
    </row>
    <row r="6" spans="1:8" x14ac:dyDescent="0.35">
      <c r="B6" s="28" t="s">
        <v>3859</v>
      </c>
      <c r="C6" s="30" cm="1">
        <f t="array" ref="C6">SUMPRODUCT(Inventory_Table[Sales_Volume]*Inventory_Table[Unit_Price])</f>
        <v>344269.34000000014</v>
      </c>
    </row>
    <row r="7" spans="1:8" x14ac:dyDescent="0.35">
      <c r="B7" s="28" t="s">
        <v>3860</v>
      </c>
      <c r="C7" s="28">
        <f>COUNTIF(Inventory_Table[Status],"Active")</f>
        <v>332</v>
      </c>
    </row>
    <row r="8" spans="1:8" x14ac:dyDescent="0.35">
      <c r="B8" s="28" t="s">
        <v>3861</v>
      </c>
      <c r="C8" s="28">
        <f>COUNTIF(Inventory_Table[Status],"Discontinued")</f>
        <v>333</v>
      </c>
    </row>
    <row r="9" spans="1:8" x14ac:dyDescent="0.35">
      <c r="B9" s="28" t="s">
        <v>3862</v>
      </c>
      <c r="C9" s="28">
        <f>COUNTIF(Inventory_Table[Status],"Backordered")</f>
        <v>325</v>
      </c>
    </row>
    <row r="10" spans="1:8" x14ac:dyDescent="0.35">
      <c r="B10" s="28" t="s">
        <v>3863</v>
      </c>
      <c r="C10" s="28">
        <f>COUNTIF(Inventory_Table[Reorder_Flag],"REORDER")</f>
        <v>465</v>
      </c>
    </row>
    <row r="11" spans="1:8" x14ac:dyDescent="0.35">
      <c r="B11" s="28" t="s">
        <v>3904</v>
      </c>
      <c r="C11" s="28">
        <f>COUNTIF(Inventory_Table[1_Expiry_Status],"Expiring Soon")</f>
        <v>83</v>
      </c>
    </row>
    <row r="12" spans="1:8" x14ac:dyDescent="0.35">
      <c r="B12" s="28" t="s">
        <v>3865</v>
      </c>
      <c r="C12" s="28">
        <f>COUNTIF(Inventory_Table[1_Expiry_Status],"Expired")</f>
        <v>277</v>
      </c>
    </row>
    <row r="13" spans="1:8" x14ac:dyDescent="0.35">
      <c r="B13" s="28" t="s">
        <v>3866</v>
      </c>
      <c r="C13" s="32">
        <f>AVERAGE(Inventory_Table[Inventory_Turnover_Rate])</f>
        <v>50.150505050505053</v>
      </c>
    </row>
  </sheetData>
  <mergeCells count="1">
    <mergeCell ref="B1:H1"/>
  </mergeCells>
  <pageMargins left="0.25" right="0.25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99032F-65BC-4233-AF95-380EC82DDB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Raw Data</vt:lpstr>
      <vt:lpstr>Data Profile</vt:lpstr>
      <vt:lpstr>Working Sheet</vt:lpstr>
      <vt:lpstr>Summary</vt:lpstr>
      <vt:lpstr>Category Analysis</vt:lpstr>
      <vt:lpstr>Suplier Analysis</vt:lpstr>
      <vt:lpstr>Stock Alert</vt:lpstr>
      <vt:lpstr>Pivot Tables</vt:lpstr>
      <vt:lpstr>MIS Report</vt:lpstr>
      <vt:lpstr>'MIS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Sonone</dc:creator>
  <cp:lastModifiedBy>Prachi Sonone</cp:lastModifiedBy>
  <cp:lastPrinted>2026-06-02T13:16:48Z</cp:lastPrinted>
  <dcterms:created xsi:type="dcterms:W3CDTF">2026-05-30T06:20:55Z</dcterms:created>
  <dcterms:modified xsi:type="dcterms:W3CDTF">2026-06-03T02:58:51Z</dcterms:modified>
</cp:coreProperties>
</file>